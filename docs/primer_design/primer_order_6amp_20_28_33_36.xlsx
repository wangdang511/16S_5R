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池比较" sheetId="2" state="visible" r:id="rId2"/>
    <sheet name="36条池" sheetId="3" state="visible" r:id="rId3"/>
    <sheet name="33条池" sheetId="4" state="visible" r:id="rId4"/>
    <sheet name="28条池" sheetId="5" state="visible" r:id="rId5"/>
    <sheet name="20条池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16S 6 扩增子 5′重叠布局：20 / 28 / 33 / 36 条池订购清单</t>
        </is>
      </c>
    </row>
    <row r="2">
      <c r="A2" s="2" t="inlineStr"/>
    </row>
    <row r="3">
      <c r="A3" s="2" t="inlineStr">
        <is>
          <t>扩增子（E. coli 坐标）：A1 V1·V2 约 8–264；A2 V3 314–522；A3 V4 518–792；A4 V5 788–972；A5 V6·V7 967–1206；A6 V8·V9 1222–1504。相邻扩增子的引物 5′端重叠 5–6 nt，管内扩增子长度 185–290 bp。</t>
        </is>
      </c>
    </row>
    <row r="4">
      <c r="A4" s="2" t="inlineStr">
        <is>
          <t>引物命名 16S-A?-F/R.n；后缀 s = 补充引物（针对弱覆盖类群），.SNAP = 借用 Swift SNAP 的 V1_f（9–27）。</t>
        </is>
      </c>
    </row>
    <row r="5">
      <c r="A5" s="2" t="inlineStr">
        <is>
          <t>混合比例：每位点总量（蓝色输入，默认 2.5 µL，100 µM 母液、100 µL 10× 混合物）按展开数分配；有补充引物的位点主引物占 90%、补充占 10%。</t>
        </is>
      </c>
    </row>
    <row r="6">
      <c r="A6" s="2" t="inlineStr">
        <is>
          <t>33 条池 = 28 条池 + A1-R.7s、A1-R.8s、A1-R.9s（Prevotella/拟杆菌门、Bifidobacterium）+ A6-F.4s、A6-F.5s（Oscillospira、Ruminococcus、Faecalibacterium、Neisseria、Veillonella）。</t>
        </is>
      </c>
    </row>
    <row r="7">
      <c r="A7" s="2" t="inlineStr">
        <is>
          <t>J 为准确率、扩增子覆盖和支原体≥3 扩增子三项的平均（与此前 B/C 方案同一评估器）。</t>
        </is>
      </c>
    </row>
    <row r="8">
      <c r="A8" s="2" t="inlineStr">
        <is>
          <t>人基因组脱靶（hg19，≤2 错配、3′端 8 nt 完全匹配）已扫描；A1-F.SNAP 和 A5-R 的数字见相应行；猪基因组需在本地用 docs/primer_design/offtarget_local 里的脚本扫描。</t>
        </is>
      </c>
    </row>
    <row r="9">
      <c r="A9" s="2" t="inlineStr">
        <is>
          <t>Tm：50 mM Na⁺、2 mM Mg²⁺、0.2 mM dNTP、250 nM 引物，按所有展开序列取范围。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池</t>
        </is>
      </c>
      <c r="B1" s="3" t="inlineStr">
        <is>
          <t>引物数</t>
        </is>
      </c>
      <c r="C1" s="3" t="inlineStr">
        <is>
          <t>展开数</t>
        </is>
      </c>
      <c r="D1" s="3" t="inlineStr">
        <is>
          <t>J</t>
        </is>
      </c>
      <c r="E1" s="3" t="inlineStr">
        <is>
          <t>准确率</t>
        </is>
      </c>
      <c r="F1" s="3" t="inlineStr">
        <is>
          <t>扩增子覆盖</t>
        </is>
      </c>
      <c r="G1" s="3" t="inlineStr">
        <is>
          <t>支原体≥3扩增子</t>
        </is>
      </c>
    </row>
    <row r="2">
      <c r="A2" s="4" t="inlineStr">
        <is>
          <t>36 条池</t>
        </is>
      </c>
      <c r="B2" s="4" t="n">
        <v>36</v>
      </c>
      <c r="C2" s="4" t="n">
        <v>232</v>
      </c>
      <c r="D2" s="4" t="n">
        <v>0.9216</v>
      </c>
      <c r="E2" s="4" t="n">
        <v>0.9441000000000001</v>
      </c>
      <c r="F2" s="4" t="n">
        <v>0.8887</v>
      </c>
      <c r="G2" s="4" t="n">
        <v>0.9319</v>
      </c>
    </row>
    <row r="3">
      <c r="A3" s="4" t="inlineStr">
        <is>
          <t>33 条池</t>
        </is>
      </c>
      <c r="B3" s="4" t="n">
        <v>33</v>
      </c>
      <c r="C3" s="4" t="n">
        <v>212</v>
      </c>
      <c r="D3" s="4" t="n">
        <v>0.9182</v>
      </c>
      <c r="E3" s="4" t="n">
        <v>0.9432</v>
      </c>
      <c r="F3" s="4" t="n">
        <v>0.8833</v>
      </c>
      <c r="G3" s="4" t="n">
        <v>0.928</v>
      </c>
    </row>
    <row r="4">
      <c r="A4" s="4" t="inlineStr">
        <is>
          <t>28 条池</t>
        </is>
      </c>
      <c r="B4" s="4" t="n">
        <v>28</v>
      </c>
      <c r="C4" s="4" t="n">
        <v>189</v>
      </c>
      <c r="D4" s="4" t="n">
        <v>0.9153</v>
      </c>
      <c r="E4" s="4" t="n">
        <v>0.9422</v>
      </c>
      <c r="F4" s="4" t="n">
        <v>0.8756</v>
      </c>
      <c r="G4" s="4" t="n">
        <v>0.928</v>
      </c>
    </row>
    <row r="5">
      <c r="A5" s="4" t="inlineStr">
        <is>
          <t>20 条池</t>
        </is>
      </c>
      <c r="B5" s="4" t="n">
        <v>20</v>
      </c>
      <c r="C5" s="4" t="n">
        <v>138</v>
      </c>
      <c r="D5" s="4" t="n">
        <v>0.8924</v>
      </c>
      <c r="E5" s="4" t="n">
        <v>0.9397</v>
      </c>
      <c r="F5" s="4" t="n">
        <v>0.8247</v>
      </c>
      <c r="G5" s="4" t="n">
        <v>0.9129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44" customWidth="1" min="4" max="4"/>
    <col width="12" customWidth="1" min="5" max="5"/>
    <col width="8" customWidth="1" min="6" max="6"/>
    <col width="8" customWidth="1" min="7" max="7"/>
    <col width="12" customWidth="1" min="8" max="8"/>
    <col width="26" customWidth="1" min="9" max="9"/>
    <col width="6" customWidth="1" min="10" max="10"/>
    <col width="12" customWidth="1" min="11" max="11"/>
    <col width="12" customWidth="1" min="12" max="12"/>
  </cols>
  <sheetData>
    <row r="1">
      <c r="A1" s="5" t="inlineStr">
        <is>
          <t>每位点总量 µL（可改）</t>
        </is>
      </c>
      <c r="B1" s="6" t="n">
        <v>2.5</v>
      </c>
    </row>
    <row r="3">
      <c r="A3" s="3" t="inlineStr">
        <is>
          <t>名称</t>
        </is>
      </c>
      <c r="B3" s="3" t="inlineStr">
        <is>
          <t>位点</t>
        </is>
      </c>
      <c r="C3" s="3" t="inlineStr">
        <is>
          <t>类型</t>
        </is>
      </c>
      <c r="D3" s="3" t="inlineStr">
        <is>
          <t>5′→3′序列</t>
        </is>
      </c>
      <c r="E3" s="3" t="inlineStr">
        <is>
          <t>位置</t>
        </is>
      </c>
      <c r="F3" s="3" t="inlineStr">
        <is>
          <t>长度nt</t>
        </is>
      </c>
      <c r="G3" s="3" t="inlineStr">
        <is>
          <t>展开数</t>
        </is>
      </c>
      <c r="H3" s="3" t="inlineStr">
        <is>
          <t>Tm范围°C</t>
        </is>
      </c>
      <c r="I3" s="3" t="inlineStr">
        <is>
          <t>人基因组≤2错配位点数</t>
        </is>
      </c>
      <c r="J3" s="3" t="inlineStr">
        <is>
          <t>组</t>
        </is>
      </c>
      <c r="K3" s="3" t="inlineStr">
        <is>
          <t>占位点比例</t>
        </is>
      </c>
      <c r="L3" s="3" t="inlineStr">
        <is>
          <t>加入体积 µL</t>
        </is>
      </c>
    </row>
    <row r="4">
      <c r="A4" s="4" t="inlineStr">
        <is>
          <t>16S-A1-F.SNAP</t>
        </is>
      </c>
      <c r="B4" s="4" t="inlineStr">
        <is>
          <t>A1-F</t>
        </is>
      </c>
      <c r="C4" s="4" t="inlineStr">
        <is>
          <t>主引物（SNAP V1_f）</t>
        </is>
      </c>
      <c r="D4" s="6" t="inlineStr">
        <is>
          <t>GAGTTTGATCMTGGCTCAG</t>
        </is>
      </c>
      <c r="E4" s="4" t="inlineStr">
        <is>
          <t>9–27</t>
        </is>
      </c>
      <c r="F4" s="4" t="n">
        <v>19</v>
      </c>
      <c r="G4" s="6" t="n">
        <v>2</v>
      </c>
      <c r="H4" s="4" t="inlineStr">
        <is>
          <t>57.1–58.9</t>
        </is>
      </c>
      <c r="I4" s="4" t="inlineStr">
        <is>
          <t>未单独扫描（此前评估比 A1-F.1–.3 低约 10 倍）</t>
        </is>
      </c>
      <c r="J4" s="4" t="inlineStr">
        <is>
          <t>主</t>
        </is>
      </c>
      <c r="K4" s="7">
        <f>IF(COUNTIFS($B$4:$B$39,B4,$J$4:$J$39,"补")=0,1,IF(J4="补",0.1,0.9))*G4/SUMIFS($G$4:$G$39,$B$4:$B$39,B4,$J$4:$J$39,J4)</f>
        <v/>
      </c>
      <c r="L4" s="8">
        <f>K4*$B$1</f>
        <v/>
      </c>
    </row>
    <row r="5">
      <c r="A5" s="4" t="inlineStr">
        <is>
          <t>16S-A1-R.1</t>
        </is>
      </c>
      <c r="B5" s="4" t="inlineStr">
        <is>
          <t>A1-R</t>
        </is>
      </c>
      <c r="C5" s="4" t="inlineStr">
        <is>
          <t>主引物</t>
        </is>
      </c>
      <c r="D5" s="6" t="inlineStr">
        <is>
          <t>GTTACCYCACCAACWARCT</t>
        </is>
      </c>
      <c r="E5" s="4" t="inlineStr">
        <is>
          <t>246–264</t>
        </is>
      </c>
      <c r="F5" s="4" t="n">
        <v>19</v>
      </c>
      <c r="G5" s="6" t="n">
        <v>8</v>
      </c>
      <c r="H5" s="4" t="inlineStr">
        <is>
          <t>55.1–61.3</t>
        </is>
      </c>
      <c r="I5" s="4" t="n">
        <v>49</v>
      </c>
      <c r="J5" s="4" t="inlineStr">
        <is>
          <t>主</t>
        </is>
      </c>
      <c r="K5" s="7">
        <f>IF(COUNTIFS($B$4:$B$39,B5,$J$4:$J$39,"补")=0,1,IF(J5="补",0.1,0.9))*G5/SUMIFS($G$4:$G$39,$B$4:$B$39,B5,$J$4:$J$39,J5)</f>
        <v/>
      </c>
      <c r="L5" s="8">
        <f>K5*$B$1</f>
        <v/>
      </c>
    </row>
    <row r="6">
      <c r="A6" s="4" t="inlineStr">
        <is>
          <t>16S-A1-R.2</t>
        </is>
      </c>
      <c r="B6" s="4" t="inlineStr">
        <is>
          <t>A1-R</t>
        </is>
      </c>
      <c r="C6" s="4" t="inlineStr">
        <is>
          <t>主引物</t>
        </is>
      </c>
      <c r="D6" s="6" t="inlineStr">
        <is>
          <t>GTTACCCCRCCAACTABCT</t>
        </is>
      </c>
      <c r="E6" s="4" t="inlineStr">
        <is>
          <t>246–264</t>
        </is>
      </c>
      <c r="F6" s="4" t="n">
        <v>19</v>
      </c>
      <c r="G6" s="6" t="n">
        <v>6</v>
      </c>
      <c r="H6" s="4" t="inlineStr">
        <is>
          <t>57.1–63.1</t>
        </is>
      </c>
      <c r="I6" s="4" t="n">
        <v>18</v>
      </c>
      <c r="J6" s="4" t="inlineStr">
        <is>
          <t>主</t>
        </is>
      </c>
      <c r="K6" s="7">
        <f>IF(COUNTIFS($B$4:$B$39,B6,$J$4:$J$39,"补")=0,1,IF(J6="补",0.1,0.9))*G6/SUMIFS($G$4:$G$39,$B$4:$B$39,B6,$J$4:$J$39,J6)</f>
        <v/>
      </c>
      <c r="L6" s="8">
        <f>K6*$B$1</f>
        <v/>
      </c>
    </row>
    <row r="7">
      <c r="A7" s="4" t="inlineStr">
        <is>
          <t>16S-A1-R.3</t>
        </is>
      </c>
      <c r="B7" s="4" t="inlineStr">
        <is>
          <t>A1-R</t>
        </is>
      </c>
      <c r="C7" s="4" t="inlineStr">
        <is>
          <t>主引物</t>
        </is>
      </c>
      <c r="D7" s="6" t="inlineStr">
        <is>
          <t>CGTTACCYTACCAACTARYT</t>
        </is>
      </c>
      <c r="E7" s="4" t="inlineStr">
        <is>
          <t>246–265</t>
        </is>
      </c>
      <c r="F7" s="4" t="n">
        <v>20</v>
      </c>
      <c r="G7" s="6" t="n">
        <v>8</v>
      </c>
      <c r="H7" s="4" t="inlineStr">
        <is>
          <t>54.0–59.9</t>
        </is>
      </c>
      <c r="I7" s="4" t="n">
        <v>10</v>
      </c>
      <c r="J7" s="4" t="inlineStr">
        <is>
          <t>主</t>
        </is>
      </c>
      <c r="K7" s="7">
        <f>IF(COUNTIFS($B$4:$B$39,B7,$J$4:$J$39,"补")=0,1,IF(J7="补",0.1,0.9))*G7/SUMIFS($G$4:$G$39,$B$4:$B$39,B7,$J$4:$J$39,J7)</f>
        <v/>
      </c>
      <c r="L7" s="8">
        <f>K7*$B$1</f>
        <v/>
      </c>
    </row>
    <row r="8">
      <c r="A8" s="4" t="inlineStr">
        <is>
          <t>16S-A1-R.4</t>
        </is>
      </c>
      <c r="B8" s="4" t="inlineStr">
        <is>
          <t>A1-R</t>
        </is>
      </c>
      <c r="C8" s="4" t="inlineStr">
        <is>
          <t>主引物</t>
        </is>
      </c>
      <c r="D8" s="6" t="inlineStr">
        <is>
          <t>CATTACCCYACCAACTARYT</t>
        </is>
      </c>
      <c r="E8" s="4" t="inlineStr">
        <is>
          <t>246–265</t>
        </is>
      </c>
      <c r="F8" s="4" t="n">
        <v>20</v>
      </c>
      <c r="G8" s="6" t="n">
        <v>8</v>
      </c>
      <c r="H8" s="4" t="inlineStr">
        <is>
          <t>53.3–60.5</t>
        </is>
      </c>
      <c r="I8" s="4" t="n">
        <v>25</v>
      </c>
      <c r="J8" s="4" t="inlineStr">
        <is>
          <t>主</t>
        </is>
      </c>
      <c r="K8" s="7">
        <f>IF(COUNTIFS($B$4:$B$39,B8,$J$4:$J$39,"补")=0,1,IF(J8="补",0.1,0.9))*G8/SUMIFS($G$4:$G$39,$B$4:$B$39,B8,$J$4:$J$39,J8)</f>
        <v/>
      </c>
      <c r="L8" s="8">
        <f>K8*$B$1</f>
        <v/>
      </c>
    </row>
    <row r="9">
      <c r="A9" s="4" t="inlineStr">
        <is>
          <t>16S-A1-R.5s</t>
        </is>
      </c>
      <c r="B9" s="4" t="inlineStr">
        <is>
          <t>A1-R</t>
        </is>
      </c>
      <c r="C9" s="4" t="inlineStr">
        <is>
          <t>补充</t>
        </is>
      </c>
      <c r="D9" s="6" t="inlineStr">
        <is>
          <t>GTTACCCCKCCAACWAGCT</t>
        </is>
      </c>
      <c r="E9" s="4" t="inlineStr">
        <is>
          <t>246–264</t>
        </is>
      </c>
      <c r="F9" s="4" t="n">
        <v>19</v>
      </c>
      <c r="G9" s="6" t="n">
        <v>4</v>
      </c>
      <c r="H9" s="4" t="inlineStr">
        <is>
          <t>59.4–64.3</t>
        </is>
      </c>
      <c r="I9" s="4" t="n">
        <v>16</v>
      </c>
      <c r="J9" s="4" t="inlineStr">
        <is>
          <t>补</t>
        </is>
      </c>
      <c r="K9" s="7">
        <f>IF(COUNTIFS($B$4:$B$39,B9,$J$4:$J$39,"补")=0,1,IF(J9="补",0.1,0.9))*G9/SUMIFS($G$4:$G$39,$B$4:$B$39,B9,$J$4:$J$39,J9)</f>
        <v/>
      </c>
      <c r="L9" s="8">
        <f>K9*$B$1</f>
        <v/>
      </c>
    </row>
    <row r="10">
      <c r="A10" s="4" t="inlineStr">
        <is>
          <t>16S-A1-R.7s</t>
        </is>
      </c>
      <c r="B10" s="4" t="inlineStr">
        <is>
          <t>A1-R</t>
        </is>
      </c>
      <c r="C10" s="4" t="inlineStr">
        <is>
          <t>补充</t>
        </is>
      </c>
      <c r="D10" s="6" t="inlineStr">
        <is>
          <t>GTTACCCCGCCRWCWAGCT</t>
        </is>
      </c>
      <c r="E10" s="4" t="inlineStr">
        <is>
          <t>246–264</t>
        </is>
      </c>
      <c r="F10" s="4" t="n">
        <v>19</v>
      </c>
      <c r="G10" s="6" t="n">
        <v>8</v>
      </c>
      <c r="H10" s="4" t="inlineStr">
        <is>
          <t>62.6–66.3</t>
        </is>
      </c>
      <c r="I10" s="4" t="n">
        <v>12</v>
      </c>
      <c r="J10" s="4" t="inlineStr">
        <is>
          <t>补</t>
        </is>
      </c>
      <c r="K10" s="7">
        <f>IF(COUNTIFS($B$4:$B$39,B10,$J$4:$J$39,"补")=0,1,IF(J10="补",0.1,0.9))*G10/SUMIFS($G$4:$G$39,$B$4:$B$39,B10,$J$4:$J$39,J10)</f>
        <v/>
      </c>
      <c r="L10" s="8">
        <f>K10*$B$1</f>
        <v/>
      </c>
    </row>
    <row r="11">
      <c r="A11" s="4" t="inlineStr">
        <is>
          <t>16S-A2-F.1</t>
        </is>
      </c>
      <c r="B11" s="4" t="inlineStr">
        <is>
          <t>A2-F</t>
        </is>
      </c>
      <c r="C11" s="4" t="inlineStr">
        <is>
          <t>主引物</t>
        </is>
      </c>
      <c r="D11" s="6" t="inlineStr">
        <is>
          <t>CAYKGGGACTGAGACACKG</t>
        </is>
      </c>
      <c r="E11" s="4" t="inlineStr">
        <is>
          <t>314–332</t>
        </is>
      </c>
      <c r="F11" s="4" t="n">
        <v>19</v>
      </c>
      <c r="G11" s="6" t="n">
        <v>8</v>
      </c>
      <c r="H11" s="4" t="inlineStr">
        <is>
          <t>58.8–65.9</t>
        </is>
      </c>
      <c r="I11" s="4" t="n">
        <v>95</v>
      </c>
      <c r="J11" s="4" t="inlineStr">
        <is>
          <t>主</t>
        </is>
      </c>
      <c r="K11" s="7">
        <f>IF(COUNTIFS($B$4:$B$39,B11,$J$4:$J$39,"补")=0,1,IF(J11="补",0.1,0.9))*G11/SUMIFS($G$4:$G$39,$B$4:$B$39,B11,$J$4:$J$39,J11)</f>
        <v/>
      </c>
      <c r="L11" s="8">
        <f>K11*$B$1</f>
        <v/>
      </c>
    </row>
    <row r="12">
      <c r="A12" s="4" t="inlineStr">
        <is>
          <t>16S-A2-F.2</t>
        </is>
      </c>
      <c r="B12" s="4" t="inlineStr">
        <is>
          <t>A2-F</t>
        </is>
      </c>
      <c r="C12" s="4" t="inlineStr">
        <is>
          <t>主引物</t>
        </is>
      </c>
      <c r="D12" s="6" t="inlineStr">
        <is>
          <t>CACTGGRACTGARAYACGG</t>
        </is>
      </c>
      <c r="E12" s="4" t="inlineStr">
        <is>
          <t>314–332</t>
        </is>
      </c>
      <c r="F12" s="4" t="n">
        <v>19</v>
      </c>
      <c r="G12" s="6" t="n">
        <v>8</v>
      </c>
      <c r="H12" s="4" t="inlineStr">
        <is>
          <t>57.0–63.3</t>
        </is>
      </c>
      <c r="I12" s="4" t="n">
        <v>27</v>
      </c>
      <c r="J12" s="4" t="inlineStr">
        <is>
          <t>主</t>
        </is>
      </c>
      <c r="K12" s="7">
        <f>IF(COUNTIFS($B$4:$B$39,B12,$J$4:$J$39,"补")=0,1,IF(J12="补",0.1,0.9))*G12/SUMIFS($G$4:$G$39,$B$4:$B$39,B12,$J$4:$J$39,J12)</f>
        <v/>
      </c>
      <c r="L12" s="8">
        <f>K12*$B$1</f>
        <v/>
      </c>
    </row>
    <row r="13">
      <c r="A13" s="4" t="inlineStr">
        <is>
          <t>16S-A2-F.3</t>
        </is>
      </c>
      <c r="B13" s="4" t="inlineStr">
        <is>
          <t>A2-F</t>
        </is>
      </c>
      <c r="C13" s="4" t="inlineStr">
        <is>
          <t>主引物</t>
        </is>
      </c>
      <c r="D13" s="6" t="inlineStr">
        <is>
          <t>CARKGGRACTGAGACACGG</t>
        </is>
      </c>
      <c r="E13" s="4" t="inlineStr">
        <is>
          <t>314–332</t>
        </is>
      </c>
      <c r="F13" s="4" t="n">
        <v>19</v>
      </c>
      <c r="G13" s="6" t="n">
        <v>8</v>
      </c>
      <c r="H13" s="4" t="inlineStr">
        <is>
          <t>59.5–65.4</t>
        </is>
      </c>
      <c r="I13" s="4" t="n">
        <v>36</v>
      </c>
      <c r="J13" s="4" t="inlineStr">
        <is>
          <t>主</t>
        </is>
      </c>
      <c r="K13" s="7">
        <f>IF(COUNTIFS($B$4:$B$39,B13,$J$4:$J$39,"补")=0,1,IF(J13="补",0.1,0.9))*G13/SUMIFS($G$4:$G$39,$B$4:$B$39,B13,$J$4:$J$39,J13)</f>
        <v/>
      </c>
      <c r="L13" s="8">
        <f>K13*$B$1</f>
        <v/>
      </c>
    </row>
    <row r="14">
      <c r="A14" s="4" t="inlineStr">
        <is>
          <t>16S-A2-R.1</t>
        </is>
      </c>
      <c r="B14" s="4" t="inlineStr">
        <is>
          <t>A2-R</t>
        </is>
      </c>
      <c r="C14" s="4" t="inlineStr">
        <is>
          <t>主引物</t>
        </is>
      </c>
      <c r="D14" s="6" t="inlineStr">
        <is>
          <t>GCTGGCACGKARTTAGCCR</t>
        </is>
      </c>
      <c r="E14" s="4" t="inlineStr">
        <is>
          <t>504–522</t>
        </is>
      </c>
      <c r="F14" s="4" t="n">
        <v>19</v>
      </c>
      <c r="G14" s="6" t="n">
        <v>8</v>
      </c>
      <c r="H14" s="4" t="inlineStr">
        <is>
          <t>61.9–67.2</t>
        </is>
      </c>
      <c r="I14" s="4" t="n">
        <v>28</v>
      </c>
      <c r="J14" s="4" t="inlineStr">
        <is>
          <t>主</t>
        </is>
      </c>
      <c r="K14" s="7">
        <f>IF(COUNTIFS($B$4:$B$39,B14,$J$4:$J$39,"补")=0,1,IF(J14="补",0.1,0.9))*G14/SUMIFS($G$4:$G$39,$B$4:$B$39,B14,$J$4:$J$39,J14)</f>
        <v/>
      </c>
      <c r="L14" s="8">
        <f>K14*$B$1</f>
        <v/>
      </c>
    </row>
    <row r="15">
      <c r="A15" s="4" t="inlineStr">
        <is>
          <t>16S-A2-R.2</t>
        </is>
      </c>
      <c r="B15" s="4" t="inlineStr">
        <is>
          <t>A2-R</t>
        </is>
      </c>
      <c r="C15" s="4" t="inlineStr">
        <is>
          <t>主引物</t>
        </is>
      </c>
      <c r="D15" s="6" t="inlineStr">
        <is>
          <t>GCTGGCACGAASTTAGYCS</t>
        </is>
      </c>
      <c r="E15" s="4" t="inlineStr">
        <is>
          <t>504–522</t>
        </is>
      </c>
      <c r="F15" s="4" t="n">
        <v>19</v>
      </c>
      <c r="G15" s="6" t="n">
        <v>8</v>
      </c>
      <c r="H15" s="4" t="inlineStr">
        <is>
          <t>62.1–65.3</t>
        </is>
      </c>
      <c r="I15" s="4" t="n">
        <v>7</v>
      </c>
      <c r="J15" s="4" t="inlineStr">
        <is>
          <t>主</t>
        </is>
      </c>
      <c r="K15" s="7">
        <f>IF(COUNTIFS($B$4:$B$39,B15,$J$4:$J$39,"补")=0,1,IF(J15="补",0.1,0.9))*G15/SUMIFS($G$4:$G$39,$B$4:$B$39,B15,$J$4:$J$39,J15)</f>
        <v/>
      </c>
      <c r="L15" s="8">
        <f>K15*$B$1</f>
        <v/>
      </c>
    </row>
    <row r="16">
      <c r="A16" s="4" t="inlineStr">
        <is>
          <t>16S-A2-R.3</t>
        </is>
      </c>
      <c r="B16" s="4" t="inlineStr">
        <is>
          <t>A2-R</t>
        </is>
      </c>
      <c r="C16" s="4" t="inlineStr">
        <is>
          <t>主引物</t>
        </is>
      </c>
      <c r="D16" s="6" t="inlineStr">
        <is>
          <t>GCTGGCACAKAGTTAGYYG</t>
        </is>
      </c>
      <c r="E16" s="4" t="inlineStr">
        <is>
          <t>504–522</t>
        </is>
      </c>
      <c r="F16" s="4" t="n">
        <v>19</v>
      </c>
      <c r="G16" s="6" t="n">
        <v>8</v>
      </c>
      <c r="H16" s="4" t="inlineStr">
        <is>
          <t>57.4–64.7</t>
        </is>
      </c>
      <c r="I16" s="4" t="n">
        <v>41</v>
      </c>
      <c r="J16" s="4" t="inlineStr">
        <is>
          <t>主</t>
        </is>
      </c>
      <c r="K16" s="7">
        <f>IF(COUNTIFS($B$4:$B$39,B16,$J$4:$J$39,"补")=0,1,IF(J16="补",0.1,0.9))*G16/SUMIFS($G$4:$G$39,$B$4:$B$39,B16,$J$4:$J$39,J16)</f>
        <v/>
      </c>
      <c r="L16" s="8">
        <f>K16*$B$1</f>
        <v/>
      </c>
    </row>
    <row r="17">
      <c r="A17" s="4" t="inlineStr">
        <is>
          <t>16S-A3-F.1</t>
        </is>
      </c>
      <c r="B17" s="4" t="inlineStr">
        <is>
          <t>A3-F</t>
        </is>
      </c>
      <c r="C17" s="4" t="inlineStr">
        <is>
          <t>主引物</t>
        </is>
      </c>
      <c r="D17" s="6" t="inlineStr">
        <is>
          <t>CCAGCAGCCGCGGTAABWC</t>
        </is>
      </c>
      <c r="E17" s="4" t="inlineStr">
        <is>
          <t>518–536</t>
        </is>
      </c>
      <c r="F17" s="4" t="n">
        <v>19</v>
      </c>
      <c r="G17" s="6" t="n">
        <v>6</v>
      </c>
      <c r="H17" s="4" t="inlineStr">
        <is>
          <t>64.8–67.8</t>
        </is>
      </c>
      <c r="I17" s="4" t="n">
        <v>10</v>
      </c>
      <c r="J17" s="4" t="inlineStr">
        <is>
          <t>主</t>
        </is>
      </c>
      <c r="K17" s="7">
        <f>IF(COUNTIFS($B$4:$B$39,B17,$J$4:$J$39,"补")=0,1,IF(J17="补",0.1,0.9))*G17/SUMIFS($G$4:$G$39,$B$4:$B$39,B17,$J$4:$J$39,J17)</f>
        <v/>
      </c>
      <c r="L17" s="8">
        <f>K17*$B$1</f>
        <v/>
      </c>
    </row>
    <row r="18">
      <c r="A18" s="4" t="inlineStr">
        <is>
          <t>16S-A3-F.2</t>
        </is>
      </c>
      <c r="B18" s="4" t="inlineStr">
        <is>
          <t>A3-F</t>
        </is>
      </c>
      <c r="C18" s="4" t="inlineStr">
        <is>
          <t>主引物</t>
        </is>
      </c>
      <c r="D18" s="6" t="inlineStr">
        <is>
          <t>CCAGCAGCCGCGGTAAAAC</t>
        </is>
      </c>
      <c r="E18" s="4" t="inlineStr">
        <is>
          <t>518–536</t>
        </is>
      </c>
      <c r="F18" s="4" t="n">
        <v>19</v>
      </c>
      <c r="G18" s="6" t="n">
        <v>1</v>
      </c>
      <c r="H18" s="4" t="inlineStr">
        <is>
          <t>65.9–65.9</t>
        </is>
      </c>
      <c r="I18" s="4" t="n">
        <v>2</v>
      </c>
      <c r="J18" s="4" t="inlineStr">
        <is>
          <t>主</t>
        </is>
      </c>
      <c r="K18" s="7">
        <f>IF(COUNTIFS($B$4:$B$39,B18,$J$4:$J$39,"补")=0,1,IF(J18="补",0.1,0.9))*G18/SUMIFS($G$4:$G$39,$B$4:$B$39,B18,$J$4:$J$39,J18)</f>
        <v/>
      </c>
      <c r="L18" s="8">
        <f>K18*$B$1</f>
        <v/>
      </c>
    </row>
    <row r="19">
      <c r="A19" s="4" t="inlineStr">
        <is>
          <t>16S-A3-R.1</t>
        </is>
      </c>
      <c r="B19" s="4" t="inlineStr">
        <is>
          <t>A3-R</t>
        </is>
      </c>
      <c r="C19" s="4" t="inlineStr">
        <is>
          <t>主引物</t>
        </is>
      </c>
      <c r="D19" s="6" t="inlineStr">
        <is>
          <t>TCTAATCCYGTTYGCTMCC</t>
        </is>
      </c>
      <c r="E19" s="4" t="inlineStr">
        <is>
          <t>774–792</t>
        </is>
      </c>
      <c r="F19" s="4" t="n">
        <v>19</v>
      </c>
      <c r="G19" s="6" t="n">
        <v>8</v>
      </c>
      <c r="H19" s="4" t="inlineStr">
        <is>
          <t>55.2–62.6</t>
        </is>
      </c>
      <c r="I19" s="4" t="n">
        <v>53</v>
      </c>
      <c r="J19" s="4" t="inlineStr">
        <is>
          <t>主</t>
        </is>
      </c>
      <c r="K19" s="7">
        <f>IF(COUNTIFS($B$4:$B$39,B19,$J$4:$J$39,"补")=0,1,IF(J19="补",0.1,0.9))*G19/SUMIFS($G$4:$G$39,$B$4:$B$39,B19,$J$4:$J$39,J19)</f>
        <v/>
      </c>
      <c r="L19" s="8">
        <f>K19*$B$1</f>
        <v/>
      </c>
    </row>
    <row r="20">
      <c r="A20" s="4" t="inlineStr">
        <is>
          <t>16S-A3-R.3</t>
        </is>
      </c>
      <c r="B20" s="4" t="inlineStr">
        <is>
          <t>A3-R</t>
        </is>
      </c>
      <c r="C20" s="4" t="inlineStr">
        <is>
          <t>主引物</t>
        </is>
      </c>
      <c r="D20" s="6" t="inlineStr">
        <is>
          <t>GTATCTAATCCKGTTYGMTCCC</t>
        </is>
      </c>
      <c r="E20" s="4" t="inlineStr">
        <is>
          <t>774–795</t>
        </is>
      </c>
      <c r="F20" s="4" t="n">
        <v>22</v>
      </c>
      <c r="G20" s="6" t="n">
        <v>8</v>
      </c>
      <c r="H20" s="4" t="inlineStr">
        <is>
          <t>57.1–63.7</t>
        </is>
      </c>
      <c r="I20" s="4" t="n">
        <v>1</v>
      </c>
      <c r="J20" s="4" t="inlineStr">
        <is>
          <t>主</t>
        </is>
      </c>
      <c r="K20" s="7">
        <f>IF(COUNTIFS($B$4:$B$39,B20,$J$4:$J$39,"补")=0,1,IF(J20="补",0.1,0.9))*G20/SUMIFS($G$4:$G$39,$B$4:$B$39,B20,$J$4:$J$39,J20)</f>
        <v/>
      </c>
      <c r="L20" s="8">
        <f>K20*$B$1</f>
        <v/>
      </c>
    </row>
    <row r="21">
      <c r="A21" s="4" t="inlineStr">
        <is>
          <t>16S-A4-F.1</t>
        </is>
      </c>
      <c r="B21" s="4" t="inlineStr">
        <is>
          <t>A4-F</t>
        </is>
      </c>
      <c r="C21" s="4" t="inlineStr">
        <is>
          <t>主引物</t>
        </is>
      </c>
      <c r="D21" s="6" t="inlineStr">
        <is>
          <t>GATTAGAKACCCYGGTAGTCY</t>
        </is>
      </c>
      <c r="E21" s="4" t="inlineStr">
        <is>
          <t>786–806</t>
        </is>
      </c>
      <c r="F21" s="4" t="n">
        <v>21</v>
      </c>
      <c r="G21" s="6" t="n">
        <v>8</v>
      </c>
      <c r="H21" s="4" t="inlineStr">
        <is>
          <t>56.5–62.3</t>
        </is>
      </c>
      <c r="I21" s="4" t="n">
        <v>1</v>
      </c>
      <c r="J21" s="4" t="inlineStr">
        <is>
          <t>主</t>
        </is>
      </c>
      <c r="K21" s="7">
        <f>IF(COUNTIFS($B$4:$B$39,B21,$J$4:$J$39,"补")=0,1,IF(J21="补",0.1,0.9))*G21/SUMIFS($G$4:$G$39,$B$4:$B$39,B21,$J$4:$J$39,J21)</f>
        <v/>
      </c>
      <c r="L21" s="8">
        <f>K21*$B$1</f>
        <v/>
      </c>
    </row>
    <row r="22">
      <c r="A22" s="4" t="inlineStr">
        <is>
          <t>16S-A4-F.3</t>
        </is>
      </c>
      <c r="B22" s="4" t="inlineStr">
        <is>
          <t>A4-F</t>
        </is>
      </c>
      <c r="C22" s="4" t="inlineStr">
        <is>
          <t>主引物</t>
        </is>
      </c>
      <c r="D22" s="6" t="inlineStr">
        <is>
          <t>ATTAGAWACCCSRGTAGTCC</t>
        </is>
      </c>
      <c r="E22" s="4" t="inlineStr">
        <is>
          <t>787–806</t>
        </is>
      </c>
      <c r="F22" s="4" t="n">
        <v>20</v>
      </c>
      <c r="G22" s="6" t="n">
        <v>8</v>
      </c>
      <c r="H22" s="4" t="inlineStr">
        <is>
          <t>56.2–59.9</t>
        </is>
      </c>
      <c r="I22" s="4" t="n">
        <v>11</v>
      </c>
      <c r="J22" s="4" t="inlineStr">
        <is>
          <t>主</t>
        </is>
      </c>
      <c r="K22" s="7">
        <f>IF(COUNTIFS($B$4:$B$39,B22,$J$4:$J$39,"补")=0,1,IF(J22="补",0.1,0.9))*G22/SUMIFS($G$4:$G$39,$B$4:$B$39,B22,$J$4:$J$39,J22)</f>
        <v/>
      </c>
      <c r="L22" s="8">
        <f>K22*$B$1</f>
        <v/>
      </c>
    </row>
    <row r="23">
      <c r="A23" s="4" t="inlineStr">
        <is>
          <t>16S-A4-F.5s</t>
        </is>
      </c>
      <c r="B23" s="4" t="inlineStr">
        <is>
          <t>A4-F</t>
        </is>
      </c>
      <c r="C23" s="4" t="inlineStr">
        <is>
          <t>补充</t>
        </is>
      </c>
      <c r="D23" s="6" t="inlineStr">
        <is>
          <t>TTAGATACCYTGGTAGTSC</t>
        </is>
      </c>
      <c r="E23" s="4" t="inlineStr">
        <is>
          <t>788–806</t>
        </is>
      </c>
      <c r="F23" s="4" t="n">
        <v>19</v>
      </c>
      <c r="G23" s="6" t="n">
        <v>4</v>
      </c>
      <c r="H23" s="4" t="inlineStr">
        <is>
          <t>53.5–56.6</t>
        </is>
      </c>
      <c r="I23" s="4" t="n">
        <v>21</v>
      </c>
      <c r="J23" s="4" t="inlineStr">
        <is>
          <t>补</t>
        </is>
      </c>
      <c r="K23" s="7">
        <f>IF(COUNTIFS($B$4:$B$39,B23,$J$4:$J$39,"补")=0,1,IF(J23="补",0.1,0.9))*G23/SUMIFS($G$4:$G$39,$B$4:$B$39,B23,$J$4:$J$39,J23)</f>
        <v/>
      </c>
      <c r="L23" s="8">
        <f>K23*$B$1</f>
        <v/>
      </c>
    </row>
    <row r="24">
      <c r="A24" s="4" t="inlineStr">
        <is>
          <t>16S-A4-R.1</t>
        </is>
      </c>
      <c r="B24" s="4" t="inlineStr">
        <is>
          <t>A4-R</t>
        </is>
      </c>
      <c r="C24" s="4" t="inlineStr">
        <is>
          <t>主引物</t>
        </is>
      </c>
      <c r="D24" s="6" t="inlineStr">
        <is>
          <t>CGCGTWGCATCGAATTAADC</t>
        </is>
      </c>
      <c r="E24" s="4" t="inlineStr">
        <is>
          <t>954–973</t>
        </is>
      </c>
      <c r="F24" s="4" t="n">
        <v>20</v>
      </c>
      <c r="G24" s="6" t="n">
        <v>6</v>
      </c>
      <c r="H24" s="4" t="inlineStr">
        <is>
          <t>58.6–62.3</t>
        </is>
      </c>
      <c r="I24" s="4" t="n">
        <v>1</v>
      </c>
      <c r="J24" s="4" t="inlineStr">
        <is>
          <t>主</t>
        </is>
      </c>
      <c r="K24" s="7">
        <f>IF(COUNTIFS($B$4:$B$39,B24,$J$4:$J$39,"补")=0,1,IF(J24="补",0.1,0.9))*G24/SUMIFS($G$4:$G$39,$B$4:$B$39,B24,$J$4:$J$39,J24)</f>
        <v/>
      </c>
      <c r="L24" s="8">
        <f>K24*$B$1</f>
        <v/>
      </c>
    </row>
    <row r="25">
      <c r="A25" s="4" t="inlineStr">
        <is>
          <t>16S-A4-R.2</t>
        </is>
      </c>
      <c r="B25" s="4" t="inlineStr">
        <is>
          <t>A4-R</t>
        </is>
      </c>
      <c r="C25" s="4" t="inlineStr">
        <is>
          <t>主引物</t>
        </is>
      </c>
      <c r="D25" s="6" t="inlineStr">
        <is>
          <t>CGCGTWKCKTCGAATTAAAC</t>
        </is>
      </c>
      <c r="E25" s="4" t="inlineStr">
        <is>
          <t>954–973</t>
        </is>
      </c>
      <c r="F25" s="4" t="n">
        <v>20</v>
      </c>
      <c r="G25" s="6" t="n">
        <v>8</v>
      </c>
      <c r="H25" s="4" t="inlineStr">
        <is>
          <t>56.4–62.5</t>
        </is>
      </c>
      <c r="I25" s="4" t="n">
        <v>0</v>
      </c>
      <c r="J25" s="4" t="inlineStr">
        <is>
          <t>主</t>
        </is>
      </c>
      <c r="K25" s="7">
        <f>IF(COUNTIFS($B$4:$B$39,B25,$J$4:$J$39,"补")=0,1,IF(J25="补",0.1,0.9))*G25/SUMIFS($G$4:$G$39,$B$4:$B$39,B25,$J$4:$J$39,J25)</f>
        <v/>
      </c>
      <c r="L25" s="8">
        <f>K25*$B$1</f>
        <v/>
      </c>
    </row>
    <row r="26">
      <c r="A26" s="4" t="inlineStr">
        <is>
          <t>16S-A4-R.3</t>
        </is>
      </c>
      <c r="B26" s="4" t="inlineStr">
        <is>
          <t>A4-R</t>
        </is>
      </c>
      <c r="C26" s="4" t="inlineStr">
        <is>
          <t>主引物</t>
        </is>
      </c>
      <c r="D26" s="6" t="inlineStr">
        <is>
          <t>TTCGTGTWGCVTCGAATTAAAC</t>
        </is>
      </c>
      <c r="E26" s="4" t="inlineStr">
        <is>
          <t>954–975</t>
        </is>
      </c>
      <c r="F26" s="4" t="n">
        <v>22</v>
      </c>
      <c r="G26" s="6" t="n">
        <v>6</v>
      </c>
      <c r="H26" s="4" t="inlineStr">
        <is>
          <t>58.5–61.7</t>
        </is>
      </c>
      <c r="I26" s="4" t="n">
        <v>0</v>
      </c>
      <c r="J26" s="4" t="inlineStr">
        <is>
          <t>主</t>
        </is>
      </c>
      <c r="K26" s="7">
        <f>IF(COUNTIFS($B$4:$B$39,B26,$J$4:$J$39,"补")=0,1,IF(J26="补",0.1,0.9))*G26/SUMIFS($G$4:$G$39,$B$4:$B$39,B26,$J$4:$J$39,J26)</f>
        <v/>
      </c>
      <c r="L26" s="8">
        <f>K26*$B$1</f>
        <v/>
      </c>
    </row>
    <row r="27">
      <c r="A27" s="4" t="inlineStr">
        <is>
          <t>16S-A4-R.4s</t>
        </is>
      </c>
      <c r="B27" s="4" t="inlineStr">
        <is>
          <t>A4-R</t>
        </is>
      </c>
      <c r="C27" s="4" t="inlineStr">
        <is>
          <t>补充</t>
        </is>
      </c>
      <c r="D27" s="6" t="inlineStr">
        <is>
          <t>CGTGTATYRTCGAATTAARC</t>
        </is>
      </c>
      <c r="E27" s="4" t="inlineStr">
        <is>
          <t>954–973</t>
        </is>
      </c>
      <c r="F27" s="4" t="n">
        <v>20</v>
      </c>
      <c r="G27" s="6" t="n">
        <v>8</v>
      </c>
      <c r="H27" s="4" t="inlineStr">
        <is>
          <t>51.2–58.2</t>
        </is>
      </c>
      <c r="I27" s="4" t="n">
        <v>6</v>
      </c>
      <c r="J27" s="4" t="inlineStr">
        <is>
          <t>补</t>
        </is>
      </c>
      <c r="K27" s="7">
        <f>IF(COUNTIFS($B$4:$B$39,B27,$J$4:$J$39,"补")=0,1,IF(J27="补",0.1,0.9))*G27/SUMIFS($G$4:$G$39,$B$4:$B$39,B27,$J$4:$J$39,J27)</f>
        <v/>
      </c>
      <c r="L27" s="8">
        <f>K27*$B$1</f>
        <v/>
      </c>
    </row>
    <row r="28">
      <c r="A28" s="4" t="inlineStr">
        <is>
          <t>16S-A4-R.5s</t>
        </is>
      </c>
      <c r="B28" s="4" t="inlineStr">
        <is>
          <t>A4-R</t>
        </is>
      </c>
      <c r="C28" s="4" t="inlineStr">
        <is>
          <t>补充</t>
        </is>
      </c>
      <c r="D28" s="6" t="inlineStr">
        <is>
          <t>CGCGTABCTTCRAATTAAAC</t>
        </is>
      </c>
      <c r="E28" s="4" t="inlineStr">
        <is>
          <t>954–973</t>
        </is>
      </c>
      <c r="F28" s="4" t="n">
        <v>20</v>
      </c>
      <c r="G28" s="6" t="n">
        <v>6</v>
      </c>
      <c r="H28" s="4" t="inlineStr">
        <is>
          <t>54.4–59.0</t>
        </is>
      </c>
      <c r="I28" s="4" t="n">
        <v>1</v>
      </c>
      <c r="J28" s="4" t="inlineStr">
        <is>
          <t>补</t>
        </is>
      </c>
      <c r="K28" s="7">
        <f>IF(COUNTIFS($B$4:$B$39,B28,$J$4:$J$39,"补")=0,1,IF(J28="补",0.1,0.9))*G28/SUMIFS($G$4:$G$39,$B$4:$B$39,B28,$J$4:$J$39,J28)</f>
        <v/>
      </c>
      <c r="L28" s="8">
        <f>K28*$B$1</f>
        <v/>
      </c>
    </row>
    <row r="29">
      <c r="A29" s="4" t="inlineStr">
        <is>
          <t>16S-A5-F.1</t>
        </is>
      </c>
      <c r="B29" s="4" t="inlineStr">
        <is>
          <t>A5-F</t>
        </is>
      </c>
      <c r="C29" s="4" t="inlineStr">
        <is>
          <t>主引物</t>
        </is>
      </c>
      <c r="D29" s="6" t="inlineStr">
        <is>
          <t>MWACGCGARGAACCTTACC</t>
        </is>
      </c>
      <c r="E29" s="4" t="inlineStr">
        <is>
          <t>967–985</t>
        </is>
      </c>
      <c r="F29" s="4" t="n">
        <v>19</v>
      </c>
      <c r="G29" s="6" t="n">
        <v>8</v>
      </c>
      <c r="H29" s="4" t="inlineStr">
        <is>
          <t>58.3–62.1</t>
        </is>
      </c>
      <c r="I29" s="4" t="n">
        <v>9</v>
      </c>
      <c r="J29" s="4" t="inlineStr">
        <is>
          <t>主</t>
        </is>
      </c>
      <c r="K29" s="7">
        <f>IF(COUNTIFS($B$4:$B$39,B29,$J$4:$J$39,"补")=0,1,IF(J29="补",0.1,0.9))*G29/SUMIFS($G$4:$G$39,$B$4:$B$39,B29,$J$4:$J$39,J29)</f>
        <v/>
      </c>
      <c r="L29" s="8">
        <f>K29*$B$1</f>
        <v/>
      </c>
    </row>
    <row r="30">
      <c r="A30" s="4" t="inlineStr">
        <is>
          <t>16S-A5-F.3</t>
        </is>
      </c>
      <c r="B30" s="4" t="inlineStr">
        <is>
          <t>A5-F</t>
        </is>
      </c>
      <c r="C30" s="4" t="inlineStr">
        <is>
          <t>主引物</t>
        </is>
      </c>
      <c r="D30" s="6" t="inlineStr">
        <is>
          <t>RTACMCGAARAACCTTACC</t>
        </is>
      </c>
      <c r="E30" s="4" t="inlineStr">
        <is>
          <t>967–985</t>
        </is>
      </c>
      <c r="F30" s="4" t="n">
        <v>19</v>
      </c>
      <c r="G30" s="6" t="n">
        <v>8</v>
      </c>
      <c r="H30" s="4" t="inlineStr">
        <is>
          <t>53.9–58.2</t>
        </is>
      </c>
      <c r="I30" s="4" t="n">
        <v>18</v>
      </c>
      <c r="J30" s="4" t="inlineStr">
        <is>
          <t>主</t>
        </is>
      </c>
      <c r="K30" s="7">
        <f>IF(COUNTIFS($B$4:$B$39,B30,$J$4:$J$39,"补")=0,1,IF(J30="补",0.1,0.9))*G30/SUMIFS($G$4:$G$39,$B$4:$B$39,B30,$J$4:$J$39,J30)</f>
        <v/>
      </c>
      <c r="L30" s="8">
        <f>K30*$B$1</f>
        <v/>
      </c>
    </row>
    <row r="31">
      <c r="A31" s="4" t="inlineStr">
        <is>
          <t>16S-A5-R.1</t>
        </is>
      </c>
      <c r="B31" s="4" t="inlineStr">
        <is>
          <t>A5-R</t>
        </is>
      </c>
      <c r="C31" s="4" t="inlineStr">
        <is>
          <t>主引物</t>
        </is>
      </c>
      <c r="D31" s="6" t="inlineStr">
        <is>
          <t>ATGMTGAYTTGACGTCRTC</t>
        </is>
      </c>
      <c r="E31" s="4" t="inlineStr">
        <is>
          <t>1188–1206</t>
        </is>
      </c>
      <c r="F31" s="4" t="n">
        <v>19</v>
      </c>
      <c r="G31" s="6" t="n">
        <v>8</v>
      </c>
      <c r="H31" s="4" t="inlineStr">
        <is>
          <t>54.2–61.5</t>
        </is>
      </c>
      <c r="I31" s="4" t="inlineStr">
        <is>
          <t>A5-R 两条合计 10</t>
        </is>
      </c>
      <c r="J31" s="4" t="inlineStr">
        <is>
          <t>主</t>
        </is>
      </c>
      <c r="K31" s="7">
        <f>IF(COUNTIFS($B$4:$B$39,B31,$J$4:$J$39,"补")=0,1,IF(J31="补",0.1,0.9))*G31/SUMIFS($G$4:$G$39,$B$4:$B$39,B31,$J$4:$J$39,J31)</f>
        <v/>
      </c>
      <c r="L31" s="8">
        <f>K31*$B$1</f>
        <v/>
      </c>
    </row>
    <row r="32">
      <c r="A32" s="4" t="inlineStr">
        <is>
          <t>16S-A5-R.2</t>
        </is>
      </c>
      <c r="B32" s="4" t="inlineStr">
        <is>
          <t>A5-R</t>
        </is>
      </c>
      <c r="C32" s="4" t="inlineStr">
        <is>
          <t>主引物</t>
        </is>
      </c>
      <c r="D32" s="6" t="inlineStr">
        <is>
          <t>ATRCTGACYTGACGTCRTC</t>
        </is>
      </c>
      <c r="E32" s="4" t="inlineStr">
        <is>
          <t>1188–1206</t>
        </is>
      </c>
      <c r="F32" s="4" t="n">
        <v>19</v>
      </c>
      <c r="G32" s="6" t="n">
        <v>8</v>
      </c>
      <c r="H32" s="4" t="inlineStr">
        <is>
          <t>55.4–63.4</t>
        </is>
      </c>
      <c r="I32" s="4" t="inlineStr">
        <is>
          <t>A5-R 两条合计 10</t>
        </is>
      </c>
      <c r="J32" s="4" t="inlineStr">
        <is>
          <t>主</t>
        </is>
      </c>
      <c r="K32" s="7">
        <f>IF(COUNTIFS($B$4:$B$39,B32,$J$4:$J$39,"补")=0,1,IF(J32="补",0.1,0.9))*G32/SUMIFS($G$4:$G$39,$B$4:$B$39,B32,$J$4:$J$39,J32)</f>
        <v/>
      </c>
      <c r="L32" s="8">
        <f>K32*$B$1</f>
        <v/>
      </c>
    </row>
    <row r="33">
      <c r="A33" s="4" t="inlineStr">
        <is>
          <t>16S-A6-F.1</t>
        </is>
      </c>
      <c r="B33" s="4" t="inlineStr">
        <is>
          <t>A6-F</t>
        </is>
      </c>
      <c r="C33" s="4" t="inlineStr">
        <is>
          <t>主引物</t>
        </is>
      </c>
      <c r="D33" s="6" t="inlineStr">
        <is>
          <t>GGCTRCACACRTGCTACAA</t>
        </is>
      </c>
      <c r="E33" s="4" t="inlineStr">
        <is>
          <t>1222–1240</t>
        </is>
      </c>
      <c r="F33" s="4" t="n">
        <v>19</v>
      </c>
      <c r="G33" s="6" t="n">
        <v>4</v>
      </c>
      <c r="H33" s="4" t="inlineStr">
        <is>
          <t>58.8–64.9</t>
        </is>
      </c>
      <c r="I33" s="4" t="n">
        <v>40</v>
      </c>
      <c r="J33" s="4" t="inlineStr">
        <is>
          <t>主</t>
        </is>
      </c>
      <c r="K33" s="7">
        <f>IF(COUNTIFS($B$4:$B$39,B33,$J$4:$J$39,"补")=0,1,IF(J33="补",0.1,0.9))*G33/SUMIFS($G$4:$G$39,$B$4:$B$39,B33,$J$4:$J$39,J33)</f>
        <v/>
      </c>
      <c r="L33" s="8">
        <f>K33*$B$1</f>
        <v/>
      </c>
    </row>
    <row r="34">
      <c r="A34" s="4" t="inlineStr">
        <is>
          <t>16S-A6-F.2</t>
        </is>
      </c>
      <c r="B34" s="4" t="inlineStr">
        <is>
          <t>A6-F</t>
        </is>
      </c>
      <c r="C34" s="4" t="inlineStr">
        <is>
          <t>主引物</t>
        </is>
      </c>
      <c r="D34" s="6" t="inlineStr">
        <is>
          <t>GGCKACACACGTGMTACAA</t>
        </is>
      </c>
      <c r="E34" s="4" t="inlineStr">
        <is>
          <t>1222–1240</t>
        </is>
      </c>
      <c r="F34" s="4" t="n">
        <v>19</v>
      </c>
      <c r="G34" s="6" t="n">
        <v>4</v>
      </c>
      <c r="H34" s="4" t="inlineStr">
        <is>
          <t>58.6–64.5</t>
        </is>
      </c>
      <c r="I34" s="4" t="n">
        <v>17</v>
      </c>
      <c r="J34" s="4" t="inlineStr">
        <is>
          <t>主</t>
        </is>
      </c>
      <c r="K34" s="7">
        <f>IF(COUNTIFS($B$4:$B$39,B34,$J$4:$J$39,"补")=0,1,IF(J34="补",0.1,0.9))*G34/SUMIFS($G$4:$G$39,$B$4:$B$39,B34,$J$4:$J$39,J34)</f>
        <v/>
      </c>
      <c r="L34" s="8">
        <f>K34*$B$1</f>
        <v/>
      </c>
    </row>
    <row r="35">
      <c r="A35" s="4" t="inlineStr">
        <is>
          <t>16S-A6-F.3</t>
        </is>
      </c>
      <c r="B35" s="4" t="inlineStr">
        <is>
          <t>A6-F</t>
        </is>
      </c>
      <c r="C35" s="4" t="inlineStr">
        <is>
          <t>主引物</t>
        </is>
      </c>
      <c r="D35" s="6" t="inlineStr">
        <is>
          <t>GGCTWCACGCGTGCTACAW</t>
        </is>
      </c>
      <c r="E35" s="4" t="inlineStr">
        <is>
          <t>1222–1240</t>
        </is>
      </c>
      <c r="F35" s="4" t="n">
        <v>19</v>
      </c>
      <c r="G35" s="6" t="n">
        <v>4</v>
      </c>
      <c r="H35" s="4" t="inlineStr">
        <is>
          <t>64.1–64.9</t>
        </is>
      </c>
      <c r="I35" s="4" t="n">
        <v>1</v>
      </c>
      <c r="J35" s="4" t="inlineStr">
        <is>
          <t>主</t>
        </is>
      </c>
      <c r="K35" s="7">
        <f>IF(COUNTIFS($B$4:$B$39,B35,$J$4:$J$39,"补")=0,1,IF(J35="补",0.1,0.9))*G35/SUMIFS($G$4:$G$39,$B$4:$B$39,B35,$J$4:$J$39,J35)</f>
        <v/>
      </c>
      <c r="L35" s="8">
        <f>K35*$B$1</f>
        <v/>
      </c>
    </row>
    <row r="36">
      <c r="A36" s="4" t="inlineStr">
        <is>
          <t>16S-A6-F.4s</t>
        </is>
      </c>
      <c r="B36" s="4" t="inlineStr">
        <is>
          <t>A6-F</t>
        </is>
      </c>
      <c r="C36" s="4" t="inlineStr">
        <is>
          <t>补充</t>
        </is>
      </c>
      <c r="D36" s="6" t="inlineStr">
        <is>
          <t>GGCYWCACACGTACTACAA</t>
        </is>
      </c>
      <c r="E36" s="4" t="inlineStr">
        <is>
          <t>1222–1240</t>
        </is>
      </c>
      <c r="F36" s="4" t="n">
        <v>19</v>
      </c>
      <c r="G36" s="6" t="n">
        <v>4</v>
      </c>
      <c r="H36" s="4" t="inlineStr">
        <is>
          <t>57.9–61.0</t>
        </is>
      </c>
      <c r="I36" s="4" t="n">
        <v>11</v>
      </c>
      <c r="J36" s="4" t="inlineStr">
        <is>
          <t>补</t>
        </is>
      </c>
      <c r="K36" s="7">
        <f>IF(COUNTIFS($B$4:$B$39,B36,$J$4:$J$39,"补")=0,1,IF(J36="补",0.1,0.9))*G36/SUMIFS($G$4:$G$39,$B$4:$B$39,B36,$J$4:$J$39,J36)</f>
        <v/>
      </c>
      <c r="L36" s="8">
        <f>K36*$B$1</f>
        <v/>
      </c>
    </row>
    <row r="37">
      <c r="A37" s="4" t="inlineStr">
        <is>
          <t>16S-A6-F.5s</t>
        </is>
      </c>
      <c r="B37" s="4" t="inlineStr">
        <is>
          <t>A6-F</t>
        </is>
      </c>
      <c r="C37" s="4" t="inlineStr">
        <is>
          <t>补充</t>
        </is>
      </c>
      <c r="D37" s="6" t="inlineStr">
        <is>
          <t>GGCTTCACACGTCATACAA</t>
        </is>
      </c>
      <c r="E37" s="4" t="inlineStr">
        <is>
          <t>1222–1240</t>
        </is>
      </c>
      <c r="F37" s="4" t="n">
        <v>19</v>
      </c>
      <c r="G37" s="6" t="n">
        <v>1</v>
      </c>
      <c r="H37" s="4" t="inlineStr">
        <is>
          <t>59.2–59.2</t>
        </is>
      </c>
      <c r="I37" s="4" t="n">
        <v>9</v>
      </c>
      <c r="J37" s="4" t="inlineStr">
        <is>
          <t>补</t>
        </is>
      </c>
      <c r="K37" s="7">
        <f>IF(COUNTIFS($B$4:$B$39,B37,$J$4:$J$39,"补")=0,1,IF(J37="补",0.1,0.9))*G37/SUMIFS($G$4:$G$39,$B$4:$B$39,B37,$J$4:$J$39,J37)</f>
        <v/>
      </c>
      <c r="L37" s="8">
        <f>K37*$B$1</f>
        <v/>
      </c>
    </row>
    <row r="38">
      <c r="A38" s="4" t="inlineStr">
        <is>
          <t>16S-A6-R.1</t>
        </is>
      </c>
      <c r="B38" s="4" t="inlineStr">
        <is>
          <t>A6-R</t>
        </is>
      </c>
      <c r="C38" s="4" t="inlineStr">
        <is>
          <t>主引物</t>
        </is>
      </c>
      <c r="D38" s="6" t="inlineStr">
        <is>
          <t>CTTGTTACGACTTCRYCCY</t>
        </is>
      </c>
      <c r="E38" s="4" t="inlineStr">
        <is>
          <t>1486–1504</t>
        </is>
      </c>
      <c r="F38" s="4" t="n">
        <v>19</v>
      </c>
      <c r="G38" s="6" t="n">
        <v>8</v>
      </c>
      <c r="H38" s="4" t="inlineStr">
        <is>
          <t>55.6–62.1</t>
        </is>
      </c>
      <c r="I38" s="4" t="n">
        <v>28</v>
      </c>
      <c r="J38" s="4" t="inlineStr">
        <is>
          <t>主</t>
        </is>
      </c>
      <c r="K38" s="7">
        <f>IF(COUNTIFS($B$4:$B$39,B38,$J$4:$J$39,"补")=0,1,IF(J38="补",0.1,0.9))*G38/SUMIFS($G$4:$G$39,$B$4:$B$39,B38,$J$4:$J$39,J38)</f>
        <v/>
      </c>
      <c r="L38" s="8">
        <f>K38*$B$1</f>
        <v/>
      </c>
    </row>
    <row r="39">
      <c r="A39" s="4" t="inlineStr">
        <is>
          <t>16S-A6-R.3</t>
        </is>
      </c>
      <c r="B39" s="4" t="inlineStr">
        <is>
          <t>A6-R</t>
        </is>
      </c>
      <c r="C39" s="4" t="inlineStr">
        <is>
          <t>主引物</t>
        </is>
      </c>
      <c r="D39" s="6" t="inlineStr">
        <is>
          <t>CCTTGTTACGACTTMACHCC</t>
        </is>
      </c>
      <c r="E39" s="4" t="inlineStr">
        <is>
          <t>1486–1505</t>
        </is>
      </c>
      <c r="F39" s="4" t="n">
        <v>20</v>
      </c>
      <c r="G39" s="6" t="n">
        <v>6</v>
      </c>
      <c r="H39" s="4" t="inlineStr">
        <is>
          <t>56.9–61.7</t>
        </is>
      </c>
      <c r="I39" s="4" t="n">
        <v>9</v>
      </c>
      <c r="J39" s="4" t="inlineStr">
        <is>
          <t>主</t>
        </is>
      </c>
      <c r="K39" s="7">
        <f>IF(COUNTIFS($B$4:$B$39,B39,$J$4:$J$39,"补")=0,1,IF(J39="补",0.1,0.9))*G39/SUMIFS($G$4:$G$39,$B$4:$B$39,B39,$J$4:$J$39,J39)</f>
        <v/>
      </c>
      <c r="L39" s="8">
        <f>K39*$B$1</f>
        <v/>
      </c>
    </row>
    <row r="41">
      <c r="A41" s="5" t="inlineStr">
        <is>
          <t>合计</t>
        </is>
      </c>
      <c r="G41" s="5">
        <f>SUM(G4:G39)</f>
        <v/>
      </c>
      <c r="L41" s="5">
        <f>SUM(L4:L39)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44" customWidth="1" min="4" max="4"/>
    <col width="12" customWidth="1" min="5" max="5"/>
    <col width="8" customWidth="1" min="6" max="6"/>
    <col width="8" customWidth="1" min="7" max="7"/>
    <col width="12" customWidth="1" min="8" max="8"/>
    <col width="26" customWidth="1" min="9" max="9"/>
    <col width="6" customWidth="1" min="10" max="10"/>
    <col width="12" customWidth="1" min="11" max="11"/>
    <col width="12" customWidth="1" min="12" max="12"/>
  </cols>
  <sheetData>
    <row r="1">
      <c r="A1" s="5" t="inlineStr">
        <is>
          <t>每位点总量 µL（可改）</t>
        </is>
      </c>
      <c r="B1" s="6" t="n">
        <v>2.5</v>
      </c>
    </row>
    <row r="3">
      <c r="A3" s="3" t="inlineStr">
        <is>
          <t>名称</t>
        </is>
      </c>
      <c r="B3" s="3" t="inlineStr">
        <is>
          <t>位点</t>
        </is>
      </c>
      <c r="C3" s="3" t="inlineStr">
        <is>
          <t>类型</t>
        </is>
      </c>
      <c r="D3" s="3" t="inlineStr">
        <is>
          <t>5′→3′序列</t>
        </is>
      </c>
      <c r="E3" s="3" t="inlineStr">
        <is>
          <t>位置</t>
        </is>
      </c>
      <c r="F3" s="3" t="inlineStr">
        <is>
          <t>长度nt</t>
        </is>
      </c>
      <c r="G3" s="3" t="inlineStr">
        <is>
          <t>展开数</t>
        </is>
      </c>
      <c r="H3" s="3" t="inlineStr">
        <is>
          <t>Tm范围°C</t>
        </is>
      </c>
      <c r="I3" s="3" t="inlineStr">
        <is>
          <t>人基因组≤2错配位点数</t>
        </is>
      </c>
      <c r="J3" s="3" t="inlineStr">
        <is>
          <t>组</t>
        </is>
      </c>
      <c r="K3" s="3" t="inlineStr">
        <is>
          <t>占位点比例</t>
        </is>
      </c>
      <c r="L3" s="3" t="inlineStr">
        <is>
          <t>加入体积 µL</t>
        </is>
      </c>
    </row>
    <row r="4">
      <c r="A4" s="4" t="inlineStr">
        <is>
          <t>16S-A1-F.SNAP</t>
        </is>
      </c>
      <c r="B4" s="4" t="inlineStr">
        <is>
          <t>A1-F</t>
        </is>
      </c>
      <c r="C4" s="4" t="inlineStr">
        <is>
          <t>主引物（SNAP V1_f）</t>
        </is>
      </c>
      <c r="D4" s="6" t="inlineStr">
        <is>
          <t>GAGTTTGATCMTGGCTCAG</t>
        </is>
      </c>
      <c r="E4" s="4" t="inlineStr">
        <is>
          <t>9–27</t>
        </is>
      </c>
      <c r="F4" s="4" t="n">
        <v>19</v>
      </c>
      <c r="G4" s="6" t="n">
        <v>2</v>
      </c>
      <c r="H4" s="4" t="inlineStr">
        <is>
          <t>57.1–58.9</t>
        </is>
      </c>
      <c r="I4" s="4" t="inlineStr">
        <is>
          <t>未单独扫描（此前评估比 A1-F.1–.3 低约 10 倍）</t>
        </is>
      </c>
      <c r="J4" s="4" t="inlineStr">
        <is>
          <t>主</t>
        </is>
      </c>
      <c r="K4" s="7">
        <f>IF(COUNTIFS($B$4:$B$36,B4,$J$4:$J$36,"补")=0,1,IF(J4="补",0.1,0.9))*G4/SUMIFS($G$4:$G$36,$B$4:$B$36,B4,$J$4:$J$36,J4)</f>
        <v/>
      </c>
      <c r="L4" s="8">
        <f>K4*$B$1</f>
        <v/>
      </c>
    </row>
    <row r="5">
      <c r="A5" s="4" t="inlineStr">
        <is>
          <t>16S-A1-R.1</t>
        </is>
      </c>
      <c r="B5" s="4" t="inlineStr">
        <is>
          <t>A1-R</t>
        </is>
      </c>
      <c r="C5" s="4" t="inlineStr">
        <is>
          <t>主引物</t>
        </is>
      </c>
      <c r="D5" s="6" t="inlineStr">
        <is>
          <t>GTTACCYCACCAACWARCT</t>
        </is>
      </c>
      <c r="E5" s="4" t="inlineStr">
        <is>
          <t>246–264</t>
        </is>
      </c>
      <c r="F5" s="4" t="n">
        <v>19</v>
      </c>
      <c r="G5" s="6" t="n">
        <v>8</v>
      </c>
      <c r="H5" s="4" t="inlineStr">
        <is>
          <t>55.1–61.3</t>
        </is>
      </c>
      <c r="I5" s="4" t="n">
        <v>49</v>
      </c>
      <c r="J5" s="4" t="inlineStr">
        <is>
          <t>主</t>
        </is>
      </c>
      <c r="K5" s="7">
        <f>IF(COUNTIFS($B$4:$B$36,B5,$J$4:$J$36,"补")=0,1,IF(J5="补",0.1,0.9))*G5/SUMIFS($G$4:$G$36,$B$4:$B$36,B5,$J$4:$J$36,J5)</f>
        <v/>
      </c>
      <c r="L5" s="8">
        <f>K5*$B$1</f>
        <v/>
      </c>
    </row>
    <row r="6">
      <c r="A6" s="4" t="inlineStr">
        <is>
          <t>16S-A1-R.2</t>
        </is>
      </c>
      <c r="B6" s="4" t="inlineStr">
        <is>
          <t>A1-R</t>
        </is>
      </c>
      <c r="C6" s="4" t="inlineStr">
        <is>
          <t>主引物</t>
        </is>
      </c>
      <c r="D6" s="6" t="inlineStr">
        <is>
          <t>GTTACCCCRCCAACTABCT</t>
        </is>
      </c>
      <c r="E6" s="4" t="inlineStr">
        <is>
          <t>246–264</t>
        </is>
      </c>
      <c r="F6" s="4" t="n">
        <v>19</v>
      </c>
      <c r="G6" s="6" t="n">
        <v>6</v>
      </c>
      <c r="H6" s="4" t="inlineStr">
        <is>
          <t>57.1–63.1</t>
        </is>
      </c>
      <c r="I6" s="4" t="n">
        <v>18</v>
      </c>
      <c r="J6" s="4" t="inlineStr">
        <is>
          <t>主</t>
        </is>
      </c>
      <c r="K6" s="7">
        <f>IF(COUNTIFS($B$4:$B$36,B6,$J$4:$J$36,"补")=0,1,IF(J6="补",0.1,0.9))*G6/SUMIFS($G$4:$G$36,$B$4:$B$36,B6,$J$4:$J$36,J6)</f>
        <v/>
      </c>
      <c r="L6" s="8">
        <f>K6*$B$1</f>
        <v/>
      </c>
    </row>
    <row r="7">
      <c r="A7" s="4" t="inlineStr">
        <is>
          <t>16S-A1-R.3</t>
        </is>
      </c>
      <c r="B7" s="4" t="inlineStr">
        <is>
          <t>A1-R</t>
        </is>
      </c>
      <c r="C7" s="4" t="inlineStr">
        <is>
          <t>主引物</t>
        </is>
      </c>
      <c r="D7" s="6" t="inlineStr">
        <is>
          <t>CGTTACCYTACCAACTARYT</t>
        </is>
      </c>
      <c r="E7" s="4" t="inlineStr">
        <is>
          <t>246–265</t>
        </is>
      </c>
      <c r="F7" s="4" t="n">
        <v>20</v>
      </c>
      <c r="G7" s="6" t="n">
        <v>8</v>
      </c>
      <c r="H7" s="4" t="inlineStr">
        <is>
          <t>54.0–59.9</t>
        </is>
      </c>
      <c r="I7" s="4" t="n">
        <v>10</v>
      </c>
      <c r="J7" s="4" t="inlineStr">
        <is>
          <t>主</t>
        </is>
      </c>
      <c r="K7" s="7">
        <f>IF(COUNTIFS($B$4:$B$36,B7,$J$4:$J$36,"补")=0,1,IF(J7="补",0.1,0.9))*G7/SUMIFS($G$4:$G$36,$B$4:$B$36,B7,$J$4:$J$36,J7)</f>
        <v/>
      </c>
      <c r="L7" s="8">
        <f>K7*$B$1</f>
        <v/>
      </c>
    </row>
    <row r="8">
      <c r="A8" s="4" t="inlineStr">
        <is>
          <t>16S-A1-R.4</t>
        </is>
      </c>
      <c r="B8" s="4" t="inlineStr">
        <is>
          <t>A1-R</t>
        </is>
      </c>
      <c r="C8" s="4" t="inlineStr">
        <is>
          <t>主引物</t>
        </is>
      </c>
      <c r="D8" s="6" t="inlineStr">
        <is>
          <t>CATTACCCYACCAACTARYT</t>
        </is>
      </c>
      <c r="E8" s="4" t="inlineStr">
        <is>
          <t>246–265</t>
        </is>
      </c>
      <c r="F8" s="4" t="n">
        <v>20</v>
      </c>
      <c r="G8" s="6" t="n">
        <v>8</v>
      </c>
      <c r="H8" s="4" t="inlineStr">
        <is>
          <t>53.3–60.5</t>
        </is>
      </c>
      <c r="I8" s="4" t="n">
        <v>25</v>
      </c>
      <c r="J8" s="4" t="inlineStr">
        <is>
          <t>主</t>
        </is>
      </c>
      <c r="K8" s="7">
        <f>IF(COUNTIFS($B$4:$B$36,B8,$J$4:$J$36,"补")=0,1,IF(J8="补",0.1,0.9))*G8/SUMIFS($G$4:$G$36,$B$4:$B$36,B8,$J$4:$J$36,J8)</f>
        <v/>
      </c>
      <c r="L8" s="8">
        <f>K8*$B$1</f>
        <v/>
      </c>
    </row>
    <row r="9">
      <c r="A9" s="4" t="inlineStr">
        <is>
          <t>16S-A1-R.7s</t>
        </is>
      </c>
      <c r="B9" s="4" t="inlineStr">
        <is>
          <t>A1-R</t>
        </is>
      </c>
      <c r="C9" s="4" t="inlineStr">
        <is>
          <t>补充</t>
        </is>
      </c>
      <c r="D9" s="6" t="inlineStr">
        <is>
          <t>GTTACCCCGCCRWCWAGCT</t>
        </is>
      </c>
      <c r="E9" s="4" t="inlineStr">
        <is>
          <t>246–264</t>
        </is>
      </c>
      <c r="F9" s="4" t="n">
        <v>19</v>
      </c>
      <c r="G9" s="6" t="n">
        <v>8</v>
      </c>
      <c r="H9" s="4" t="inlineStr">
        <is>
          <t>62.6–66.3</t>
        </is>
      </c>
      <c r="I9" s="4" t="n">
        <v>12</v>
      </c>
      <c r="J9" s="4" t="inlineStr">
        <is>
          <t>补</t>
        </is>
      </c>
      <c r="K9" s="7">
        <f>IF(COUNTIFS($B$4:$B$36,B9,$J$4:$J$36,"补")=0,1,IF(J9="补",0.1,0.9))*G9/SUMIFS($G$4:$G$36,$B$4:$B$36,B9,$J$4:$J$36,J9)</f>
        <v/>
      </c>
      <c r="L9" s="8">
        <f>K9*$B$1</f>
        <v/>
      </c>
    </row>
    <row r="10">
      <c r="A10" s="4" t="inlineStr">
        <is>
          <t>16S-A1-R.8s</t>
        </is>
      </c>
      <c r="B10" s="4" t="inlineStr">
        <is>
          <t>A1-R</t>
        </is>
      </c>
      <c r="C10" s="4" t="inlineStr">
        <is>
          <t>补充</t>
        </is>
      </c>
      <c r="D10" s="6" t="inlineStr">
        <is>
          <t>GTTACCCCGCCWRCTRCCT</t>
        </is>
      </c>
      <c r="E10" s="4" t="inlineStr">
        <is>
          <t>246–264</t>
        </is>
      </c>
      <c r="F10" s="4" t="n">
        <v>19</v>
      </c>
      <c r="G10" s="6" t="n">
        <v>8</v>
      </c>
      <c r="H10" s="4" t="inlineStr">
        <is>
          <t>61.5–68.6</t>
        </is>
      </c>
      <c r="I10" s="4" t="n">
        <v>43</v>
      </c>
      <c r="J10" s="4" t="inlineStr">
        <is>
          <t>补</t>
        </is>
      </c>
      <c r="K10" s="7">
        <f>IF(COUNTIFS($B$4:$B$36,B10,$J$4:$J$36,"补")=0,1,IF(J10="补",0.1,0.9))*G10/SUMIFS($G$4:$G$36,$B$4:$B$36,B10,$J$4:$J$36,J10)</f>
        <v/>
      </c>
      <c r="L10" s="8">
        <f>K10*$B$1</f>
        <v/>
      </c>
    </row>
    <row r="11">
      <c r="A11" s="4" t="inlineStr">
        <is>
          <t>16S-A1-R.9s</t>
        </is>
      </c>
      <c r="B11" s="4" t="inlineStr">
        <is>
          <t>A1-R</t>
        </is>
      </c>
      <c r="C11" s="4" t="inlineStr">
        <is>
          <t>补充</t>
        </is>
      </c>
      <c r="D11" s="6" t="inlineStr">
        <is>
          <t>GTCACCCCGCCAWCAAGCT</t>
        </is>
      </c>
      <c r="E11" s="4" t="inlineStr">
        <is>
          <t>246–264</t>
        </is>
      </c>
      <c r="F11" s="4" t="n">
        <v>19</v>
      </c>
      <c r="G11" s="6" t="n">
        <v>2</v>
      </c>
      <c r="H11" s="4" t="inlineStr">
        <is>
          <t>66.4–66.9</t>
        </is>
      </c>
      <c r="I11" s="4" t="n">
        <v>5</v>
      </c>
      <c r="J11" s="4" t="inlineStr">
        <is>
          <t>补</t>
        </is>
      </c>
      <c r="K11" s="7">
        <f>IF(COUNTIFS($B$4:$B$36,B11,$J$4:$J$36,"补")=0,1,IF(J11="补",0.1,0.9))*G11/SUMIFS($G$4:$G$36,$B$4:$B$36,B11,$J$4:$J$36,J11)</f>
        <v/>
      </c>
      <c r="L11" s="8">
        <f>K11*$B$1</f>
        <v/>
      </c>
    </row>
    <row r="12">
      <c r="A12" s="4" t="inlineStr">
        <is>
          <t>16S-A2-F.1</t>
        </is>
      </c>
      <c r="B12" s="4" t="inlineStr">
        <is>
          <t>A2-F</t>
        </is>
      </c>
      <c r="C12" s="4" t="inlineStr">
        <is>
          <t>主引物</t>
        </is>
      </c>
      <c r="D12" s="6" t="inlineStr">
        <is>
          <t>CAYKGGGACTGAGACACKG</t>
        </is>
      </c>
      <c r="E12" s="4" t="inlineStr">
        <is>
          <t>314–332</t>
        </is>
      </c>
      <c r="F12" s="4" t="n">
        <v>19</v>
      </c>
      <c r="G12" s="6" t="n">
        <v>8</v>
      </c>
      <c r="H12" s="4" t="inlineStr">
        <is>
          <t>58.8–65.9</t>
        </is>
      </c>
      <c r="I12" s="4" t="n">
        <v>95</v>
      </c>
      <c r="J12" s="4" t="inlineStr">
        <is>
          <t>主</t>
        </is>
      </c>
      <c r="K12" s="7">
        <f>IF(COUNTIFS($B$4:$B$36,B12,$J$4:$J$36,"补")=0,1,IF(J12="补",0.1,0.9))*G12/SUMIFS($G$4:$G$36,$B$4:$B$36,B12,$J$4:$J$36,J12)</f>
        <v/>
      </c>
      <c r="L12" s="8">
        <f>K12*$B$1</f>
        <v/>
      </c>
    </row>
    <row r="13">
      <c r="A13" s="4" t="inlineStr">
        <is>
          <t>16S-A2-F.2</t>
        </is>
      </c>
      <c r="B13" s="4" t="inlineStr">
        <is>
          <t>A2-F</t>
        </is>
      </c>
      <c r="C13" s="4" t="inlineStr">
        <is>
          <t>主引物</t>
        </is>
      </c>
      <c r="D13" s="6" t="inlineStr">
        <is>
          <t>CACTGGRACTGARAYACGG</t>
        </is>
      </c>
      <c r="E13" s="4" t="inlineStr">
        <is>
          <t>314–332</t>
        </is>
      </c>
      <c r="F13" s="4" t="n">
        <v>19</v>
      </c>
      <c r="G13" s="6" t="n">
        <v>8</v>
      </c>
      <c r="H13" s="4" t="inlineStr">
        <is>
          <t>57.0–63.3</t>
        </is>
      </c>
      <c r="I13" s="4" t="n">
        <v>27</v>
      </c>
      <c r="J13" s="4" t="inlineStr">
        <is>
          <t>主</t>
        </is>
      </c>
      <c r="K13" s="7">
        <f>IF(COUNTIFS($B$4:$B$36,B13,$J$4:$J$36,"补")=0,1,IF(J13="补",0.1,0.9))*G13/SUMIFS($G$4:$G$36,$B$4:$B$36,B13,$J$4:$J$36,J13)</f>
        <v/>
      </c>
      <c r="L13" s="8">
        <f>K13*$B$1</f>
        <v/>
      </c>
    </row>
    <row r="14">
      <c r="A14" s="4" t="inlineStr">
        <is>
          <t>16S-A2-F.3</t>
        </is>
      </c>
      <c r="B14" s="4" t="inlineStr">
        <is>
          <t>A2-F</t>
        </is>
      </c>
      <c r="C14" s="4" t="inlineStr">
        <is>
          <t>主引物</t>
        </is>
      </c>
      <c r="D14" s="6" t="inlineStr">
        <is>
          <t>CARKGGRACTGAGACACGG</t>
        </is>
      </c>
      <c r="E14" s="4" t="inlineStr">
        <is>
          <t>314–332</t>
        </is>
      </c>
      <c r="F14" s="4" t="n">
        <v>19</v>
      </c>
      <c r="G14" s="6" t="n">
        <v>8</v>
      </c>
      <c r="H14" s="4" t="inlineStr">
        <is>
          <t>59.5–65.4</t>
        </is>
      </c>
      <c r="I14" s="4" t="n">
        <v>36</v>
      </c>
      <c r="J14" s="4" t="inlineStr">
        <is>
          <t>主</t>
        </is>
      </c>
      <c r="K14" s="7">
        <f>IF(COUNTIFS($B$4:$B$36,B14,$J$4:$J$36,"补")=0,1,IF(J14="补",0.1,0.9))*G14/SUMIFS($G$4:$G$36,$B$4:$B$36,B14,$J$4:$J$36,J14)</f>
        <v/>
      </c>
      <c r="L14" s="8">
        <f>K14*$B$1</f>
        <v/>
      </c>
    </row>
    <row r="15">
      <c r="A15" s="4" t="inlineStr">
        <is>
          <t>16S-A2-R.1</t>
        </is>
      </c>
      <c r="B15" s="4" t="inlineStr">
        <is>
          <t>A2-R</t>
        </is>
      </c>
      <c r="C15" s="4" t="inlineStr">
        <is>
          <t>主引物</t>
        </is>
      </c>
      <c r="D15" s="6" t="inlineStr">
        <is>
          <t>GCTGGCACGKARTTAGCCR</t>
        </is>
      </c>
      <c r="E15" s="4" t="inlineStr">
        <is>
          <t>504–522</t>
        </is>
      </c>
      <c r="F15" s="4" t="n">
        <v>19</v>
      </c>
      <c r="G15" s="6" t="n">
        <v>8</v>
      </c>
      <c r="H15" s="4" t="inlineStr">
        <is>
          <t>61.9–67.2</t>
        </is>
      </c>
      <c r="I15" s="4" t="n">
        <v>28</v>
      </c>
      <c r="J15" s="4" t="inlineStr">
        <is>
          <t>主</t>
        </is>
      </c>
      <c r="K15" s="7">
        <f>IF(COUNTIFS($B$4:$B$36,B15,$J$4:$J$36,"补")=0,1,IF(J15="补",0.1,0.9))*G15/SUMIFS($G$4:$G$36,$B$4:$B$36,B15,$J$4:$J$36,J15)</f>
        <v/>
      </c>
      <c r="L15" s="8">
        <f>K15*$B$1</f>
        <v/>
      </c>
    </row>
    <row r="16">
      <c r="A16" s="4" t="inlineStr">
        <is>
          <t>16S-A2-R.2</t>
        </is>
      </c>
      <c r="B16" s="4" t="inlineStr">
        <is>
          <t>A2-R</t>
        </is>
      </c>
      <c r="C16" s="4" t="inlineStr">
        <is>
          <t>主引物</t>
        </is>
      </c>
      <c r="D16" s="6" t="inlineStr">
        <is>
          <t>GCTGGCACGAASTTAGYCS</t>
        </is>
      </c>
      <c r="E16" s="4" t="inlineStr">
        <is>
          <t>504–522</t>
        </is>
      </c>
      <c r="F16" s="4" t="n">
        <v>19</v>
      </c>
      <c r="G16" s="6" t="n">
        <v>8</v>
      </c>
      <c r="H16" s="4" t="inlineStr">
        <is>
          <t>62.1–65.3</t>
        </is>
      </c>
      <c r="I16" s="4" t="n">
        <v>7</v>
      </c>
      <c r="J16" s="4" t="inlineStr">
        <is>
          <t>主</t>
        </is>
      </c>
      <c r="K16" s="7">
        <f>IF(COUNTIFS($B$4:$B$36,B16,$J$4:$J$36,"补")=0,1,IF(J16="补",0.1,0.9))*G16/SUMIFS($G$4:$G$36,$B$4:$B$36,B16,$J$4:$J$36,J16)</f>
        <v/>
      </c>
      <c r="L16" s="8">
        <f>K16*$B$1</f>
        <v/>
      </c>
    </row>
    <row r="17">
      <c r="A17" s="4" t="inlineStr">
        <is>
          <t>16S-A2-R.3</t>
        </is>
      </c>
      <c r="B17" s="4" t="inlineStr">
        <is>
          <t>A2-R</t>
        </is>
      </c>
      <c r="C17" s="4" t="inlineStr">
        <is>
          <t>主引物</t>
        </is>
      </c>
      <c r="D17" s="6" t="inlineStr">
        <is>
          <t>GCTGGCACAKAGTTAGYYG</t>
        </is>
      </c>
      <c r="E17" s="4" t="inlineStr">
        <is>
          <t>504–522</t>
        </is>
      </c>
      <c r="F17" s="4" t="n">
        <v>19</v>
      </c>
      <c r="G17" s="6" t="n">
        <v>8</v>
      </c>
      <c r="H17" s="4" t="inlineStr">
        <is>
          <t>57.4–64.7</t>
        </is>
      </c>
      <c r="I17" s="4" t="n">
        <v>41</v>
      </c>
      <c r="J17" s="4" t="inlineStr">
        <is>
          <t>主</t>
        </is>
      </c>
      <c r="K17" s="7">
        <f>IF(COUNTIFS($B$4:$B$36,B17,$J$4:$J$36,"补")=0,1,IF(J17="补",0.1,0.9))*G17/SUMIFS($G$4:$G$36,$B$4:$B$36,B17,$J$4:$J$36,J17)</f>
        <v/>
      </c>
      <c r="L17" s="8">
        <f>K17*$B$1</f>
        <v/>
      </c>
    </row>
    <row r="18">
      <c r="A18" s="4" t="inlineStr">
        <is>
          <t>16S-A3-F.1</t>
        </is>
      </c>
      <c r="B18" s="4" t="inlineStr">
        <is>
          <t>A3-F</t>
        </is>
      </c>
      <c r="C18" s="4" t="inlineStr">
        <is>
          <t>主引物</t>
        </is>
      </c>
      <c r="D18" s="6" t="inlineStr">
        <is>
          <t>CCAGCAGCCGCGGTAABWC</t>
        </is>
      </c>
      <c r="E18" s="4" t="inlineStr">
        <is>
          <t>518–536</t>
        </is>
      </c>
      <c r="F18" s="4" t="n">
        <v>19</v>
      </c>
      <c r="G18" s="6" t="n">
        <v>6</v>
      </c>
      <c r="H18" s="4" t="inlineStr">
        <is>
          <t>64.8–67.8</t>
        </is>
      </c>
      <c r="I18" s="4" t="n">
        <v>10</v>
      </c>
      <c r="J18" s="4" t="inlineStr">
        <is>
          <t>主</t>
        </is>
      </c>
      <c r="K18" s="7">
        <f>IF(COUNTIFS($B$4:$B$36,B18,$J$4:$J$36,"补")=0,1,IF(J18="补",0.1,0.9))*G18/SUMIFS($G$4:$G$36,$B$4:$B$36,B18,$J$4:$J$36,J18)</f>
        <v/>
      </c>
      <c r="L18" s="8">
        <f>K18*$B$1</f>
        <v/>
      </c>
    </row>
    <row r="19">
      <c r="A19" s="4" t="inlineStr">
        <is>
          <t>16S-A3-F.2</t>
        </is>
      </c>
      <c r="B19" s="4" t="inlineStr">
        <is>
          <t>A3-F</t>
        </is>
      </c>
      <c r="C19" s="4" t="inlineStr">
        <is>
          <t>主引物</t>
        </is>
      </c>
      <c r="D19" s="6" t="inlineStr">
        <is>
          <t>CCAGCAGCCGCGGTAAAAC</t>
        </is>
      </c>
      <c r="E19" s="4" t="inlineStr">
        <is>
          <t>518–536</t>
        </is>
      </c>
      <c r="F19" s="4" t="n">
        <v>19</v>
      </c>
      <c r="G19" s="6" t="n">
        <v>1</v>
      </c>
      <c r="H19" s="4" t="inlineStr">
        <is>
          <t>65.9–65.9</t>
        </is>
      </c>
      <c r="I19" s="4" t="n">
        <v>2</v>
      </c>
      <c r="J19" s="4" t="inlineStr">
        <is>
          <t>主</t>
        </is>
      </c>
      <c r="K19" s="7">
        <f>IF(COUNTIFS($B$4:$B$36,B19,$J$4:$J$36,"补")=0,1,IF(J19="补",0.1,0.9))*G19/SUMIFS($G$4:$G$36,$B$4:$B$36,B19,$J$4:$J$36,J19)</f>
        <v/>
      </c>
      <c r="L19" s="8">
        <f>K19*$B$1</f>
        <v/>
      </c>
    </row>
    <row r="20">
      <c r="A20" s="4" t="inlineStr">
        <is>
          <t>16S-A3-R.1</t>
        </is>
      </c>
      <c r="B20" s="4" t="inlineStr">
        <is>
          <t>A3-R</t>
        </is>
      </c>
      <c r="C20" s="4" t="inlineStr">
        <is>
          <t>主引物</t>
        </is>
      </c>
      <c r="D20" s="6" t="inlineStr">
        <is>
          <t>TCTAATCCYGTTYGCTMCC</t>
        </is>
      </c>
      <c r="E20" s="4" t="inlineStr">
        <is>
          <t>774–792</t>
        </is>
      </c>
      <c r="F20" s="4" t="n">
        <v>19</v>
      </c>
      <c r="G20" s="6" t="n">
        <v>8</v>
      </c>
      <c r="H20" s="4" t="inlineStr">
        <is>
          <t>55.2–62.6</t>
        </is>
      </c>
      <c r="I20" s="4" t="n">
        <v>53</v>
      </c>
      <c r="J20" s="4" t="inlineStr">
        <is>
          <t>主</t>
        </is>
      </c>
      <c r="K20" s="7">
        <f>IF(COUNTIFS($B$4:$B$36,B20,$J$4:$J$36,"补")=0,1,IF(J20="补",0.1,0.9))*G20/SUMIFS($G$4:$G$36,$B$4:$B$36,B20,$J$4:$J$36,J20)</f>
        <v/>
      </c>
      <c r="L20" s="8">
        <f>K20*$B$1</f>
        <v/>
      </c>
    </row>
    <row r="21">
      <c r="A21" s="4" t="inlineStr">
        <is>
          <t>16S-A4-F.1</t>
        </is>
      </c>
      <c r="B21" s="4" t="inlineStr">
        <is>
          <t>A4-F</t>
        </is>
      </c>
      <c r="C21" s="4" t="inlineStr">
        <is>
          <t>主引物</t>
        </is>
      </c>
      <c r="D21" s="6" t="inlineStr">
        <is>
          <t>GATTAGAKACCCYGGTAGTCY</t>
        </is>
      </c>
      <c r="E21" s="4" t="inlineStr">
        <is>
          <t>786–806</t>
        </is>
      </c>
      <c r="F21" s="4" t="n">
        <v>21</v>
      </c>
      <c r="G21" s="6" t="n">
        <v>8</v>
      </c>
      <c r="H21" s="4" t="inlineStr">
        <is>
          <t>56.5–62.3</t>
        </is>
      </c>
      <c r="I21" s="4" t="n">
        <v>1</v>
      </c>
      <c r="J21" s="4" t="inlineStr">
        <is>
          <t>主</t>
        </is>
      </c>
      <c r="K21" s="7">
        <f>IF(COUNTIFS($B$4:$B$36,B21,$J$4:$J$36,"补")=0,1,IF(J21="补",0.1,0.9))*G21/SUMIFS($G$4:$G$36,$B$4:$B$36,B21,$J$4:$J$36,J21)</f>
        <v/>
      </c>
      <c r="L21" s="8">
        <f>K21*$B$1</f>
        <v/>
      </c>
    </row>
    <row r="22">
      <c r="A22" s="4" t="inlineStr">
        <is>
          <t>16S-A4-R.1</t>
        </is>
      </c>
      <c r="B22" s="4" t="inlineStr">
        <is>
          <t>A4-R</t>
        </is>
      </c>
      <c r="C22" s="4" t="inlineStr">
        <is>
          <t>主引物</t>
        </is>
      </c>
      <c r="D22" s="6" t="inlineStr">
        <is>
          <t>CGCGTWGCATCGAATTAADC</t>
        </is>
      </c>
      <c r="E22" s="4" t="inlineStr">
        <is>
          <t>954–973</t>
        </is>
      </c>
      <c r="F22" s="4" t="n">
        <v>20</v>
      </c>
      <c r="G22" s="6" t="n">
        <v>6</v>
      </c>
      <c r="H22" s="4" t="inlineStr">
        <is>
          <t>58.6–62.3</t>
        </is>
      </c>
      <c r="I22" s="4" t="n">
        <v>1</v>
      </c>
      <c r="J22" s="4" t="inlineStr">
        <is>
          <t>主</t>
        </is>
      </c>
      <c r="K22" s="7">
        <f>IF(COUNTIFS($B$4:$B$36,B22,$J$4:$J$36,"补")=0,1,IF(J22="补",0.1,0.9))*G22/SUMIFS($G$4:$G$36,$B$4:$B$36,B22,$J$4:$J$36,J22)</f>
        <v/>
      </c>
      <c r="L22" s="8">
        <f>K22*$B$1</f>
        <v/>
      </c>
    </row>
    <row r="23">
      <c r="A23" s="4" t="inlineStr">
        <is>
          <t>16S-A4-R.2</t>
        </is>
      </c>
      <c r="B23" s="4" t="inlineStr">
        <is>
          <t>A4-R</t>
        </is>
      </c>
      <c r="C23" s="4" t="inlineStr">
        <is>
          <t>主引物</t>
        </is>
      </c>
      <c r="D23" s="6" t="inlineStr">
        <is>
          <t>CGCGTWKCKTCGAATTAAAC</t>
        </is>
      </c>
      <c r="E23" s="4" t="inlineStr">
        <is>
          <t>954–973</t>
        </is>
      </c>
      <c r="F23" s="4" t="n">
        <v>20</v>
      </c>
      <c r="G23" s="6" t="n">
        <v>8</v>
      </c>
      <c r="H23" s="4" t="inlineStr">
        <is>
          <t>56.4–62.5</t>
        </is>
      </c>
      <c r="I23" s="4" t="n">
        <v>0</v>
      </c>
      <c r="J23" s="4" t="inlineStr">
        <is>
          <t>主</t>
        </is>
      </c>
      <c r="K23" s="7">
        <f>IF(COUNTIFS($B$4:$B$36,B23,$J$4:$J$36,"补")=0,1,IF(J23="补",0.1,0.9))*G23/SUMIFS($G$4:$G$36,$B$4:$B$36,B23,$J$4:$J$36,J23)</f>
        <v/>
      </c>
      <c r="L23" s="8">
        <f>K23*$B$1</f>
        <v/>
      </c>
    </row>
    <row r="24">
      <c r="A24" s="4" t="inlineStr">
        <is>
          <t>16S-A4-R.4s</t>
        </is>
      </c>
      <c r="B24" s="4" t="inlineStr">
        <is>
          <t>A4-R</t>
        </is>
      </c>
      <c r="C24" s="4" t="inlineStr">
        <is>
          <t>补充</t>
        </is>
      </c>
      <c r="D24" s="6" t="inlineStr">
        <is>
          <t>CGTGTATYRTCGAATTAARC</t>
        </is>
      </c>
      <c r="E24" s="4" t="inlineStr">
        <is>
          <t>954–973</t>
        </is>
      </c>
      <c r="F24" s="4" t="n">
        <v>20</v>
      </c>
      <c r="G24" s="6" t="n">
        <v>8</v>
      </c>
      <c r="H24" s="4" t="inlineStr">
        <is>
          <t>51.2–58.2</t>
        </is>
      </c>
      <c r="I24" s="4" t="n">
        <v>6</v>
      </c>
      <c r="J24" s="4" t="inlineStr">
        <is>
          <t>补</t>
        </is>
      </c>
      <c r="K24" s="7">
        <f>IF(COUNTIFS($B$4:$B$36,B24,$J$4:$J$36,"补")=0,1,IF(J24="补",0.1,0.9))*G24/SUMIFS($G$4:$G$36,$B$4:$B$36,B24,$J$4:$J$36,J24)</f>
        <v/>
      </c>
      <c r="L24" s="8">
        <f>K24*$B$1</f>
        <v/>
      </c>
    </row>
    <row r="25">
      <c r="A25" s="4" t="inlineStr">
        <is>
          <t>16S-A4-R.5s</t>
        </is>
      </c>
      <c r="B25" s="4" t="inlineStr">
        <is>
          <t>A4-R</t>
        </is>
      </c>
      <c r="C25" s="4" t="inlineStr">
        <is>
          <t>补充</t>
        </is>
      </c>
      <c r="D25" s="6" t="inlineStr">
        <is>
          <t>CGCGTABCTTCRAATTAAAC</t>
        </is>
      </c>
      <c r="E25" s="4" t="inlineStr">
        <is>
          <t>954–973</t>
        </is>
      </c>
      <c r="F25" s="4" t="n">
        <v>20</v>
      </c>
      <c r="G25" s="6" t="n">
        <v>6</v>
      </c>
      <c r="H25" s="4" t="inlineStr">
        <is>
          <t>54.4–59.0</t>
        </is>
      </c>
      <c r="I25" s="4" t="n">
        <v>1</v>
      </c>
      <c r="J25" s="4" t="inlineStr">
        <is>
          <t>补</t>
        </is>
      </c>
      <c r="K25" s="7">
        <f>IF(COUNTIFS($B$4:$B$36,B25,$J$4:$J$36,"补")=0,1,IF(J25="补",0.1,0.9))*G25/SUMIFS($G$4:$G$36,$B$4:$B$36,B25,$J$4:$J$36,J25)</f>
        <v/>
      </c>
      <c r="L25" s="8">
        <f>K25*$B$1</f>
        <v/>
      </c>
    </row>
    <row r="26">
      <c r="A26" s="4" t="inlineStr">
        <is>
          <t>16S-A5-F.1</t>
        </is>
      </c>
      <c r="B26" s="4" t="inlineStr">
        <is>
          <t>A5-F</t>
        </is>
      </c>
      <c r="C26" s="4" t="inlineStr">
        <is>
          <t>主引物</t>
        </is>
      </c>
      <c r="D26" s="6" t="inlineStr">
        <is>
          <t>MWACGCGARGAACCTTACC</t>
        </is>
      </c>
      <c r="E26" s="4" t="inlineStr">
        <is>
          <t>967–985</t>
        </is>
      </c>
      <c r="F26" s="4" t="n">
        <v>19</v>
      </c>
      <c r="G26" s="6" t="n">
        <v>8</v>
      </c>
      <c r="H26" s="4" t="inlineStr">
        <is>
          <t>58.3–62.1</t>
        </is>
      </c>
      <c r="I26" s="4" t="n">
        <v>9</v>
      </c>
      <c r="J26" s="4" t="inlineStr">
        <is>
          <t>主</t>
        </is>
      </c>
      <c r="K26" s="7">
        <f>IF(COUNTIFS($B$4:$B$36,B26,$J$4:$J$36,"补")=0,1,IF(J26="补",0.1,0.9))*G26/SUMIFS($G$4:$G$36,$B$4:$B$36,B26,$J$4:$J$36,J26)</f>
        <v/>
      </c>
      <c r="L26" s="8">
        <f>K26*$B$1</f>
        <v/>
      </c>
    </row>
    <row r="27">
      <c r="A27" s="4" t="inlineStr">
        <is>
          <t>16S-A5-F.3</t>
        </is>
      </c>
      <c r="B27" s="4" t="inlineStr">
        <is>
          <t>A5-F</t>
        </is>
      </c>
      <c r="C27" s="4" t="inlineStr">
        <is>
          <t>主引物</t>
        </is>
      </c>
      <c r="D27" s="6" t="inlineStr">
        <is>
          <t>RTACMCGAARAACCTTACC</t>
        </is>
      </c>
      <c r="E27" s="4" t="inlineStr">
        <is>
          <t>967–985</t>
        </is>
      </c>
      <c r="F27" s="4" t="n">
        <v>19</v>
      </c>
      <c r="G27" s="6" t="n">
        <v>8</v>
      </c>
      <c r="H27" s="4" t="inlineStr">
        <is>
          <t>53.9–58.2</t>
        </is>
      </c>
      <c r="I27" s="4" t="n">
        <v>18</v>
      </c>
      <c r="J27" s="4" t="inlineStr">
        <is>
          <t>主</t>
        </is>
      </c>
      <c r="K27" s="7">
        <f>IF(COUNTIFS($B$4:$B$36,B27,$J$4:$J$36,"补")=0,1,IF(J27="补",0.1,0.9))*G27/SUMIFS($G$4:$G$36,$B$4:$B$36,B27,$J$4:$J$36,J27)</f>
        <v/>
      </c>
      <c r="L27" s="8">
        <f>K27*$B$1</f>
        <v/>
      </c>
    </row>
    <row r="28">
      <c r="A28" s="4" t="inlineStr">
        <is>
          <t>16S-A5-R.1</t>
        </is>
      </c>
      <c r="B28" s="4" t="inlineStr">
        <is>
          <t>A5-R</t>
        </is>
      </c>
      <c r="C28" s="4" t="inlineStr">
        <is>
          <t>主引物</t>
        </is>
      </c>
      <c r="D28" s="6" t="inlineStr">
        <is>
          <t>ATGMTGAYTTGACGTCRTC</t>
        </is>
      </c>
      <c r="E28" s="4" t="inlineStr">
        <is>
          <t>1188–1206</t>
        </is>
      </c>
      <c r="F28" s="4" t="n">
        <v>19</v>
      </c>
      <c r="G28" s="6" t="n">
        <v>8</v>
      </c>
      <c r="H28" s="4" t="inlineStr">
        <is>
          <t>54.2–61.5</t>
        </is>
      </c>
      <c r="I28" s="4" t="inlineStr">
        <is>
          <t>A5-R 两条合计 10</t>
        </is>
      </c>
      <c r="J28" s="4" t="inlineStr">
        <is>
          <t>主</t>
        </is>
      </c>
      <c r="K28" s="7">
        <f>IF(COUNTIFS($B$4:$B$36,B28,$J$4:$J$36,"补")=0,1,IF(J28="补",0.1,0.9))*G28/SUMIFS($G$4:$G$36,$B$4:$B$36,B28,$J$4:$J$36,J28)</f>
        <v/>
      </c>
      <c r="L28" s="8">
        <f>K28*$B$1</f>
        <v/>
      </c>
    </row>
    <row r="29">
      <c r="A29" s="4" t="inlineStr">
        <is>
          <t>16S-A5-R.2</t>
        </is>
      </c>
      <c r="B29" s="4" t="inlineStr">
        <is>
          <t>A5-R</t>
        </is>
      </c>
      <c r="C29" s="4" t="inlineStr">
        <is>
          <t>主引物</t>
        </is>
      </c>
      <c r="D29" s="6" t="inlineStr">
        <is>
          <t>ATRCTGACYTGACGTCRTC</t>
        </is>
      </c>
      <c r="E29" s="4" t="inlineStr">
        <is>
          <t>1188–1206</t>
        </is>
      </c>
      <c r="F29" s="4" t="n">
        <v>19</v>
      </c>
      <c r="G29" s="6" t="n">
        <v>8</v>
      </c>
      <c r="H29" s="4" t="inlineStr">
        <is>
          <t>55.4–63.4</t>
        </is>
      </c>
      <c r="I29" s="4" t="inlineStr">
        <is>
          <t>A5-R 两条合计 10</t>
        </is>
      </c>
      <c r="J29" s="4" t="inlineStr">
        <is>
          <t>主</t>
        </is>
      </c>
      <c r="K29" s="7">
        <f>IF(COUNTIFS($B$4:$B$36,B29,$J$4:$J$36,"补")=0,1,IF(J29="补",0.1,0.9))*G29/SUMIFS($G$4:$G$36,$B$4:$B$36,B29,$J$4:$J$36,J29)</f>
        <v/>
      </c>
      <c r="L29" s="8">
        <f>K29*$B$1</f>
        <v/>
      </c>
    </row>
    <row r="30">
      <c r="A30" s="4" t="inlineStr">
        <is>
          <t>16S-A6-F.1</t>
        </is>
      </c>
      <c r="B30" s="4" t="inlineStr">
        <is>
          <t>A6-F</t>
        </is>
      </c>
      <c r="C30" s="4" t="inlineStr">
        <is>
          <t>主引物</t>
        </is>
      </c>
      <c r="D30" s="6" t="inlineStr">
        <is>
          <t>GGCTRCACACRTGCTACAA</t>
        </is>
      </c>
      <c r="E30" s="4" t="inlineStr">
        <is>
          <t>1222–1240</t>
        </is>
      </c>
      <c r="F30" s="4" t="n">
        <v>19</v>
      </c>
      <c r="G30" s="6" t="n">
        <v>4</v>
      </c>
      <c r="H30" s="4" t="inlineStr">
        <is>
          <t>58.8–64.9</t>
        </is>
      </c>
      <c r="I30" s="4" t="n">
        <v>40</v>
      </c>
      <c r="J30" s="4" t="inlineStr">
        <is>
          <t>主</t>
        </is>
      </c>
      <c r="K30" s="7">
        <f>IF(COUNTIFS($B$4:$B$36,B30,$J$4:$J$36,"补")=0,1,IF(J30="补",0.1,0.9))*G30/SUMIFS($G$4:$G$36,$B$4:$B$36,B30,$J$4:$J$36,J30)</f>
        <v/>
      </c>
      <c r="L30" s="8">
        <f>K30*$B$1</f>
        <v/>
      </c>
    </row>
    <row r="31">
      <c r="A31" s="4" t="inlineStr">
        <is>
          <t>16S-A6-F.2</t>
        </is>
      </c>
      <c r="B31" s="4" t="inlineStr">
        <is>
          <t>A6-F</t>
        </is>
      </c>
      <c r="C31" s="4" t="inlineStr">
        <is>
          <t>主引物</t>
        </is>
      </c>
      <c r="D31" s="6" t="inlineStr">
        <is>
          <t>GGCKACACACGTGMTACAA</t>
        </is>
      </c>
      <c r="E31" s="4" t="inlineStr">
        <is>
          <t>1222–1240</t>
        </is>
      </c>
      <c r="F31" s="4" t="n">
        <v>19</v>
      </c>
      <c r="G31" s="6" t="n">
        <v>4</v>
      </c>
      <c r="H31" s="4" t="inlineStr">
        <is>
          <t>58.6–64.5</t>
        </is>
      </c>
      <c r="I31" s="4" t="n">
        <v>17</v>
      </c>
      <c r="J31" s="4" t="inlineStr">
        <is>
          <t>主</t>
        </is>
      </c>
      <c r="K31" s="7">
        <f>IF(COUNTIFS($B$4:$B$36,B31,$J$4:$J$36,"补")=0,1,IF(J31="补",0.1,0.9))*G31/SUMIFS($G$4:$G$36,$B$4:$B$36,B31,$J$4:$J$36,J31)</f>
        <v/>
      </c>
      <c r="L31" s="8">
        <f>K31*$B$1</f>
        <v/>
      </c>
    </row>
    <row r="32">
      <c r="A32" s="4" t="inlineStr">
        <is>
          <t>16S-A6-F.3</t>
        </is>
      </c>
      <c r="B32" s="4" t="inlineStr">
        <is>
          <t>A6-F</t>
        </is>
      </c>
      <c r="C32" s="4" t="inlineStr">
        <is>
          <t>主引物</t>
        </is>
      </c>
      <c r="D32" s="6" t="inlineStr">
        <is>
          <t>GGCTWCACGCGTGCTACAW</t>
        </is>
      </c>
      <c r="E32" s="4" t="inlineStr">
        <is>
          <t>1222–1240</t>
        </is>
      </c>
      <c r="F32" s="4" t="n">
        <v>19</v>
      </c>
      <c r="G32" s="6" t="n">
        <v>4</v>
      </c>
      <c r="H32" s="4" t="inlineStr">
        <is>
          <t>64.1–64.9</t>
        </is>
      </c>
      <c r="I32" s="4" t="n">
        <v>1</v>
      </c>
      <c r="J32" s="4" t="inlineStr">
        <is>
          <t>主</t>
        </is>
      </c>
      <c r="K32" s="7">
        <f>IF(COUNTIFS($B$4:$B$36,B32,$J$4:$J$36,"补")=0,1,IF(J32="补",0.1,0.9))*G32/SUMIFS($G$4:$G$36,$B$4:$B$36,B32,$J$4:$J$36,J32)</f>
        <v/>
      </c>
      <c r="L32" s="8">
        <f>K32*$B$1</f>
        <v/>
      </c>
    </row>
    <row r="33">
      <c r="A33" s="4" t="inlineStr">
        <is>
          <t>16S-A6-F.4s</t>
        </is>
      </c>
      <c r="B33" s="4" t="inlineStr">
        <is>
          <t>A6-F</t>
        </is>
      </c>
      <c r="C33" s="4" t="inlineStr">
        <is>
          <t>补充</t>
        </is>
      </c>
      <c r="D33" s="6" t="inlineStr">
        <is>
          <t>GGCYWCACACGTACTACAA</t>
        </is>
      </c>
      <c r="E33" s="4" t="inlineStr">
        <is>
          <t>1222–1240</t>
        </is>
      </c>
      <c r="F33" s="4" t="n">
        <v>19</v>
      </c>
      <c r="G33" s="6" t="n">
        <v>4</v>
      </c>
      <c r="H33" s="4" t="inlineStr">
        <is>
          <t>57.9–61.0</t>
        </is>
      </c>
      <c r="I33" s="4" t="n">
        <v>11</v>
      </c>
      <c r="J33" s="4" t="inlineStr">
        <is>
          <t>补</t>
        </is>
      </c>
      <c r="K33" s="7">
        <f>IF(COUNTIFS($B$4:$B$36,B33,$J$4:$J$36,"补")=0,1,IF(J33="补",0.1,0.9))*G33/SUMIFS($G$4:$G$36,$B$4:$B$36,B33,$J$4:$J$36,J33)</f>
        <v/>
      </c>
      <c r="L33" s="8">
        <f>K33*$B$1</f>
        <v/>
      </c>
    </row>
    <row r="34">
      <c r="A34" s="4" t="inlineStr">
        <is>
          <t>16S-A6-F.5s</t>
        </is>
      </c>
      <c r="B34" s="4" t="inlineStr">
        <is>
          <t>A6-F</t>
        </is>
      </c>
      <c r="C34" s="4" t="inlineStr">
        <is>
          <t>补充</t>
        </is>
      </c>
      <c r="D34" s="6" t="inlineStr">
        <is>
          <t>GGCTTCACACGTCATACAA</t>
        </is>
      </c>
      <c r="E34" s="4" t="inlineStr">
        <is>
          <t>1222–1240</t>
        </is>
      </c>
      <c r="F34" s="4" t="n">
        <v>19</v>
      </c>
      <c r="G34" s="6" t="n">
        <v>1</v>
      </c>
      <c r="H34" s="4" t="inlineStr">
        <is>
          <t>59.2–59.2</t>
        </is>
      </c>
      <c r="I34" s="4" t="n">
        <v>9</v>
      </c>
      <c r="J34" s="4" t="inlineStr">
        <is>
          <t>补</t>
        </is>
      </c>
      <c r="K34" s="7">
        <f>IF(COUNTIFS($B$4:$B$36,B34,$J$4:$J$36,"补")=0,1,IF(J34="补",0.1,0.9))*G34/SUMIFS($G$4:$G$36,$B$4:$B$36,B34,$J$4:$J$36,J34)</f>
        <v/>
      </c>
      <c r="L34" s="8">
        <f>K34*$B$1</f>
        <v/>
      </c>
    </row>
    <row r="35">
      <c r="A35" s="4" t="inlineStr">
        <is>
          <t>16S-A6-R.1</t>
        </is>
      </c>
      <c r="B35" s="4" t="inlineStr">
        <is>
          <t>A6-R</t>
        </is>
      </c>
      <c r="C35" s="4" t="inlineStr">
        <is>
          <t>主引物</t>
        </is>
      </c>
      <c r="D35" s="6" t="inlineStr">
        <is>
          <t>CTTGTTACGACTTCRYCCY</t>
        </is>
      </c>
      <c r="E35" s="4" t="inlineStr">
        <is>
          <t>1486–1504</t>
        </is>
      </c>
      <c r="F35" s="4" t="n">
        <v>19</v>
      </c>
      <c r="G35" s="6" t="n">
        <v>8</v>
      </c>
      <c r="H35" s="4" t="inlineStr">
        <is>
          <t>55.6–62.1</t>
        </is>
      </c>
      <c r="I35" s="4" t="n">
        <v>28</v>
      </c>
      <c r="J35" s="4" t="inlineStr">
        <is>
          <t>主</t>
        </is>
      </c>
      <c r="K35" s="7">
        <f>IF(COUNTIFS($B$4:$B$36,B35,$J$4:$J$36,"补")=0,1,IF(J35="补",0.1,0.9))*G35/SUMIFS($G$4:$G$36,$B$4:$B$36,B35,$J$4:$J$36,J35)</f>
        <v/>
      </c>
      <c r="L35" s="8">
        <f>K35*$B$1</f>
        <v/>
      </c>
    </row>
    <row r="36">
      <c r="A36" s="4" t="inlineStr">
        <is>
          <t>16S-A6-R.3</t>
        </is>
      </c>
      <c r="B36" s="4" t="inlineStr">
        <is>
          <t>A6-R</t>
        </is>
      </c>
      <c r="C36" s="4" t="inlineStr">
        <is>
          <t>主引物</t>
        </is>
      </c>
      <c r="D36" s="6" t="inlineStr">
        <is>
          <t>CCTTGTTACGACTTMACHCC</t>
        </is>
      </c>
      <c r="E36" s="4" t="inlineStr">
        <is>
          <t>1486–1505</t>
        </is>
      </c>
      <c r="F36" s="4" t="n">
        <v>20</v>
      </c>
      <c r="G36" s="6" t="n">
        <v>6</v>
      </c>
      <c r="H36" s="4" t="inlineStr">
        <is>
          <t>56.9–61.7</t>
        </is>
      </c>
      <c r="I36" s="4" t="n">
        <v>9</v>
      </c>
      <c r="J36" s="4" t="inlineStr">
        <is>
          <t>主</t>
        </is>
      </c>
      <c r="K36" s="7">
        <f>IF(COUNTIFS($B$4:$B$36,B36,$J$4:$J$36,"补")=0,1,IF(J36="补",0.1,0.9))*G36/SUMIFS($G$4:$G$36,$B$4:$B$36,B36,$J$4:$J$36,J36)</f>
        <v/>
      </c>
      <c r="L36" s="8">
        <f>K36*$B$1</f>
        <v/>
      </c>
    </row>
    <row r="38">
      <c r="A38" s="5" t="inlineStr">
        <is>
          <t>合计</t>
        </is>
      </c>
      <c r="G38" s="5">
        <f>SUM(G4:G36)</f>
        <v/>
      </c>
      <c r="L38" s="5">
        <f>SUM(L4:L36)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44" customWidth="1" min="4" max="4"/>
    <col width="12" customWidth="1" min="5" max="5"/>
    <col width="8" customWidth="1" min="6" max="6"/>
    <col width="8" customWidth="1" min="7" max="7"/>
    <col width="12" customWidth="1" min="8" max="8"/>
    <col width="26" customWidth="1" min="9" max="9"/>
    <col width="6" customWidth="1" min="10" max="10"/>
    <col width="12" customWidth="1" min="11" max="11"/>
    <col width="12" customWidth="1" min="12" max="12"/>
  </cols>
  <sheetData>
    <row r="1">
      <c r="A1" s="5" t="inlineStr">
        <is>
          <t>每位点总量 µL（可改）</t>
        </is>
      </c>
      <c r="B1" s="6" t="n">
        <v>2.5</v>
      </c>
    </row>
    <row r="3">
      <c r="A3" s="3" t="inlineStr">
        <is>
          <t>名称</t>
        </is>
      </c>
      <c r="B3" s="3" t="inlineStr">
        <is>
          <t>位点</t>
        </is>
      </c>
      <c r="C3" s="3" t="inlineStr">
        <is>
          <t>类型</t>
        </is>
      </c>
      <c r="D3" s="3" t="inlineStr">
        <is>
          <t>5′→3′序列</t>
        </is>
      </c>
      <c r="E3" s="3" t="inlineStr">
        <is>
          <t>位置</t>
        </is>
      </c>
      <c r="F3" s="3" t="inlineStr">
        <is>
          <t>长度nt</t>
        </is>
      </c>
      <c r="G3" s="3" t="inlineStr">
        <is>
          <t>展开数</t>
        </is>
      </c>
      <c r="H3" s="3" t="inlineStr">
        <is>
          <t>Tm范围°C</t>
        </is>
      </c>
      <c r="I3" s="3" t="inlineStr">
        <is>
          <t>人基因组≤2错配位点数</t>
        </is>
      </c>
      <c r="J3" s="3" t="inlineStr">
        <is>
          <t>组</t>
        </is>
      </c>
      <c r="K3" s="3" t="inlineStr">
        <is>
          <t>占位点比例</t>
        </is>
      </c>
      <c r="L3" s="3" t="inlineStr">
        <is>
          <t>加入体积 µL</t>
        </is>
      </c>
    </row>
    <row r="4">
      <c r="A4" s="4" t="inlineStr">
        <is>
          <t>16S-A1-F.SNAP</t>
        </is>
      </c>
      <c r="B4" s="4" t="inlineStr">
        <is>
          <t>A1-F</t>
        </is>
      </c>
      <c r="C4" s="4" t="inlineStr">
        <is>
          <t>主引物（SNAP V1_f）</t>
        </is>
      </c>
      <c r="D4" s="6" t="inlineStr">
        <is>
          <t>GAGTTTGATCMTGGCTCAG</t>
        </is>
      </c>
      <c r="E4" s="4" t="inlineStr">
        <is>
          <t>9–27</t>
        </is>
      </c>
      <c r="F4" s="4" t="n">
        <v>19</v>
      </c>
      <c r="G4" s="6" t="n">
        <v>2</v>
      </c>
      <c r="H4" s="4" t="inlineStr">
        <is>
          <t>57.1–58.9</t>
        </is>
      </c>
      <c r="I4" s="4" t="inlineStr">
        <is>
          <t>未单独扫描（此前评估比 A1-F.1–.3 低约 10 倍）</t>
        </is>
      </c>
      <c r="J4" s="4" t="inlineStr">
        <is>
          <t>主</t>
        </is>
      </c>
      <c r="K4" s="7">
        <f>IF(COUNTIFS($B$4:$B$31,B4,$J$4:$J$31,"补")=0,1,IF(J4="补",0.1,0.9))*G4/SUMIFS($G$4:$G$31,$B$4:$B$31,B4,$J$4:$J$31,J4)</f>
        <v/>
      </c>
      <c r="L4" s="8">
        <f>K4*$B$1</f>
        <v/>
      </c>
    </row>
    <row r="5">
      <c r="A5" s="4" t="inlineStr">
        <is>
          <t>16S-A1-R.1</t>
        </is>
      </c>
      <c r="B5" s="4" t="inlineStr">
        <is>
          <t>A1-R</t>
        </is>
      </c>
      <c r="C5" s="4" t="inlineStr">
        <is>
          <t>主引物</t>
        </is>
      </c>
      <c r="D5" s="6" t="inlineStr">
        <is>
          <t>GTTACCYCACCAACWARCT</t>
        </is>
      </c>
      <c r="E5" s="4" t="inlineStr">
        <is>
          <t>246–264</t>
        </is>
      </c>
      <c r="F5" s="4" t="n">
        <v>19</v>
      </c>
      <c r="G5" s="6" t="n">
        <v>8</v>
      </c>
      <c r="H5" s="4" t="inlineStr">
        <is>
          <t>55.1–61.3</t>
        </is>
      </c>
      <c r="I5" s="4" t="n">
        <v>49</v>
      </c>
      <c r="J5" s="4" t="inlineStr">
        <is>
          <t>主</t>
        </is>
      </c>
      <c r="K5" s="7">
        <f>IF(COUNTIFS($B$4:$B$31,B5,$J$4:$J$31,"补")=0,1,IF(J5="补",0.1,0.9))*G5/SUMIFS($G$4:$G$31,$B$4:$B$31,B5,$J$4:$J$31,J5)</f>
        <v/>
      </c>
      <c r="L5" s="8">
        <f>K5*$B$1</f>
        <v/>
      </c>
    </row>
    <row r="6">
      <c r="A6" s="4" t="inlineStr">
        <is>
          <t>16S-A1-R.2</t>
        </is>
      </c>
      <c r="B6" s="4" t="inlineStr">
        <is>
          <t>A1-R</t>
        </is>
      </c>
      <c r="C6" s="4" t="inlineStr">
        <is>
          <t>主引物</t>
        </is>
      </c>
      <c r="D6" s="6" t="inlineStr">
        <is>
          <t>GTTACCCCRCCAACTABCT</t>
        </is>
      </c>
      <c r="E6" s="4" t="inlineStr">
        <is>
          <t>246–264</t>
        </is>
      </c>
      <c r="F6" s="4" t="n">
        <v>19</v>
      </c>
      <c r="G6" s="6" t="n">
        <v>6</v>
      </c>
      <c r="H6" s="4" t="inlineStr">
        <is>
          <t>57.1–63.1</t>
        </is>
      </c>
      <c r="I6" s="4" t="n">
        <v>18</v>
      </c>
      <c r="J6" s="4" t="inlineStr">
        <is>
          <t>主</t>
        </is>
      </c>
      <c r="K6" s="7">
        <f>IF(COUNTIFS($B$4:$B$31,B6,$J$4:$J$31,"补")=0,1,IF(J6="补",0.1,0.9))*G6/SUMIFS($G$4:$G$31,$B$4:$B$31,B6,$J$4:$J$31,J6)</f>
        <v/>
      </c>
      <c r="L6" s="8">
        <f>K6*$B$1</f>
        <v/>
      </c>
    </row>
    <row r="7">
      <c r="A7" s="4" t="inlineStr">
        <is>
          <t>16S-A1-R.3</t>
        </is>
      </c>
      <c r="B7" s="4" t="inlineStr">
        <is>
          <t>A1-R</t>
        </is>
      </c>
      <c r="C7" s="4" t="inlineStr">
        <is>
          <t>主引物</t>
        </is>
      </c>
      <c r="D7" s="6" t="inlineStr">
        <is>
          <t>CGTTACCYTACCAACTARYT</t>
        </is>
      </c>
      <c r="E7" s="4" t="inlineStr">
        <is>
          <t>246–265</t>
        </is>
      </c>
      <c r="F7" s="4" t="n">
        <v>20</v>
      </c>
      <c r="G7" s="6" t="n">
        <v>8</v>
      </c>
      <c r="H7" s="4" t="inlineStr">
        <is>
          <t>54.0–59.9</t>
        </is>
      </c>
      <c r="I7" s="4" t="n">
        <v>10</v>
      </c>
      <c r="J7" s="4" t="inlineStr">
        <is>
          <t>主</t>
        </is>
      </c>
      <c r="K7" s="7">
        <f>IF(COUNTIFS($B$4:$B$31,B7,$J$4:$J$31,"补")=0,1,IF(J7="补",0.1,0.9))*G7/SUMIFS($G$4:$G$31,$B$4:$B$31,B7,$J$4:$J$31,J7)</f>
        <v/>
      </c>
      <c r="L7" s="8">
        <f>K7*$B$1</f>
        <v/>
      </c>
    </row>
    <row r="8">
      <c r="A8" s="4" t="inlineStr">
        <is>
          <t>16S-A1-R.4</t>
        </is>
      </c>
      <c r="B8" s="4" t="inlineStr">
        <is>
          <t>A1-R</t>
        </is>
      </c>
      <c r="C8" s="4" t="inlineStr">
        <is>
          <t>主引物</t>
        </is>
      </c>
      <c r="D8" s="6" t="inlineStr">
        <is>
          <t>CATTACCCYACCAACTARYT</t>
        </is>
      </c>
      <c r="E8" s="4" t="inlineStr">
        <is>
          <t>246–265</t>
        </is>
      </c>
      <c r="F8" s="4" t="n">
        <v>20</v>
      </c>
      <c r="G8" s="6" t="n">
        <v>8</v>
      </c>
      <c r="H8" s="4" t="inlineStr">
        <is>
          <t>53.3–60.5</t>
        </is>
      </c>
      <c r="I8" s="4" t="n">
        <v>25</v>
      </c>
      <c r="J8" s="4" t="inlineStr">
        <is>
          <t>主</t>
        </is>
      </c>
      <c r="K8" s="7">
        <f>IF(COUNTIFS($B$4:$B$31,B8,$J$4:$J$31,"补")=0,1,IF(J8="补",0.1,0.9))*G8/SUMIFS($G$4:$G$31,$B$4:$B$31,B8,$J$4:$J$31,J8)</f>
        <v/>
      </c>
      <c r="L8" s="8">
        <f>K8*$B$1</f>
        <v/>
      </c>
    </row>
    <row r="9">
      <c r="A9" s="4" t="inlineStr">
        <is>
          <t>16S-A2-F.1</t>
        </is>
      </c>
      <c r="B9" s="4" t="inlineStr">
        <is>
          <t>A2-F</t>
        </is>
      </c>
      <c r="C9" s="4" t="inlineStr">
        <is>
          <t>主引物</t>
        </is>
      </c>
      <c r="D9" s="6" t="inlineStr">
        <is>
          <t>CAYKGGGACTGAGACACKG</t>
        </is>
      </c>
      <c r="E9" s="4" t="inlineStr">
        <is>
          <t>314–332</t>
        </is>
      </c>
      <c r="F9" s="4" t="n">
        <v>19</v>
      </c>
      <c r="G9" s="6" t="n">
        <v>8</v>
      </c>
      <c r="H9" s="4" t="inlineStr">
        <is>
          <t>58.8–65.9</t>
        </is>
      </c>
      <c r="I9" s="4" t="n">
        <v>95</v>
      </c>
      <c r="J9" s="4" t="inlineStr">
        <is>
          <t>主</t>
        </is>
      </c>
      <c r="K9" s="7">
        <f>IF(COUNTIFS($B$4:$B$31,B9,$J$4:$J$31,"补")=0,1,IF(J9="补",0.1,0.9))*G9/SUMIFS($G$4:$G$31,$B$4:$B$31,B9,$J$4:$J$31,J9)</f>
        <v/>
      </c>
      <c r="L9" s="8">
        <f>K9*$B$1</f>
        <v/>
      </c>
    </row>
    <row r="10">
      <c r="A10" s="4" t="inlineStr">
        <is>
          <t>16S-A2-F.2</t>
        </is>
      </c>
      <c r="B10" s="4" t="inlineStr">
        <is>
          <t>A2-F</t>
        </is>
      </c>
      <c r="C10" s="4" t="inlineStr">
        <is>
          <t>主引物</t>
        </is>
      </c>
      <c r="D10" s="6" t="inlineStr">
        <is>
          <t>CACTGGRACTGARAYACGG</t>
        </is>
      </c>
      <c r="E10" s="4" t="inlineStr">
        <is>
          <t>314–332</t>
        </is>
      </c>
      <c r="F10" s="4" t="n">
        <v>19</v>
      </c>
      <c r="G10" s="6" t="n">
        <v>8</v>
      </c>
      <c r="H10" s="4" t="inlineStr">
        <is>
          <t>57.0–63.3</t>
        </is>
      </c>
      <c r="I10" s="4" t="n">
        <v>27</v>
      </c>
      <c r="J10" s="4" t="inlineStr">
        <is>
          <t>主</t>
        </is>
      </c>
      <c r="K10" s="7">
        <f>IF(COUNTIFS($B$4:$B$31,B10,$J$4:$J$31,"补")=0,1,IF(J10="补",0.1,0.9))*G10/SUMIFS($G$4:$G$31,$B$4:$B$31,B10,$J$4:$J$31,J10)</f>
        <v/>
      </c>
      <c r="L10" s="8">
        <f>K10*$B$1</f>
        <v/>
      </c>
    </row>
    <row r="11">
      <c r="A11" s="4" t="inlineStr">
        <is>
          <t>16S-A2-F.3</t>
        </is>
      </c>
      <c r="B11" s="4" t="inlineStr">
        <is>
          <t>A2-F</t>
        </is>
      </c>
      <c r="C11" s="4" t="inlineStr">
        <is>
          <t>主引物</t>
        </is>
      </c>
      <c r="D11" s="6" t="inlineStr">
        <is>
          <t>CARKGGRACTGAGACACGG</t>
        </is>
      </c>
      <c r="E11" s="4" t="inlineStr">
        <is>
          <t>314–332</t>
        </is>
      </c>
      <c r="F11" s="4" t="n">
        <v>19</v>
      </c>
      <c r="G11" s="6" t="n">
        <v>8</v>
      </c>
      <c r="H11" s="4" t="inlineStr">
        <is>
          <t>59.5–65.4</t>
        </is>
      </c>
      <c r="I11" s="4" t="n">
        <v>36</v>
      </c>
      <c r="J11" s="4" t="inlineStr">
        <is>
          <t>主</t>
        </is>
      </c>
      <c r="K11" s="7">
        <f>IF(COUNTIFS($B$4:$B$31,B11,$J$4:$J$31,"补")=0,1,IF(J11="补",0.1,0.9))*G11/SUMIFS($G$4:$G$31,$B$4:$B$31,B11,$J$4:$J$31,J11)</f>
        <v/>
      </c>
      <c r="L11" s="8">
        <f>K11*$B$1</f>
        <v/>
      </c>
    </row>
    <row r="12">
      <c r="A12" s="4" t="inlineStr">
        <is>
          <t>16S-A2-R.1</t>
        </is>
      </c>
      <c r="B12" s="4" t="inlineStr">
        <is>
          <t>A2-R</t>
        </is>
      </c>
      <c r="C12" s="4" t="inlineStr">
        <is>
          <t>主引物</t>
        </is>
      </c>
      <c r="D12" s="6" t="inlineStr">
        <is>
          <t>GCTGGCACGKARTTAGCCR</t>
        </is>
      </c>
      <c r="E12" s="4" t="inlineStr">
        <is>
          <t>504–522</t>
        </is>
      </c>
      <c r="F12" s="4" t="n">
        <v>19</v>
      </c>
      <c r="G12" s="6" t="n">
        <v>8</v>
      </c>
      <c r="H12" s="4" t="inlineStr">
        <is>
          <t>61.9–67.2</t>
        </is>
      </c>
      <c r="I12" s="4" t="n">
        <v>28</v>
      </c>
      <c r="J12" s="4" t="inlineStr">
        <is>
          <t>主</t>
        </is>
      </c>
      <c r="K12" s="7">
        <f>IF(COUNTIFS($B$4:$B$31,B12,$J$4:$J$31,"补")=0,1,IF(J12="补",0.1,0.9))*G12/SUMIFS($G$4:$G$31,$B$4:$B$31,B12,$J$4:$J$31,J12)</f>
        <v/>
      </c>
      <c r="L12" s="8">
        <f>K12*$B$1</f>
        <v/>
      </c>
    </row>
    <row r="13">
      <c r="A13" s="4" t="inlineStr">
        <is>
          <t>16S-A2-R.2</t>
        </is>
      </c>
      <c r="B13" s="4" t="inlineStr">
        <is>
          <t>A2-R</t>
        </is>
      </c>
      <c r="C13" s="4" t="inlineStr">
        <is>
          <t>主引物</t>
        </is>
      </c>
      <c r="D13" s="6" t="inlineStr">
        <is>
          <t>GCTGGCACGAASTTAGYCS</t>
        </is>
      </c>
      <c r="E13" s="4" t="inlineStr">
        <is>
          <t>504–522</t>
        </is>
      </c>
      <c r="F13" s="4" t="n">
        <v>19</v>
      </c>
      <c r="G13" s="6" t="n">
        <v>8</v>
      </c>
      <c r="H13" s="4" t="inlineStr">
        <is>
          <t>62.1–65.3</t>
        </is>
      </c>
      <c r="I13" s="4" t="n">
        <v>7</v>
      </c>
      <c r="J13" s="4" t="inlineStr">
        <is>
          <t>主</t>
        </is>
      </c>
      <c r="K13" s="7">
        <f>IF(COUNTIFS($B$4:$B$31,B13,$J$4:$J$31,"补")=0,1,IF(J13="补",0.1,0.9))*G13/SUMIFS($G$4:$G$31,$B$4:$B$31,B13,$J$4:$J$31,J13)</f>
        <v/>
      </c>
      <c r="L13" s="8">
        <f>K13*$B$1</f>
        <v/>
      </c>
    </row>
    <row r="14">
      <c r="A14" s="4" t="inlineStr">
        <is>
          <t>16S-A2-R.3</t>
        </is>
      </c>
      <c r="B14" s="4" t="inlineStr">
        <is>
          <t>A2-R</t>
        </is>
      </c>
      <c r="C14" s="4" t="inlineStr">
        <is>
          <t>主引物</t>
        </is>
      </c>
      <c r="D14" s="6" t="inlineStr">
        <is>
          <t>GCTGGCACAKAGTTAGYYG</t>
        </is>
      </c>
      <c r="E14" s="4" t="inlineStr">
        <is>
          <t>504–522</t>
        </is>
      </c>
      <c r="F14" s="4" t="n">
        <v>19</v>
      </c>
      <c r="G14" s="6" t="n">
        <v>8</v>
      </c>
      <c r="H14" s="4" t="inlineStr">
        <is>
          <t>57.4–64.7</t>
        </is>
      </c>
      <c r="I14" s="4" t="n">
        <v>41</v>
      </c>
      <c r="J14" s="4" t="inlineStr">
        <is>
          <t>主</t>
        </is>
      </c>
      <c r="K14" s="7">
        <f>IF(COUNTIFS($B$4:$B$31,B14,$J$4:$J$31,"补")=0,1,IF(J14="补",0.1,0.9))*G14/SUMIFS($G$4:$G$31,$B$4:$B$31,B14,$J$4:$J$31,J14)</f>
        <v/>
      </c>
      <c r="L14" s="8">
        <f>K14*$B$1</f>
        <v/>
      </c>
    </row>
    <row r="15">
      <c r="A15" s="4" t="inlineStr">
        <is>
          <t>16S-A3-F.1</t>
        </is>
      </c>
      <c r="B15" s="4" t="inlineStr">
        <is>
          <t>A3-F</t>
        </is>
      </c>
      <c r="C15" s="4" t="inlineStr">
        <is>
          <t>主引物</t>
        </is>
      </c>
      <c r="D15" s="6" t="inlineStr">
        <is>
          <t>CCAGCAGCCGCGGTAABWC</t>
        </is>
      </c>
      <c r="E15" s="4" t="inlineStr">
        <is>
          <t>518–536</t>
        </is>
      </c>
      <c r="F15" s="4" t="n">
        <v>19</v>
      </c>
      <c r="G15" s="6" t="n">
        <v>6</v>
      </c>
      <c r="H15" s="4" t="inlineStr">
        <is>
          <t>64.8–67.8</t>
        </is>
      </c>
      <c r="I15" s="4" t="n">
        <v>10</v>
      </c>
      <c r="J15" s="4" t="inlineStr">
        <is>
          <t>主</t>
        </is>
      </c>
      <c r="K15" s="7">
        <f>IF(COUNTIFS($B$4:$B$31,B15,$J$4:$J$31,"补")=0,1,IF(J15="补",0.1,0.9))*G15/SUMIFS($G$4:$G$31,$B$4:$B$31,B15,$J$4:$J$31,J15)</f>
        <v/>
      </c>
      <c r="L15" s="8">
        <f>K15*$B$1</f>
        <v/>
      </c>
    </row>
    <row r="16">
      <c r="A16" s="4" t="inlineStr">
        <is>
          <t>16S-A3-F.2</t>
        </is>
      </c>
      <c r="B16" s="4" t="inlineStr">
        <is>
          <t>A3-F</t>
        </is>
      </c>
      <c r="C16" s="4" t="inlineStr">
        <is>
          <t>主引物</t>
        </is>
      </c>
      <c r="D16" s="6" t="inlineStr">
        <is>
          <t>CCAGCAGCCGCGGTAAAAC</t>
        </is>
      </c>
      <c r="E16" s="4" t="inlineStr">
        <is>
          <t>518–536</t>
        </is>
      </c>
      <c r="F16" s="4" t="n">
        <v>19</v>
      </c>
      <c r="G16" s="6" t="n">
        <v>1</v>
      </c>
      <c r="H16" s="4" t="inlineStr">
        <is>
          <t>65.9–65.9</t>
        </is>
      </c>
      <c r="I16" s="4" t="n">
        <v>2</v>
      </c>
      <c r="J16" s="4" t="inlineStr">
        <is>
          <t>主</t>
        </is>
      </c>
      <c r="K16" s="7">
        <f>IF(COUNTIFS($B$4:$B$31,B16,$J$4:$J$31,"补")=0,1,IF(J16="补",0.1,0.9))*G16/SUMIFS($G$4:$G$31,$B$4:$B$31,B16,$J$4:$J$31,J16)</f>
        <v/>
      </c>
      <c r="L16" s="8">
        <f>K16*$B$1</f>
        <v/>
      </c>
    </row>
    <row r="17">
      <c r="A17" s="4" t="inlineStr">
        <is>
          <t>16S-A3-R.1</t>
        </is>
      </c>
      <c r="B17" s="4" t="inlineStr">
        <is>
          <t>A3-R</t>
        </is>
      </c>
      <c r="C17" s="4" t="inlineStr">
        <is>
          <t>主引物</t>
        </is>
      </c>
      <c r="D17" s="6" t="inlineStr">
        <is>
          <t>TCTAATCCYGTTYGCTMCC</t>
        </is>
      </c>
      <c r="E17" s="4" t="inlineStr">
        <is>
          <t>774–792</t>
        </is>
      </c>
      <c r="F17" s="4" t="n">
        <v>19</v>
      </c>
      <c r="G17" s="6" t="n">
        <v>8</v>
      </c>
      <c r="H17" s="4" t="inlineStr">
        <is>
          <t>55.2–62.6</t>
        </is>
      </c>
      <c r="I17" s="4" t="n">
        <v>53</v>
      </c>
      <c r="J17" s="4" t="inlineStr">
        <is>
          <t>主</t>
        </is>
      </c>
      <c r="K17" s="7">
        <f>IF(COUNTIFS($B$4:$B$31,B17,$J$4:$J$31,"补")=0,1,IF(J17="补",0.1,0.9))*G17/SUMIFS($G$4:$G$31,$B$4:$B$31,B17,$J$4:$J$31,J17)</f>
        <v/>
      </c>
      <c r="L17" s="8">
        <f>K17*$B$1</f>
        <v/>
      </c>
    </row>
    <row r="18">
      <c r="A18" s="4" t="inlineStr">
        <is>
          <t>16S-A4-F.1</t>
        </is>
      </c>
      <c r="B18" s="4" t="inlineStr">
        <is>
          <t>A4-F</t>
        </is>
      </c>
      <c r="C18" s="4" t="inlineStr">
        <is>
          <t>主引物</t>
        </is>
      </c>
      <c r="D18" s="6" t="inlineStr">
        <is>
          <t>GATTAGAKACCCYGGTAGTCY</t>
        </is>
      </c>
      <c r="E18" s="4" t="inlineStr">
        <is>
          <t>786–806</t>
        </is>
      </c>
      <c r="F18" s="4" t="n">
        <v>21</v>
      </c>
      <c r="G18" s="6" t="n">
        <v>8</v>
      </c>
      <c r="H18" s="4" t="inlineStr">
        <is>
          <t>56.5–62.3</t>
        </is>
      </c>
      <c r="I18" s="4" t="n">
        <v>1</v>
      </c>
      <c r="J18" s="4" t="inlineStr">
        <is>
          <t>主</t>
        </is>
      </c>
      <c r="K18" s="7">
        <f>IF(COUNTIFS($B$4:$B$31,B18,$J$4:$J$31,"补")=0,1,IF(J18="补",0.1,0.9))*G18/SUMIFS($G$4:$G$31,$B$4:$B$31,B18,$J$4:$J$31,J18)</f>
        <v/>
      </c>
      <c r="L18" s="8">
        <f>K18*$B$1</f>
        <v/>
      </c>
    </row>
    <row r="19">
      <c r="A19" s="4" t="inlineStr">
        <is>
          <t>16S-A4-R.1</t>
        </is>
      </c>
      <c r="B19" s="4" t="inlineStr">
        <is>
          <t>A4-R</t>
        </is>
      </c>
      <c r="C19" s="4" t="inlineStr">
        <is>
          <t>主引物</t>
        </is>
      </c>
      <c r="D19" s="6" t="inlineStr">
        <is>
          <t>CGCGTWGCATCGAATTAADC</t>
        </is>
      </c>
      <c r="E19" s="4" t="inlineStr">
        <is>
          <t>954–973</t>
        </is>
      </c>
      <c r="F19" s="4" t="n">
        <v>20</v>
      </c>
      <c r="G19" s="6" t="n">
        <v>6</v>
      </c>
      <c r="H19" s="4" t="inlineStr">
        <is>
          <t>58.6–62.3</t>
        </is>
      </c>
      <c r="I19" s="4" t="n">
        <v>1</v>
      </c>
      <c r="J19" s="4" t="inlineStr">
        <is>
          <t>主</t>
        </is>
      </c>
      <c r="K19" s="7">
        <f>IF(COUNTIFS($B$4:$B$31,B19,$J$4:$J$31,"补")=0,1,IF(J19="补",0.1,0.9))*G19/SUMIFS($G$4:$G$31,$B$4:$B$31,B19,$J$4:$J$31,J19)</f>
        <v/>
      </c>
      <c r="L19" s="8">
        <f>K19*$B$1</f>
        <v/>
      </c>
    </row>
    <row r="20">
      <c r="A20" s="4" t="inlineStr">
        <is>
          <t>16S-A4-R.2</t>
        </is>
      </c>
      <c r="B20" s="4" t="inlineStr">
        <is>
          <t>A4-R</t>
        </is>
      </c>
      <c r="C20" s="4" t="inlineStr">
        <is>
          <t>主引物</t>
        </is>
      </c>
      <c r="D20" s="6" t="inlineStr">
        <is>
          <t>CGCGTWKCKTCGAATTAAAC</t>
        </is>
      </c>
      <c r="E20" s="4" t="inlineStr">
        <is>
          <t>954–973</t>
        </is>
      </c>
      <c r="F20" s="4" t="n">
        <v>20</v>
      </c>
      <c r="G20" s="6" t="n">
        <v>8</v>
      </c>
      <c r="H20" s="4" t="inlineStr">
        <is>
          <t>56.4–62.5</t>
        </is>
      </c>
      <c r="I20" s="4" t="n">
        <v>0</v>
      </c>
      <c r="J20" s="4" t="inlineStr">
        <is>
          <t>主</t>
        </is>
      </c>
      <c r="K20" s="7">
        <f>IF(COUNTIFS($B$4:$B$31,B20,$J$4:$J$31,"补")=0,1,IF(J20="补",0.1,0.9))*G20/SUMIFS($G$4:$G$31,$B$4:$B$31,B20,$J$4:$J$31,J20)</f>
        <v/>
      </c>
      <c r="L20" s="8">
        <f>K20*$B$1</f>
        <v/>
      </c>
    </row>
    <row r="21">
      <c r="A21" s="4" t="inlineStr">
        <is>
          <t>16S-A4-R.4s</t>
        </is>
      </c>
      <c r="B21" s="4" t="inlineStr">
        <is>
          <t>A4-R</t>
        </is>
      </c>
      <c r="C21" s="4" t="inlineStr">
        <is>
          <t>补充</t>
        </is>
      </c>
      <c r="D21" s="6" t="inlineStr">
        <is>
          <t>CGTGTATYRTCGAATTAARC</t>
        </is>
      </c>
      <c r="E21" s="4" t="inlineStr">
        <is>
          <t>954–973</t>
        </is>
      </c>
      <c r="F21" s="4" t="n">
        <v>20</v>
      </c>
      <c r="G21" s="6" t="n">
        <v>8</v>
      </c>
      <c r="H21" s="4" t="inlineStr">
        <is>
          <t>51.2–58.2</t>
        </is>
      </c>
      <c r="I21" s="4" t="n">
        <v>6</v>
      </c>
      <c r="J21" s="4" t="inlineStr">
        <is>
          <t>补</t>
        </is>
      </c>
      <c r="K21" s="7">
        <f>IF(COUNTIFS($B$4:$B$31,B21,$J$4:$J$31,"补")=0,1,IF(J21="补",0.1,0.9))*G21/SUMIFS($G$4:$G$31,$B$4:$B$31,B21,$J$4:$J$31,J21)</f>
        <v/>
      </c>
      <c r="L21" s="8">
        <f>K21*$B$1</f>
        <v/>
      </c>
    </row>
    <row r="22">
      <c r="A22" s="4" t="inlineStr">
        <is>
          <t>16S-A4-R.5s</t>
        </is>
      </c>
      <c r="B22" s="4" t="inlineStr">
        <is>
          <t>A4-R</t>
        </is>
      </c>
      <c r="C22" s="4" t="inlineStr">
        <is>
          <t>补充</t>
        </is>
      </c>
      <c r="D22" s="6" t="inlineStr">
        <is>
          <t>CGCGTABCTTCRAATTAAAC</t>
        </is>
      </c>
      <c r="E22" s="4" t="inlineStr">
        <is>
          <t>954–973</t>
        </is>
      </c>
      <c r="F22" s="4" t="n">
        <v>20</v>
      </c>
      <c r="G22" s="6" t="n">
        <v>6</v>
      </c>
      <c r="H22" s="4" t="inlineStr">
        <is>
          <t>54.4–59.0</t>
        </is>
      </c>
      <c r="I22" s="4" t="n">
        <v>1</v>
      </c>
      <c r="J22" s="4" t="inlineStr">
        <is>
          <t>补</t>
        </is>
      </c>
      <c r="K22" s="7">
        <f>IF(COUNTIFS($B$4:$B$31,B22,$J$4:$J$31,"补")=0,1,IF(J22="补",0.1,0.9))*G22/SUMIFS($G$4:$G$31,$B$4:$B$31,B22,$J$4:$J$31,J22)</f>
        <v/>
      </c>
      <c r="L22" s="8">
        <f>K22*$B$1</f>
        <v/>
      </c>
    </row>
    <row r="23">
      <c r="A23" s="4" t="inlineStr">
        <is>
          <t>16S-A5-F.1</t>
        </is>
      </c>
      <c r="B23" s="4" t="inlineStr">
        <is>
          <t>A5-F</t>
        </is>
      </c>
      <c r="C23" s="4" t="inlineStr">
        <is>
          <t>主引物</t>
        </is>
      </c>
      <c r="D23" s="6" t="inlineStr">
        <is>
          <t>MWACGCGARGAACCTTACC</t>
        </is>
      </c>
      <c r="E23" s="4" t="inlineStr">
        <is>
          <t>967–985</t>
        </is>
      </c>
      <c r="F23" s="4" t="n">
        <v>19</v>
      </c>
      <c r="G23" s="6" t="n">
        <v>8</v>
      </c>
      <c r="H23" s="4" t="inlineStr">
        <is>
          <t>58.3–62.1</t>
        </is>
      </c>
      <c r="I23" s="4" t="n">
        <v>9</v>
      </c>
      <c r="J23" s="4" t="inlineStr">
        <is>
          <t>主</t>
        </is>
      </c>
      <c r="K23" s="7">
        <f>IF(COUNTIFS($B$4:$B$31,B23,$J$4:$J$31,"补")=0,1,IF(J23="补",0.1,0.9))*G23/SUMIFS($G$4:$G$31,$B$4:$B$31,B23,$J$4:$J$31,J23)</f>
        <v/>
      </c>
      <c r="L23" s="8">
        <f>K23*$B$1</f>
        <v/>
      </c>
    </row>
    <row r="24">
      <c r="A24" s="4" t="inlineStr">
        <is>
          <t>16S-A5-F.3</t>
        </is>
      </c>
      <c r="B24" s="4" t="inlineStr">
        <is>
          <t>A5-F</t>
        </is>
      </c>
      <c r="C24" s="4" t="inlineStr">
        <is>
          <t>主引物</t>
        </is>
      </c>
      <c r="D24" s="6" t="inlineStr">
        <is>
          <t>RTACMCGAARAACCTTACC</t>
        </is>
      </c>
      <c r="E24" s="4" t="inlineStr">
        <is>
          <t>967–985</t>
        </is>
      </c>
      <c r="F24" s="4" t="n">
        <v>19</v>
      </c>
      <c r="G24" s="6" t="n">
        <v>8</v>
      </c>
      <c r="H24" s="4" t="inlineStr">
        <is>
          <t>53.9–58.2</t>
        </is>
      </c>
      <c r="I24" s="4" t="n">
        <v>18</v>
      </c>
      <c r="J24" s="4" t="inlineStr">
        <is>
          <t>主</t>
        </is>
      </c>
      <c r="K24" s="7">
        <f>IF(COUNTIFS($B$4:$B$31,B24,$J$4:$J$31,"补")=0,1,IF(J24="补",0.1,0.9))*G24/SUMIFS($G$4:$G$31,$B$4:$B$31,B24,$J$4:$J$31,J24)</f>
        <v/>
      </c>
      <c r="L24" s="8">
        <f>K24*$B$1</f>
        <v/>
      </c>
    </row>
    <row r="25">
      <c r="A25" s="4" t="inlineStr">
        <is>
          <t>16S-A5-R.1</t>
        </is>
      </c>
      <c r="B25" s="4" t="inlineStr">
        <is>
          <t>A5-R</t>
        </is>
      </c>
      <c r="C25" s="4" t="inlineStr">
        <is>
          <t>主引物</t>
        </is>
      </c>
      <c r="D25" s="6" t="inlineStr">
        <is>
          <t>ATGMTGAYTTGACGTCRTC</t>
        </is>
      </c>
      <c r="E25" s="4" t="inlineStr">
        <is>
          <t>1188–1206</t>
        </is>
      </c>
      <c r="F25" s="4" t="n">
        <v>19</v>
      </c>
      <c r="G25" s="6" t="n">
        <v>8</v>
      </c>
      <c r="H25" s="4" t="inlineStr">
        <is>
          <t>54.2–61.5</t>
        </is>
      </c>
      <c r="I25" s="4" t="inlineStr">
        <is>
          <t>A5-R 两条合计 10</t>
        </is>
      </c>
      <c r="J25" s="4" t="inlineStr">
        <is>
          <t>主</t>
        </is>
      </c>
      <c r="K25" s="7">
        <f>IF(COUNTIFS($B$4:$B$31,B25,$J$4:$J$31,"补")=0,1,IF(J25="补",0.1,0.9))*G25/SUMIFS($G$4:$G$31,$B$4:$B$31,B25,$J$4:$J$31,J25)</f>
        <v/>
      </c>
      <c r="L25" s="8">
        <f>K25*$B$1</f>
        <v/>
      </c>
    </row>
    <row r="26">
      <c r="A26" s="4" t="inlineStr">
        <is>
          <t>16S-A5-R.2</t>
        </is>
      </c>
      <c r="B26" s="4" t="inlineStr">
        <is>
          <t>A5-R</t>
        </is>
      </c>
      <c r="C26" s="4" t="inlineStr">
        <is>
          <t>主引物</t>
        </is>
      </c>
      <c r="D26" s="6" t="inlineStr">
        <is>
          <t>ATRCTGACYTGACGTCRTC</t>
        </is>
      </c>
      <c r="E26" s="4" t="inlineStr">
        <is>
          <t>1188–1206</t>
        </is>
      </c>
      <c r="F26" s="4" t="n">
        <v>19</v>
      </c>
      <c r="G26" s="6" t="n">
        <v>8</v>
      </c>
      <c r="H26" s="4" t="inlineStr">
        <is>
          <t>55.4–63.4</t>
        </is>
      </c>
      <c r="I26" s="4" t="inlineStr">
        <is>
          <t>A5-R 两条合计 10</t>
        </is>
      </c>
      <c r="J26" s="4" t="inlineStr">
        <is>
          <t>主</t>
        </is>
      </c>
      <c r="K26" s="7">
        <f>IF(COUNTIFS($B$4:$B$31,B26,$J$4:$J$31,"补")=0,1,IF(J26="补",0.1,0.9))*G26/SUMIFS($G$4:$G$31,$B$4:$B$31,B26,$J$4:$J$31,J26)</f>
        <v/>
      </c>
      <c r="L26" s="8">
        <f>K26*$B$1</f>
        <v/>
      </c>
    </row>
    <row r="27">
      <c r="A27" s="4" t="inlineStr">
        <is>
          <t>16S-A6-F.1</t>
        </is>
      </c>
      <c r="B27" s="4" t="inlineStr">
        <is>
          <t>A6-F</t>
        </is>
      </c>
      <c r="C27" s="4" t="inlineStr">
        <is>
          <t>主引物</t>
        </is>
      </c>
      <c r="D27" s="6" t="inlineStr">
        <is>
          <t>GGCTRCACACRTGCTACAA</t>
        </is>
      </c>
      <c r="E27" s="4" t="inlineStr">
        <is>
          <t>1222–1240</t>
        </is>
      </c>
      <c r="F27" s="4" t="n">
        <v>19</v>
      </c>
      <c r="G27" s="6" t="n">
        <v>4</v>
      </c>
      <c r="H27" s="4" t="inlineStr">
        <is>
          <t>58.8–64.9</t>
        </is>
      </c>
      <c r="I27" s="4" t="n">
        <v>40</v>
      </c>
      <c r="J27" s="4" t="inlineStr">
        <is>
          <t>主</t>
        </is>
      </c>
      <c r="K27" s="7">
        <f>IF(COUNTIFS($B$4:$B$31,B27,$J$4:$J$31,"补")=0,1,IF(J27="补",0.1,0.9))*G27/SUMIFS($G$4:$G$31,$B$4:$B$31,B27,$J$4:$J$31,J27)</f>
        <v/>
      </c>
      <c r="L27" s="8">
        <f>K27*$B$1</f>
        <v/>
      </c>
    </row>
    <row r="28">
      <c r="A28" s="4" t="inlineStr">
        <is>
          <t>16S-A6-F.2</t>
        </is>
      </c>
      <c r="B28" s="4" t="inlineStr">
        <is>
          <t>A6-F</t>
        </is>
      </c>
      <c r="C28" s="4" t="inlineStr">
        <is>
          <t>主引物</t>
        </is>
      </c>
      <c r="D28" s="6" t="inlineStr">
        <is>
          <t>GGCKACACACGTGMTACAA</t>
        </is>
      </c>
      <c r="E28" s="4" t="inlineStr">
        <is>
          <t>1222–1240</t>
        </is>
      </c>
      <c r="F28" s="4" t="n">
        <v>19</v>
      </c>
      <c r="G28" s="6" t="n">
        <v>4</v>
      </c>
      <c r="H28" s="4" t="inlineStr">
        <is>
          <t>58.6–64.5</t>
        </is>
      </c>
      <c r="I28" s="4" t="n">
        <v>17</v>
      </c>
      <c r="J28" s="4" t="inlineStr">
        <is>
          <t>主</t>
        </is>
      </c>
      <c r="K28" s="7">
        <f>IF(COUNTIFS($B$4:$B$31,B28,$J$4:$J$31,"补")=0,1,IF(J28="补",0.1,0.9))*G28/SUMIFS($G$4:$G$31,$B$4:$B$31,B28,$J$4:$J$31,J28)</f>
        <v/>
      </c>
      <c r="L28" s="8">
        <f>K28*$B$1</f>
        <v/>
      </c>
    </row>
    <row r="29">
      <c r="A29" s="4" t="inlineStr">
        <is>
          <t>16S-A6-F.3</t>
        </is>
      </c>
      <c r="B29" s="4" t="inlineStr">
        <is>
          <t>A6-F</t>
        </is>
      </c>
      <c r="C29" s="4" t="inlineStr">
        <is>
          <t>主引物</t>
        </is>
      </c>
      <c r="D29" s="6" t="inlineStr">
        <is>
          <t>GGCTWCACGCGTGCTACAW</t>
        </is>
      </c>
      <c r="E29" s="4" t="inlineStr">
        <is>
          <t>1222–1240</t>
        </is>
      </c>
      <c r="F29" s="4" t="n">
        <v>19</v>
      </c>
      <c r="G29" s="6" t="n">
        <v>4</v>
      </c>
      <c r="H29" s="4" t="inlineStr">
        <is>
          <t>64.1–64.9</t>
        </is>
      </c>
      <c r="I29" s="4" t="n">
        <v>1</v>
      </c>
      <c r="J29" s="4" t="inlineStr">
        <is>
          <t>主</t>
        </is>
      </c>
      <c r="K29" s="7">
        <f>IF(COUNTIFS($B$4:$B$31,B29,$J$4:$J$31,"补")=0,1,IF(J29="补",0.1,0.9))*G29/SUMIFS($G$4:$G$31,$B$4:$B$31,B29,$J$4:$J$31,J29)</f>
        <v/>
      </c>
      <c r="L29" s="8">
        <f>K29*$B$1</f>
        <v/>
      </c>
    </row>
    <row r="30">
      <c r="A30" s="4" t="inlineStr">
        <is>
          <t>16S-A6-R.1</t>
        </is>
      </c>
      <c r="B30" s="4" t="inlineStr">
        <is>
          <t>A6-R</t>
        </is>
      </c>
      <c r="C30" s="4" t="inlineStr">
        <is>
          <t>主引物</t>
        </is>
      </c>
      <c r="D30" s="6" t="inlineStr">
        <is>
          <t>CTTGTTACGACTTCRYCCY</t>
        </is>
      </c>
      <c r="E30" s="4" t="inlineStr">
        <is>
          <t>1486–1504</t>
        </is>
      </c>
      <c r="F30" s="4" t="n">
        <v>19</v>
      </c>
      <c r="G30" s="6" t="n">
        <v>8</v>
      </c>
      <c r="H30" s="4" t="inlineStr">
        <is>
          <t>55.6–62.1</t>
        </is>
      </c>
      <c r="I30" s="4" t="n">
        <v>28</v>
      </c>
      <c r="J30" s="4" t="inlineStr">
        <is>
          <t>主</t>
        </is>
      </c>
      <c r="K30" s="7">
        <f>IF(COUNTIFS($B$4:$B$31,B30,$J$4:$J$31,"补")=0,1,IF(J30="补",0.1,0.9))*G30/SUMIFS($G$4:$G$31,$B$4:$B$31,B30,$J$4:$J$31,J30)</f>
        <v/>
      </c>
      <c r="L30" s="8">
        <f>K30*$B$1</f>
        <v/>
      </c>
    </row>
    <row r="31">
      <c r="A31" s="4" t="inlineStr">
        <is>
          <t>16S-A6-R.3</t>
        </is>
      </c>
      <c r="B31" s="4" t="inlineStr">
        <is>
          <t>A6-R</t>
        </is>
      </c>
      <c r="C31" s="4" t="inlineStr">
        <is>
          <t>主引物</t>
        </is>
      </c>
      <c r="D31" s="6" t="inlineStr">
        <is>
          <t>CCTTGTTACGACTTMACHCC</t>
        </is>
      </c>
      <c r="E31" s="4" t="inlineStr">
        <is>
          <t>1486–1505</t>
        </is>
      </c>
      <c r="F31" s="4" t="n">
        <v>20</v>
      </c>
      <c r="G31" s="6" t="n">
        <v>6</v>
      </c>
      <c r="H31" s="4" t="inlineStr">
        <is>
          <t>56.9–61.7</t>
        </is>
      </c>
      <c r="I31" s="4" t="n">
        <v>9</v>
      </c>
      <c r="J31" s="4" t="inlineStr">
        <is>
          <t>主</t>
        </is>
      </c>
      <c r="K31" s="7">
        <f>IF(COUNTIFS($B$4:$B$31,B31,$J$4:$J$31,"补")=0,1,IF(J31="补",0.1,0.9))*G31/SUMIFS($G$4:$G$31,$B$4:$B$31,B31,$J$4:$J$31,J31)</f>
        <v/>
      </c>
      <c r="L31" s="8">
        <f>K31*$B$1</f>
        <v/>
      </c>
    </row>
    <row r="33">
      <c r="A33" s="5" t="inlineStr">
        <is>
          <t>合计</t>
        </is>
      </c>
      <c r="G33" s="5">
        <f>SUM(G4:G31)</f>
        <v/>
      </c>
      <c r="L33" s="5">
        <f>SUM(L4:L31)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44" customWidth="1" min="4" max="4"/>
    <col width="12" customWidth="1" min="5" max="5"/>
    <col width="8" customWidth="1" min="6" max="6"/>
    <col width="8" customWidth="1" min="7" max="7"/>
    <col width="12" customWidth="1" min="8" max="8"/>
    <col width="26" customWidth="1" min="9" max="9"/>
    <col width="6" customWidth="1" min="10" max="10"/>
    <col width="12" customWidth="1" min="11" max="11"/>
    <col width="12" customWidth="1" min="12" max="12"/>
  </cols>
  <sheetData>
    <row r="1">
      <c r="A1" s="5" t="inlineStr">
        <is>
          <t>每位点总量 µL（可改）</t>
        </is>
      </c>
      <c r="B1" s="6" t="n">
        <v>2.5</v>
      </c>
    </row>
    <row r="3">
      <c r="A3" s="3" t="inlineStr">
        <is>
          <t>名称</t>
        </is>
      </c>
      <c r="B3" s="3" t="inlineStr">
        <is>
          <t>位点</t>
        </is>
      </c>
      <c r="C3" s="3" t="inlineStr">
        <is>
          <t>类型</t>
        </is>
      </c>
      <c r="D3" s="3" t="inlineStr">
        <is>
          <t>5′→3′序列</t>
        </is>
      </c>
      <c r="E3" s="3" t="inlineStr">
        <is>
          <t>位置</t>
        </is>
      </c>
      <c r="F3" s="3" t="inlineStr">
        <is>
          <t>长度nt</t>
        </is>
      </c>
      <c r="G3" s="3" t="inlineStr">
        <is>
          <t>展开数</t>
        </is>
      </c>
      <c r="H3" s="3" t="inlineStr">
        <is>
          <t>Tm范围°C</t>
        </is>
      </c>
      <c r="I3" s="3" t="inlineStr">
        <is>
          <t>人基因组≤2错配位点数</t>
        </is>
      </c>
      <c r="J3" s="3" t="inlineStr">
        <is>
          <t>组</t>
        </is>
      </c>
      <c r="K3" s="3" t="inlineStr">
        <is>
          <t>占位点比例</t>
        </is>
      </c>
      <c r="L3" s="3" t="inlineStr">
        <is>
          <t>加入体积 µL</t>
        </is>
      </c>
    </row>
    <row r="4">
      <c r="A4" s="4" t="inlineStr">
        <is>
          <t>16S-A1-F.SNAP</t>
        </is>
      </c>
      <c r="B4" s="4" t="inlineStr">
        <is>
          <t>A1-F</t>
        </is>
      </c>
      <c r="C4" s="4" t="inlineStr">
        <is>
          <t>主引物（SNAP V1_f）</t>
        </is>
      </c>
      <c r="D4" s="6" t="inlineStr">
        <is>
          <t>GAGTTTGATCMTGGCTCAG</t>
        </is>
      </c>
      <c r="E4" s="4" t="inlineStr">
        <is>
          <t>9–27</t>
        </is>
      </c>
      <c r="F4" s="4" t="n">
        <v>19</v>
      </c>
      <c r="G4" s="6" t="n">
        <v>2</v>
      </c>
      <c r="H4" s="4" t="inlineStr">
        <is>
          <t>57.1–58.9</t>
        </is>
      </c>
      <c r="I4" s="4" t="inlineStr">
        <is>
          <t>未单独扫描（此前评估比 A1-F.1–.3 低约 10 倍）</t>
        </is>
      </c>
      <c r="J4" s="4" t="inlineStr">
        <is>
          <t>主</t>
        </is>
      </c>
      <c r="K4" s="7">
        <f>IF(COUNTIFS($B$4:$B$23,B4,$J$4:$J$23,"补")=0,1,IF(J4="补",0.1,0.9))*G4/SUMIFS($G$4:$G$23,$B$4:$B$23,B4,$J$4:$J$23,J4)</f>
        <v/>
      </c>
      <c r="L4" s="8">
        <f>K4*$B$1</f>
        <v/>
      </c>
    </row>
    <row r="5">
      <c r="A5" s="4" t="inlineStr">
        <is>
          <t>16S-A1-R.1</t>
        </is>
      </c>
      <c r="B5" s="4" t="inlineStr">
        <is>
          <t>A1-R</t>
        </is>
      </c>
      <c r="C5" s="4" t="inlineStr">
        <is>
          <t>主引物</t>
        </is>
      </c>
      <c r="D5" s="6" t="inlineStr">
        <is>
          <t>GTTACCYCACCAACWARCT</t>
        </is>
      </c>
      <c r="E5" s="4" t="inlineStr">
        <is>
          <t>246–264</t>
        </is>
      </c>
      <c r="F5" s="4" t="n">
        <v>19</v>
      </c>
      <c r="G5" s="6" t="n">
        <v>8</v>
      </c>
      <c r="H5" s="4" t="inlineStr">
        <is>
          <t>55.1–61.3</t>
        </is>
      </c>
      <c r="I5" s="4" t="n">
        <v>49</v>
      </c>
      <c r="J5" s="4" t="inlineStr">
        <is>
          <t>主</t>
        </is>
      </c>
      <c r="K5" s="7">
        <f>IF(COUNTIFS($B$4:$B$23,B5,$J$4:$J$23,"补")=0,1,IF(J5="补",0.1,0.9))*G5/SUMIFS($G$4:$G$23,$B$4:$B$23,B5,$J$4:$J$23,J5)</f>
        <v/>
      </c>
      <c r="L5" s="8">
        <f>K5*$B$1</f>
        <v/>
      </c>
    </row>
    <row r="6">
      <c r="A6" s="4" t="inlineStr">
        <is>
          <t>16S-A1-R.2</t>
        </is>
      </c>
      <c r="B6" s="4" t="inlineStr">
        <is>
          <t>A1-R</t>
        </is>
      </c>
      <c r="C6" s="4" t="inlineStr">
        <is>
          <t>主引物</t>
        </is>
      </c>
      <c r="D6" s="6" t="inlineStr">
        <is>
          <t>GTTACCCCRCCAACTABCT</t>
        </is>
      </c>
      <c r="E6" s="4" t="inlineStr">
        <is>
          <t>246–264</t>
        </is>
      </c>
      <c r="F6" s="4" t="n">
        <v>19</v>
      </c>
      <c r="G6" s="6" t="n">
        <v>6</v>
      </c>
      <c r="H6" s="4" t="inlineStr">
        <is>
          <t>57.1–63.1</t>
        </is>
      </c>
      <c r="I6" s="4" t="n">
        <v>18</v>
      </c>
      <c r="J6" s="4" t="inlineStr">
        <is>
          <t>主</t>
        </is>
      </c>
      <c r="K6" s="7">
        <f>IF(COUNTIFS($B$4:$B$23,B6,$J$4:$J$23,"补")=0,1,IF(J6="补",0.1,0.9))*G6/SUMIFS($G$4:$G$23,$B$4:$B$23,B6,$J$4:$J$23,J6)</f>
        <v/>
      </c>
      <c r="L6" s="8">
        <f>K6*$B$1</f>
        <v/>
      </c>
    </row>
    <row r="7">
      <c r="A7" s="4" t="inlineStr">
        <is>
          <t>16S-A1-R.4</t>
        </is>
      </c>
      <c r="B7" s="4" t="inlineStr">
        <is>
          <t>A1-R</t>
        </is>
      </c>
      <c r="C7" s="4" t="inlineStr">
        <is>
          <t>主引物</t>
        </is>
      </c>
      <c r="D7" s="6" t="inlineStr">
        <is>
          <t>CATTACCCYACCAACTARYT</t>
        </is>
      </c>
      <c r="E7" s="4" t="inlineStr">
        <is>
          <t>246–265</t>
        </is>
      </c>
      <c r="F7" s="4" t="n">
        <v>20</v>
      </c>
      <c r="G7" s="6" t="n">
        <v>8</v>
      </c>
      <c r="H7" s="4" t="inlineStr">
        <is>
          <t>53.3–60.5</t>
        </is>
      </c>
      <c r="I7" s="4" t="n">
        <v>25</v>
      </c>
      <c r="J7" s="4" t="inlineStr">
        <is>
          <t>主</t>
        </is>
      </c>
      <c r="K7" s="7">
        <f>IF(COUNTIFS($B$4:$B$23,B7,$J$4:$J$23,"补")=0,1,IF(J7="补",0.1,0.9))*G7/SUMIFS($G$4:$G$23,$B$4:$B$23,B7,$J$4:$J$23,J7)</f>
        <v/>
      </c>
      <c r="L7" s="8">
        <f>K7*$B$1</f>
        <v/>
      </c>
    </row>
    <row r="8">
      <c r="A8" s="4" t="inlineStr">
        <is>
          <t>16S-A2-F.1</t>
        </is>
      </c>
      <c r="B8" s="4" t="inlineStr">
        <is>
          <t>A2-F</t>
        </is>
      </c>
      <c r="C8" s="4" t="inlineStr">
        <is>
          <t>主引物</t>
        </is>
      </c>
      <c r="D8" s="6" t="inlineStr">
        <is>
          <t>CAYKGGGACTGAGACACKG</t>
        </is>
      </c>
      <c r="E8" s="4" t="inlineStr">
        <is>
          <t>314–332</t>
        </is>
      </c>
      <c r="F8" s="4" t="n">
        <v>19</v>
      </c>
      <c r="G8" s="6" t="n">
        <v>8</v>
      </c>
      <c r="H8" s="4" t="inlineStr">
        <is>
          <t>58.8–65.9</t>
        </is>
      </c>
      <c r="I8" s="4" t="n">
        <v>95</v>
      </c>
      <c r="J8" s="4" t="inlineStr">
        <is>
          <t>主</t>
        </is>
      </c>
      <c r="K8" s="7">
        <f>IF(COUNTIFS($B$4:$B$23,B8,$J$4:$J$23,"补")=0,1,IF(J8="补",0.1,0.9))*G8/SUMIFS($G$4:$G$23,$B$4:$B$23,B8,$J$4:$J$23,J8)</f>
        <v/>
      </c>
      <c r="L8" s="8">
        <f>K8*$B$1</f>
        <v/>
      </c>
    </row>
    <row r="9">
      <c r="A9" s="4" t="inlineStr">
        <is>
          <t>16S-A2-F.3</t>
        </is>
      </c>
      <c r="B9" s="4" t="inlineStr">
        <is>
          <t>A2-F</t>
        </is>
      </c>
      <c r="C9" s="4" t="inlineStr">
        <is>
          <t>主引物</t>
        </is>
      </c>
      <c r="D9" s="6" t="inlineStr">
        <is>
          <t>CARKGGRACTGAGACACGG</t>
        </is>
      </c>
      <c r="E9" s="4" t="inlineStr">
        <is>
          <t>314–332</t>
        </is>
      </c>
      <c r="F9" s="4" t="n">
        <v>19</v>
      </c>
      <c r="G9" s="6" t="n">
        <v>8</v>
      </c>
      <c r="H9" s="4" t="inlineStr">
        <is>
          <t>59.5–65.4</t>
        </is>
      </c>
      <c r="I9" s="4" t="n">
        <v>36</v>
      </c>
      <c r="J9" s="4" t="inlineStr">
        <is>
          <t>主</t>
        </is>
      </c>
      <c r="K9" s="7">
        <f>IF(COUNTIFS($B$4:$B$23,B9,$J$4:$J$23,"补")=0,1,IF(J9="补",0.1,0.9))*G9/SUMIFS($G$4:$G$23,$B$4:$B$23,B9,$J$4:$J$23,J9)</f>
        <v/>
      </c>
      <c r="L9" s="8">
        <f>K9*$B$1</f>
        <v/>
      </c>
    </row>
    <row r="10">
      <c r="A10" s="4" t="inlineStr">
        <is>
          <t>16S-A2-R.1</t>
        </is>
      </c>
      <c r="B10" s="4" t="inlineStr">
        <is>
          <t>A2-R</t>
        </is>
      </c>
      <c r="C10" s="4" t="inlineStr">
        <is>
          <t>主引物</t>
        </is>
      </c>
      <c r="D10" s="6" t="inlineStr">
        <is>
          <t>GCTGGCACGKARTTAGCCR</t>
        </is>
      </c>
      <c r="E10" s="4" t="inlineStr">
        <is>
          <t>504–522</t>
        </is>
      </c>
      <c r="F10" s="4" t="n">
        <v>19</v>
      </c>
      <c r="G10" s="6" t="n">
        <v>8</v>
      </c>
      <c r="H10" s="4" t="inlineStr">
        <is>
          <t>61.9–67.2</t>
        </is>
      </c>
      <c r="I10" s="4" t="n">
        <v>28</v>
      </c>
      <c r="J10" s="4" t="inlineStr">
        <is>
          <t>主</t>
        </is>
      </c>
      <c r="K10" s="7">
        <f>IF(COUNTIFS($B$4:$B$23,B10,$J$4:$J$23,"补")=0,1,IF(J10="补",0.1,0.9))*G10/SUMIFS($G$4:$G$23,$B$4:$B$23,B10,$J$4:$J$23,J10)</f>
        <v/>
      </c>
      <c r="L10" s="8">
        <f>K10*$B$1</f>
        <v/>
      </c>
    </row>
    <row r="11">
      <c r="A11" s="4" t="inlineStr">
        <is>
          <t>16S-A2-R.3</t>
        </is>
      </c>
      <c r="B11" s="4" t="inlineStr">
        <is>
          <t>A2-R</t>
        </is>
      </c>
      <c r="C11" s="4" t="inlineStr">
        <is>
          <t>主引物</t>
        </is>
      </c>
      <c r="D11" s="6" t="inlineStr">
        <is>
          <t>GCTGGCACAKAGTTAGYYG</t>
        </is>
      </c>
      <c r="E11" s="4" t="inlineStr">
        <is>
          <t>504–522</t>
        </is>
      </c>
      <c r="F11" s="4" t="n">
        <v>19</v>
      </c>
      <c r="G11" s="6" t="n">
        <v>8</v>
      </c>
      <c r="H11" s="4" t="inlineStr">
        <is>
          <t>57.4–64.7</t>
        </is>
      </c>
      <c r="I11" s="4" t="n">
        <v>41</v>
      </c>
      <c r="J11" s="4" t="inlineStr">
        <is>
          <t>主</t>
        </is>
      </c>
      <c r="K11" s="7">
        <f>IF(COUNTIFS($B$4:$B$23,B11,$J$4:$J$23,"补")=0,1,IF(J11="补",0.1,0.9))*G11/SUMIFS($G$4:$G$23,$B$4:$B$23,B11,$J$4:$J$23,J11)</f>
        <v/>
      </c>
      <c r="L11" s="8">
        <f>K11*$B$1</f>
        <v/>
      </c>
    </row>
    <row r="12">
      <c r="A12" s="4" t="inlineStr">
        <is>
          <t>16S-A3-F.1</t>
        </is>
      </c>
      <c r="B12" s="4" t="inlineStr">
        <is>
          <t>A3-F</t>
        </is>
      </c>
      <c r="C12" s="4" t="inlineStr">
        <is>
          <t>主引物</t>
        </is>
      </c>
      <c r="D12" s="6" t="inlineStr">
        <is>
          <t>CCAGCAGCCGCGGTAABWC</t>
        </is>
      </c>
      <c r="E12" s="4" t="inlineStr">
        <is>
          <t>518–536</t>
        </is>
      </c>
      <c r="F12" s="4" t="n">
        <v>19</v>
      </c>
      <c r="G12" s="6" t="n">
        <v>6</v>
      </c>
      <c r="H12" s="4" t="inlineStr">
        <is>
          <t>64.8–67.8</t>
        </is>
      </c>
      <c r="I12" s="4" t="n">
        <v>10</v>
      </c>
      <c r="J12" s="4" t="inlineStr">
        <is>
          <t>主</t>
        </is>
      </c>
      <c r="K12" s="7">
        <f>IF(COUNTIFS($B$4:$B$23,B12,$J$4:$J$23,"补")=0,1,IF(J12="补",0.1,0.9))*G12/SUMIFS($G$4:$G$23,$B$4:$B$23,B12,$J$4:$J$23,J12)</f>
        <v/>
      </c>
      <c r="L12" s="8">
        <f>K12*$B$1</f>
        <v/>
      </c>
    </row>
    <row r="13">
      <c r="A13" s="4" t="inlineStr">
        <is>
          <t>16S-A3-R.1</t>
        </is>
      </c>
      <c r="B13" s="4" t="inlineStr">
        <is>
          <t>A3-R</t>
        </is>
      </c>
      <c r="C13" s="4" t="inlineStr">
        <is>
          <t>主引物</t>
        </is>
      </c>
      <c r="D13" s="6" t="inlineStr">
        <is>
          <t>TCTAATCCYGTTYGCTMCC</t>
        </is>
      </c>
      <c r="E13" s="4" t="inlineStr">
        <is>
          <t>774–792</t>
        </is>
      </c>
      <c r="F13" s="4" t="n">
        <v>19</v>
      </c>
      <c r="G13" s="6" t="n">
        <v>8</v>
      </c>
      <c r="H13" s="4" t="inlineStr">
        <is>
          <t>55.2–62.6</t>
        </is>
      </c>
      <c r="I13" s="4" t="n">
        <v>53</v>
      </c>
      <c r="J13" s="4" t="inlineStr">
        <is>
          <t>主</t>
        </is>
      </c>
      <c r="K13" s="7">
        <f>IF(COUNTIFS($B$4:$B$23,B13,$J$4:$J$23,"补")=0,1,IF(J13="补",0.1,0.9))*G13/SUMIFS($G$4:$G$23,$B$4:$B$23,B13,$J$4:$J$23,J13)</f>
        <v/>
      </c>
      <c r="L13" s="8">
        <f>K13*$B$1</f>
        <v/>
      </c>
    </row>
    <row r="14">
      <c r="A14" s="4" t="inlineStr">
        <is>
          <t>16S-A4-F.1</t>
        </is>
      </c>
      <c r="B14" s="4" t="inlineStr">
        <is>
          <t>A4-F</t>
        </is>
      </c>
      <c r="C14" s="4" t="inlineStr">
        <is>
          <t>主引物</t>
        </is>
      </c>
      <c r="D14" s="6" t="inlineStr">
        <is>
          <t>GATTAGAKACCCYGGTAGTCY</t>
        </is>
      </c>
      <c r="E14" s="4" t="inlineStr">
        <is>
          <t>786–806</t>
        </is>
      </c>
      <c r="F14" s="4" t="n">
        <v>21</v>
      </c>
      <c r="G14" s="6" t="n">
        <v>8</v>
      </c>
      <c r="H14" s="4" t="inlineStr">
        <is>
          <t>56.5–62.3</t>
        </is>
      </c>
      <c r="I14" s="4" t="n">
        <v>1</v>
      </c>
      <c r="J14" s="4" t="inlineStr">
        <is>
          <t>主</t>
        </is>
      </c>
      <c r="K14" s="7">
        <f>IF(COUNTIFS($B$4:$B$23,B14,$J$4:$J$23,"补")=0,1,IF(J14="补",0.1,0.9))*G14/SUMIFS($G$4:$G$23,$B$4:$B$23,B14,$J$4:$J$23,J14)</f>
        <v/>
      </c>
      <c r="L14" s="8">
        <f>K14*$B$1</f>
        <v/>
      </c>
    </row>
    <row r="15">
      <c r="A15" s="4" t="inlineStr">
        <is>
          <t>16S-A4-R.1</t>
        </is>
      </c>
      <c r="B15" s="4" t="inlineStr">
        <is>
          <t>A4-R</t>
        </is>
      </c>
      <c r="C15" s="4" t="inlineStr">
        <is>
          <t>主引物</t>
        </is>
      </c>
      <c r="D15" s="6" t="inlineStr">
        <is>
          <t>CGCGTWGCATCGAATTAADC</t>
        </is>
      </c>
      <c r="E15" s="4" t="inlineStr">
        <is>
          <t>954–973</t>
        </is>
      </c>
      <c r="F15" s="4" t="n">
        <v>20</v>
      </c>
      <c r="G15" s="6" t="n">
        <v>6</v>
      </c>
      <c r="H15" s="4" t="inlineStr">
        <is>
          <t>58.6–62.3</t>
        </is>
      </c>
      <c r="I15" s="4" t="n">
        <v>1</v>
      </c>
      <c r="J15" s="4" t="inlineStr">
        <is>
          <t>主</t>
        </is>
      </c>
      <c r="K15" s="7">
        <f>IF(COUNTIFS($B$4:$B$23,B15,$J$4:$J$23,"补")=0,1,IF(J15="补",0.1,0.9))*G15/SUMIFS($G$4:$G$23,$B$4:$B$23,B15,$J$4:$J$23,J15)</f>
        <v/>
      </c>
      <c r="L15" s="8">
        <f>K15*$B$1</f>
        <v/>
      </c>
    </row>
    <row r="16">
      <c r="A16" s="4" t="inlineStr">
        <is>
          <t>16S-A4-R.4s</t>
        </is>
      </c>
      <c r="B16" s="4" t="inlineStr">
        <is>
          <t>A4-R</t>
        </is>
      </c>
      <c r="C16" s="4" t="inlineStr">
        <is>
          <t>补充</t>
        </is>
      </c>
      <c r="D16" s="6" t="inlineStr">
        <is>
          <t>CGTGTATYRTCGAATTAARC</t>
        </is>
      </c>
      <c r="E16" s="4" t="inlineStr">
        <is>
          <t>954–973</t>
        </is>
      </c>
      <c r="F16" s="4" t="n">
        <v>20</v>
      </c>
      <c r="G16" s="6" t="n">
        <v>8</v>
      </c>
      <c r="H16" s="4" t="inlineStr">
        <is>
          <t>51.2–58.2</t>
        </is>
      </c>
      <c r="I16" s="4" t="n">
        <v>6</v>
      </c>
      <c r="J16" s="4" t="inlineStr">
        <is>
          <t>补</t>
        </is>
      </c>
      <c r="K16" s="7">
        <f>IF(COUNTIFS($B$4:$B$23,B16,$J$4:$J$23,"补")=0,1,IF(J16="补",0.1,0.9))*G16/SUMIFS($G$4:$G$23,$B$4:$B$23,B16,$J$4:$J$23,J16)</f>
        <v/>
      </c>
      <c r="L16" s="8">
        <f>K16*$B$1</f>
        <v/>
      </c>
    </row>
    <row r="17">
      <c r="A17" s="4" t="inlineStr">
        <is>
          <t>16S-A4-R.5s</t>
        </is>
      </c>
      <c r="B17" s="4" t="inlineStr">
        <is>
          <t>A4-R</t>
        </is>
      </c>
      <c r="C17" s="4" t="inlineStr">
        <is>
          <t>补充</t>
        </is>
      </c>
      <c r="D17" s="6" t="inlineStr">
        <is>
          <t>CGCGTABCTTCRAATTAAAC</t>
        </is>
      </c>
      <c r="E17" s="4" t="inlineStr">
        <is>
          <t>954–973</t>
        </is>
      </c>
      <c r="F17" s="4" t="n">
        <v>20</v>
      </c>
      <c r="G17" s="6" t="n">
        <v>6</v>
      </c>
      <c r="H17" s="4" t="inlineStr">
        <is>
          <t>54.4–59.0</t>
        </is>
      </c>
      <c r="I17" s="4" t="n">
        <v>1</v>
      </c>
      <c r="J17" s="4" t="inlineStr">
        <is>
          <t>补</t>
        </is>
      </c>
      <c r="K17" s="7">
        <f>IF(COUNTIFS($B$4:$B$23,B17,$J$4:$J$23,"补")=0,1,IF(J17="补",0.1,0.9))*G17/SUMIFS($G$4:$G$23,$B$4:$B$23,B17,$J$4:$J$23,J17)</f>
        <v/>
      </c>
      <c r="L17" s="8">
        <f>K17*$B$1</f>
        <v/>
      </c>
    </row>
    <row r="18">
      <c r="A18" s="4" t="inlineStr">
        <is>
          <t>16S-A5-F.1</t>
        </is>
      </c>
      <c r="B18" s="4" t="inlineStr">
        <is>
          <t>A5-F</t>
        </is>
      </c>
      <c r="C18" s="4" t="inlineStr">
        <is>
          <t>主引物</t>
        </is>
      </c>
      <c r="D18" s="6" t="inlineStr">
        <is>
          <t>MWACGCGARGAACCTTACC</t>
        </is>
      </c>
      <c r="E18" s="4" t="inlineStr">
        <is>
          <t>967–985</t>
        </is>
      </c>
      <c r="F18" s="4" t="n">
        <v>19</v>
      </c>
      <c r="G18" s="6" t="n">
        <v>8</v>
      </c>
      <c r="H18" s="4" t="inlineStr">
        <is>
          <t>58.3–62.1</t>
        </is>
      </c>
      <c r="I18" s="4" t="n">
        <v>9</v>
      </c>
      <c r="J18" s="4" t="inlineStr">
        <is>
          <t>主</t>
        </is>
      </c>
      <c r="K18" s="7">
        <f>IF(COUNTIFS($B$4:$B$23,B18,$J$4:$J$23,"补")=0,1,IF(J18="补",0.1,0.9))*G18/SUMIFS($G$4:$G$23,$B$4:$B$23,B18,$J$4:$J$23,J18)</f>
        <v/>
      </c>
      <c r="L18" s="8">
        <f>K18*$B$1</f>
        <v/>
      </c>
    </row>
    <row r="19">
      <c r="A19" s="4" t="inlineStr">
        <is>
          <t>16S-A5-F.3</t>
        </is>
      </c>
      <c r="B19" s="4" t="inlineStr">
        <is>
          <t>A5-F</t>
        </is>
      </c>
      <c r="C19" s="4" t="inlineStr">
        <is>
          <t>主引物</t>
        </is>
      </c>
      <c r="D19" s="6" t="inlineStr">
        <is>
          <t>RTACMCGAARAACCTTACC</t>
        </is>
      </c>
      <c r="E19" s="4" t="inlineStr">
        <is>
          <t>967–985</t>
        </is>
      </c>
      <c r="F19" s="4" t="n">
        <v>19</v>
      </c>
      <c r="G19" s="6" t="n">
        <v>8</v>
      </c>
      <c r="H19" s="4" t="inlineStr">
        <is>
          <t>53.9–58.2</t>
        </is>
      </c>
      <c r="I19" s="4" t="n">
        <v>18</v>
      </c>
      <c r="J19" s="4" t="inlineStr">
        <is>
          <t>主</t>
        </is>
      </c>
      <c r="K19" s="7">
        <f>IF(COUNTIFS($B$4:$B$23,B19,$J$4:$J$23,"补")=0,1,IF(J19="补",0.1,0.9))*G19/SUMIFS($G$4:$G$23,$B$4:$B$23,B19,$J$4:$J$23,J19)</f>
        <v/>
      </c>
      <c r="L19" s="8">
        <f>K19*$B$1</f>
        <v/>
      </c>
    </row>
    <row r="20">
      <c r="A20" s="4" t="inlineStr">
        <is>
          <t>16S-A5-R.1</t>
        </is>
      </c>
      <c r="B20" s="4" t="inlineStr">
        <is>
          <t>A5-R</t>
        </is>
      </c>
      <c r="C20" s="4" t="inlineStr">
        <is>
          <t>主引物</t>
        </is>
      </c>
      <c r="D20" s="6" t="inlineStr">
        <is>
          <t>ATGMTGAYTTGACGTCRTC</t>
        </is>
      </c>
      <c r="E20" s="4" t="inlineStr">
        <is>
          <t>1188–1206</t>
        </is>
      </c>
      <c r="F20" s="4" t="n">
        <v>19</v>
      </c>
      <c r="G20" s="6" t="n">
        <v>8</v>
      </c>
      <c r="H20" s="4" t="inlineStr">
        <is>
          <t>54.2–61.5</t>
        </is>
      </c>
      <c r="I20" s="4" t="inlineStr">
        <is>
          <t>A5-R 两条合计 10</t>
        </is>
      </c>
      <c r="J20" s="4" t="inlineStr">
        <is>
          <t>主</t>
        </is>
      </c>
      <c r="K20" s="7">
        <f>IF(COUNTIFS($B$4:$B$23,B20,$J$4:$J$23,"补")=0,1,IF(J20="补",0.1,0.9))*G20/SUMIFS($G$4:$G$23,$B$4:$B$23,B20,$J$4:$J$23,J20)</f>
        <v/>
      </c>
      <c r="L20" s="8">
        <f>K20*$B$1</f>
        <v/>
      </c>
    </row>
    <row r="21">
      <c r="A21" s="4" t="inlineStr">
        <is>
          <t>16S-A6-F.1</t>
        </is>
      </c>
      <c r="B21" s="4" t="inlineStr">
        <is>
          <t>A6-F</t>
        </is>
      </c>
      <c r="C21" s="4" t="inlineStr">
        <is>
          <t>主引物</t>
        </is>
      </c>
      <c r="D21" s="6" t="inlineStr">
        <is>
          <t>GGCTRCACACRTGCTACAA</t>
        </is>
      </c>
      <c r="E21" s="4" t="inlineStr">
        <is>
          <t>1222–1240</t>
        </is>
      </c>
      <c r="F21" s="4" t="n">
        <v>19</v>
      </c>
      <c r="G21" s="6" t="n">
        <v>4</v>
      </c>
      <c r="H21" s="4" t="inlineStr">
        <is>
          <t>58.8–64.9</t>
        </is>
      </c>
      <c r="I21" s="4" t="n">
        <v>40</v>
      </c>
      <c r="J21" s="4" t="inlineStr">
        <is>
          <t>主</t>
        </is>
      </c>
      <c r="K21" s="7">
        <f>IF(COUNTIFS($B$4:$B$23,B21,$J$4:$J$23,"补")=0,1,IF(J21="补",0.1,0.9))*G21/SUMIFS($G$4:$G$23,$B$4:$B$23,B21,$J$4:$J$23,J21)</f>
        <v/>
      </c>
      <c r="L21" s="8">
        <f>K21*$B$1</f>
        <v/>
      </c>
    </row>
    <row r="22">
      <c r="A22" s="4" t="inlineStr">
        <is>
          <t>16S-A6-F.2</t>
        </is>
      </c>
      <c r="B22" s="4" t="inlineStr">
        <is>
          <t>A6-F</t>
        </is>
      </c>
      <c r="C22" s="4" t="inlineStr">
        <is>
          <t>主引物</t>
        </is>
      </c>
      <c r="D22" s="6" t="inlineStr">
        <is>
          <t>GGCKACACACGTGMTACAA</t>
        </is>
      </c>
      <c r="E22" s="4" t="inlineStr">
        <is>
          <t>1222–1240</t>
        </is>
      </c>
      <c r="F22" s="4" t="n">
        <v>19</v>
      </c>
      <c r="G22" s="6" t="n">
        <v>4</v>
      </c>
      <c r="H22" s="4" t="inlineStr">
        <is>
          <t>58.6–64.5</t>
        </is>
      </c>
      <c r="I22" s="4" t="n">
        <v>17</v>
      </c>
      <c r="J22" s="4" t="inlineStr">
        <is>
          <t>主</t>
        </is>
      </c>
      <c r="K22" s="7">
        <f>IF(COUNTIFS($B$4:$B$23,B22,$J$4:$J$23,"补")=0,1,IF(J22="补",0.1,0.9))*G22/SUMIFS($G$4:$G$23,$B$4:$B$23,B22,$J$4:$J$23,J22)</f>
        <v/>
      </c>
      <c r="L22" s="8">
        <f>K22*$B$1</f>
        <v/>
      </c>
    </row>
    <row r="23">
      <c r="A23" s="4" t="inlineStr">
        <is>
          <t>16S-A6-R.1</t>
        </is>
      </c>
      <c r="B23" s="4" t="inlineStr">
        <is>
          <t>A6-R</t>
        </is>
      </c>
      <c r="C23" s="4" t="inlineStr">
        <is>
          <t>主引物</t>
        </is>
      </c>
      <c r="D23" s="6" t="inlineStr">
        <is>
          <t>CTTGTTACGACTTCRYCCY</t>
        </is>
      </c>
      <c r="E23" s="4" t="inlineStr">
        <is>
          <t>1486–1504</t>
        </is>
      </c>
      <c r="F23" s="4" t="n">
        <v>19</v>
      </c>
      <c r="G23" s="6" t="n">
        <v>8</v>
      </c>
      <c r="H23" s="4" t="inlineStr">
        <is>
          <t>55.6–62.1</t>
        </is>
      </c>
      <c r="I23" s="4" t="n">
        <v>28</v>
      </c>
      <c r="J23" s="4" t="inlineStr">
        <is>
          <t>主</t>
        </is>
      </c>
      <c r="K23" s="7">
        <f>IF(COUNTIFS($B$4:$B$23,B23,$J$4:$J$23,"补")=0,1,IF(J23="补",0.1,0.9))*G23/SUMIFS($G$4:$G$23,$B$4:$B$23,B23,$J$4:$J$23,J23)</f>
        <v/>
      </c>
      <c r="L23" s="8">
        <f>K23*$B$1</f>
        <v/>
      </c>
    </row>
    <row r="25">
      <c r="A25" s="5" t="inlineStr">
        <is>
          <t>合计</t>
        </is>
      </c>
      <c r="G25" s="5">
        <f>SUM(G4:G23)</f>
        <v/>
      </c>
      <c r="L25" s="5">
        <f>SUM(L4:L23)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2026-10-06T09:49:50Z</dcterms:created>
  <dcterms:modified xsi:type="dcterms:W3CDTF">2026-10-06T09:49:50Z</dcterms:modified>
</cp:coreProperties>
</file>