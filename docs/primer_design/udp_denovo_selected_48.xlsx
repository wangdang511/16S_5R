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48组" sheetId="2" state="visible" r:id="rId2"/>
    <sheet name="48组每周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UDP（DN）从 480 对候选中选出的 48 / 96 组</t>
        </is>
      </c>
    </row>
    <row r="2">
      <c r="A2" s="2" t="inlineStr">
        <is>
          <t>命名：候选管编号 k（DN001–DN480）对应 i5 = DN5{k:03d}（放正向引物 5′端）、i7 = DN7{k:03d}（放反向引物 5′端），例如 k=1 → DN5001 / DN7001。i5、i7 按候选管配对，只用同一管里的一对做管内评估。</t>
        </is>
      </c>
    </row>
    <row r="3">
      <c r="A3" s="2" t="inlineStr">
        <is>
          <t>选择逻辑：① 480 个候选管都按 33 条引物池（60 个正向、138 个反向展开序列）加尾巴后做整管评估（primer3，58 °C）；② 分级 A：全局二聚体 ΔG ≥ −7 且 3′端 ≥ −4.5；B：≥ −8.5 且 ≥ −5.5；C：其余（阈值是经验阈值，基线无尾巴为 −5.7 / −3.8）；③ 在 A/B 级管里用模拟退火选 N 个管，硬约束：所选 i5∪i7 两两 Levenshtein ≥4、与对方反向互补 ≥4；每个周期（第 1–10 位）GC、A+C、A+T 占比 40–60%、A/C/G/T 各 ≥15%（i5、i7 各自）；软目标：A 级尽量多、二聚体尽量弱。</t>
        </is>
      </c>
    </row>
    <row r="4">
      <c r="A4" s="2" t="inlineStr">
        <is>
          <t>候选管总分级：A 94、B 171、C 215（480 个）。A 级总数不够，且全 A 级的子集无法满足每周期配色和距离约束，所以 48 / 96 组里都需要 B 级管。</t>
        </is>
      </c>
    </row>
    <row r="5">
      <c r="A5" s="2" t="inlineStr">
        <is>
          <t>48 组独立验证：最小编辑距离=4；最小反向互补距离=4；每周期全部达标=True；GC范围=(4, 6)；同聚物个数=0；序列数=96；分级 A 28 / B 20 / C 0</t>
        </is>
      </c>
    </row>
    <row r="6">
      <c r="A6" s="2" t="inlineStr">
        <is>
          <t>没有评估的：真实接头；实验验证（条形码紧邻引物会带来扩增偏好，建议同样品多条形码做对照）。代码见 python_5R/explore/udp_dn_select_fast.py、udp_dn_export.py；逻辑说明见 docs/primer_design/udp_denovo/SELECTION.md。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9" customWidth="1" min="4" max="4"/>
    <col width="14" customWidth="1" min="5" max="5"/>
    <col width="14" customWidth="1" min="6" max="6"/>
    <col width="6" customWidth="1" min="7" max="7"/>
    <col width="6" customWidth="1" min="8" max="8"/>
    <col width="6" customWidth="1" min="9" max="9"/>
    <col width="10" customWidth="1" min="10" max="10"/>
    <col width="10" customWidth="1" min="11" max="11"/>
    <col width="10" customWidth="1" min="12" max="12"/>
    <col width="11" customWidth="1" min="13" max="13"/>
    <col width="9" customWidth="1" min="14" max="14"/>
    <col width="9" customWidth="1" min="15" max="15"/>
  </cols>
  <sheetData>
    <row r="1" ht="40" customHeight="1">
      <c r="A1" s="3" t="inlineStr">
        <is>
          <t>序号</t>
        </is>
      </c>
      <c r="B1" s="3" t="inlineStr">
        <is>
          <t>管编号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序列</t>
        </is>
      </c>
      <c r="F1" s="3" t="inlineStr">
        <is>
          <t>i7 序列</t>
        </is>
      </c>
      <c r="G1" s="3" t="inlineStr">
        <is>
          <t>i5 GC</t>
        </is>
      </c>
      <c r="H1" s="3" t="inlineStr">
        <is>
          <t>i7 GC</t>
        </is>
      </c>
      <c r="I1" s="3" t="inlineStr">
        <is>
          <t>分级</t>
        </is>
      </c>
      <c r="J1" s="3" t="inlineStr">
        <is>
          <t>全局二聚体最差 ΔG</t>
        </is>
      </c>
      <c r="K1" s="3" t="inlineStr">
        <is>
          <t>3′端最差 ΔG</t>
        </is>
      </c>
      <c r="L1" s="3" t="inlineStr">
        <is>
          <t>发夹最差 ΔG</t>
        </is>
      </c>
      <c r="M1" s="3" t="inlineStr">
        <is>
          <t>Olivar 总坏度</t>
        </is>
      </c>
      <c r="N1" s="3" t="inlineStr">
        <is>
          <t>人 全长≤3错配</t>
        </is>
      </c>
      <c r="O1" s="3" t="inlineStr">
        <is>
          <t>猪 全长≤3错配</t>
        </is>
      </c>
      <c r="P1" s="3" t="inlineStr">
        <is>
          <t>i5 第1位</t>
        </is>
      </c>
      <c r="Q1" s="3" t="inlineStr">
        <is>
          <t>i5 第2位</t>
        </is>
      </c>
      <c r="R1" s="3" t="inlineStr">
        <is>
          <t>i5 第3位</t>
        </is>
      </c>
      <c r="S1" s="3" t="inlineStr">
        <is>
          <t>i5 第4位</t>
        </is>
      </c>
      <c r="T1" s="3" t="inlineStr">
        <is>
          <t>i5 第5位</t>
        </is>
      </c>
      <c r="U1" s="3" t="inlineStr">
        <is>
          <t>i5 第6位</t>
        </is>
      </c>
      <c r="V1" s="3" t="inlineStr">
        <is>
          <t>i5 第7位</t>
        </is>
      </c>
      <c r="W1" s="3" t="inlineStr">
        <is>
          <t>i5 第8位</t>
        </is>
      </c>
      <c r="X1" s="3" t="inlineStr">
        <is>
          <t>i5 第9位</t>
        </is>
      </c>
      <c r="Y1" s="3" t="inlineStr">
        <is>
          <t>i5 第10位</t>
        </is>
      </c>
      <c r="Z1" s="3" t="inlineStr">
        <is>
          <t>i7 第1位</t>
        </is>
      </c>
      <c r="AA1" s="3" t="inlineStr">
        <is>
          <t>i7 第2位</t>
        </is>
      </c>
      <c r="AB1" s="3" t="inlineStr">
        <is>
          <t>i7 第3位</t>
        </is>
      </c>
      <c r="AC1" s="3" t="inlineStr">
        <is>
          <t>i7 第4位</t>
        </is>
      </c>
      <c r="AD1" s="3" t="inlineStr">
        <is>
          <t>i7 第5位</t>
        </is>
      </c>
      <c r="AE1" s="3" t="inlineStr">
        <is>
          <t>i7 第6位</t>
        </is>
      </c>
      <c r="AF1" s="3" t="inlineStr">
        <is>
          <t>i7 第7位</t>
        </is>
      </c>
      <c r="AG1" s="3" t="inlineStr">
        <is>
          <t>i7 第8位</t>
        </is>
      </c>
      <c r="AH1" s="3" t="inlineStr">
        <is>
          <t>i7 第9位</t>
        </is>
      </c>
      <c r="AI1" s="3" t="inlineStr">
        <is>
          <t>i7 第10位</t>
        </is>
      </c>
    </row>
    <row r="2">
      <c r="A2" s="4" t="n">
        <v>1</v>
      </c>
      <c r="B2" s="4" t="inlineStr">
        <is>
          <t>DN022</t>
        </is>
      </c>
      <c r="C2" s="4" t="inlineStr">
        <is>
          <t>DN5022</t>
        </is>
      </c>
      <c r="D2" s="4" t="inlineStr">
        <is>
          <t>DN7022</t>
        </is>
      </c>
      <c r="E2" s="5" t="inlineStr">
        <is>
          <t>GCCTTACGCA</t>
        </is>
      </c>
      <c r="F2" s="5" t="inlineStr">
        <is>
          <t>GATCACGTCG</t>
        </is>
      </c>
      <c r="G2" s="4">
        <f>LEN(SUBSTITUTE(SUBSTITUTE(E2,"A",""),"T",""))</f>
        <v/>
      </c>
      <c r="H2" s="4">
        <f>LEN(SUBSTITUTE(SUBSTITUTE(F2,"A",""),"T",""))</f>
        <v/>
      </c>
      <c r="I2" s="6" t="inlineStr">
        <is>
          <t>A</t>
        </is>
      </c>
      <c r="J2" s="4" t="n">
        <v>-6.99</v>
      </c>
      <c r="K2" s="4" t="n">
        <v>-3.88</v>
      </c>
      <c r="L2" s="4" t="n">
        <v>-2.99</v>
      </c>
      <c r="M2" s="4" t="n">
        <v>43702</v>
      </c>
      <c r="N2" s="4" t="inlineStr"/>
      <c r="O2" s="4" t="inlineStr"/>
      <c r="P2">
        <f>MID($E2,1,1)</f>
        <v/>
      </c>
      <c r="Q2">
        <f>MID($E2,2,1)</f>
        <v/>
      </c>
      <c r="R2">
        <f>MID($E2,3,1)</f>
        <v/>
      </c>
      <c r="S2">
        <f>MID($E2,4,1)</f>
        <v/>
      </c>
      <c r="T2">
        <f>MID($E2,5,1)</f>
        <v/>
      </c>
      <c r="U2">
        <f>MID($E2,6,1)</f>
        <v/>
      </c>
      <c r="V2">
        <f>MID($E2,7,1)</f>
        <v/>
      </c>
      <c r="W2">
        <f>MID($E2,8,1)</f>
        <v/>
      </c>
      <c r="X2">
        <f>MID($E2,9,1)</f>
        <v/>
      </c>
      <c r="Y2">
        <f>MID($E2,10,1)</f>
        <v/>
      </c>
      <c r="Z2">
        <f>MID($F2,1,1)</f>
        <v/>
      </c>
      <c r="AA2">
        <f>MID($F2,2,1)</f>
        <v/>
      </c>
      <c r="AB2">
        <f>MID($F2,3,1)</f>
        <v/>
      </c>
      <c r="AC2">
        <f>MID($F2,4,1)</f>
        <v/>
      </c>
      <c r="AD2">
        <f>MID($F2,5,1)</f>
        <v/>
      </c>
      <c r="AE2">
        <f>MID($F2,6,1)</f>
        <v/>
      </c>
      <c r="AF2">
        <f>MID($F2,7,1)</f>
        <v/>
      </c>
      <c r="AG2">
        <f>MID($F2,8,1)</f>
        <v/>
      </c>
      <c r="AH2">
        <f>MID($F2,9,1)</f>
        <v/>
      </c>
      <c r="AI2">
        <f>MID($F2,10,1)</f>
        <v/>
      </c>
    </row>
    <row r="3">
      <c r="A3" s="4" t="n">
        <v>2</v>
      </c>
      <c r="B3" s="4" t="inlineStr">
        <is>
          <t>DN023</t>
        </is>
      </c>
      <c r="C3" s="4" t="inlineStr">
        <is>
          <t>DN5023</t>
        </is>
      </c>
      <c r="D3" s="4" t="inlineStr">
        <is>
          <t>DN7023</t>
        </is>
      </c>
      <c r="E3" s="5" t="inlineStr">
        <is>
          <t>AGTTCAGTGA</t>
        </is>
      </c>
      <c r="F3" s="5" t="inlineStr">
        <is>
          <t>TGTGTCCAAT</t>
        </is>
      </c>
      <c r="G3" s="4">
        <f>LEN(SUBSTITUTE(SUBSTITUTE(E3,"A",""),"T",""))</f>
        <v/>
      </c>
      <c r="H3" s="4">
        <f>LEN(SUBSTITUTE(SUBSTITUTE(F3,"A",""),"T",""))</f>
        <v/>
      </c>
      <c r="I3" s="6" t="inlineStr">
        <is>
          <t>A</t>
        </is>
      </c>
      <c r="J3" s="4" t="n">
        <v>-6.26</v>
      </c>
      <c r="K3" s="4" t="n">
        <v>-3.83</v>
      </c>
      <c r="L3" s="4" t="n">
        <v>-1.59</v>
      </c>
      <c r="M3" s="4" t="n">
        <v>52064</v>
      </c>
      <c r="N3" s="4" t="inlineStr"/>
      <c r="O3" s="4" t="inlineStr"/>
      <c r="P3">
        <f>MID($E3,1,1)</f>
        <v/>
      </c>
      <c r="Q3">
        <f>MID($E3,2,1)</f>
        <v/>
      </c>
      <c r="R3">
        <f>MID($E3,3,1)</f>
        <v/>
      </c>
      <c r="S3">
        <f>MID($E3,4,1)</f>
        <v/>
      </c>
      <c r="T3">
        <f>MID($E3,5,1)</f>
        <v/>
      </c>
      <c r="U3">
        <f>MID($E3,6,1)</f>
        <v/>
      </c>
      <c r="V3">
        <f>MID($E3,7,1)</f>
        <v/>
      </c>
      <c r="W3">
        <f>MID($E3,8,1)</f>
        <v/>
      </c>
      <c r="X3">
        <f>MID($E3,9,1)</f>
        <v/>
      </c>
      <c r="Y3">
        <f>MID($E3,10,1)</f>
        <v/>
      </c>
      <c r="Z3">
        <f>MID($F3,1,1)</f>
        <v/>
      </c>
      <c r="AA3">
        <f>MID($F3,2,1)</f>
        <v/>
      </c>
      <c r="AB3">
        <f>MID($F3,3,1)</f>
        <v/>
      </c>
      <c r="AC3">
        <f>MID($F3,4,1)</f>
        <v/>
      </c>
      <c r="AD3">
        <f>MID($F3,5,1)</f>
        <v/>
      </c>
      <c r="AE3">
        <f>MID($F3,6,1)</f>
        <v/>
      </c>
      <c r="AF3">
        <f>MID($F3,7,1)</f>
        <v/>
      </c>
      <c r="AG3">
        <f>MID($F3,8,1)</f>
        <v/>
      </c>
      <c r="AH3">
        <f>MID($F3,9,1)</f>
        <v/>
      </c>
      <c r="AI3">
        <f>MID($F3,10,1)</f>
        <v/>
      </c>
    </row>
    <row r="4">
      <c r="A4" s="4" t="n">
        <v>3</v>
      </c>
      <c r="B4" s="4" t="inlineStr">
        <is>
          <t>DN025</t>
        </is>
      </c>
      <c r="C4" s="4" t="inlineStr">
        <is>
          <t>DN5025</t>
        </is>
      </c>
      <c r="D4" s="4" t="inlineStr">
        <is>
          <t>DN7025</t>
        </is>
      </c>
      <c r="E4" s="5" t="inlineStr">
        <is>
          <t>CGTAGAGTCG</t>
        </is>
      </c>
      <c r="F4" s="5" t="inlineStr">
        <is>
          <t>GAAGGACGTC</t>
        </is>
      </c>
      <c r="G4" s="4">
        <f>LEN(SUBSTITUTE(SUBSTITUTE(E4,"A",""),"T",""))</f>
        <v/>
      </c>
      <c r="H4" s="4">
        <f>LEN(SUBSTITUTE(SUBSTITUTE(F4,"A",""),"T",""))</f>
        <v/>
      </c>
      <c r="I4" s="7" t="inlineStr">
        <is>
          <t>B</t>
        </is>
      </c>
      <c r="J4" s="4" t="n">
        <v>-8.460000000000001</v>
      </c>
      <c r="K4" s="4" t="n">
        <v>-5.37</v>
      </c>
      <c r="L4" s="4" t="n">
        <v>-1.65</v>
      </c>
      <c r="M4" s="4" t="n">
        <v>268819</v>
      </c>
      <c r="N4" s="4" t="inlineStr"/>
      <c r="O4" s="4" t="inlineStr"/>
      <c r="P4">
        <f>MID($E4,1,1)</f>
        <v/>
      </c>
      <c r="Q4">
        <f>MID($E4,2,1)</f>
        <v/>
      </c>
      <c r="R4">
        <f>MID($E4,3,1)</f>
        <v/>
      </c>
      <c r="S4">
        <f>MID($E4,4,1)</f>
        <v/>
      </c>
      <c r="T4">
        <f>MID($E4,5,1)</f>
        <v/>
      </c>
      <c r="U4">
        <f>MID($E4,6,1)</f>
        <v/>
      </c>
      <c r="V4">
        <f>MID($E4,7,1)</f>
        <v/>
      </c>
      <c r="W4">
        <f>MID($E4,8,1)</f>
        <v/>
      </c>
      <c r="X4">
        <f>MID($E4,9,1)</f>
        <v/>
      </c>
      <c r="Y4">
        <f>MID($E4,10,1)</f>
        <v/>
      </c>
      <c r="Z4">
        <f>MID($F4,1,1)</f>
        <v/>
      </c>
      <c r="AA4">
        <f>MID($F4,2,1)</f>
        <v/>
      </c>
      <c r="AB4">
        <f>MID($F4,3,1)</f>
        <v/>
      </c>
      <c r="AC4">
        <f>MID($F4,4,1)</f>
        <v/>
      </c>
      <c r="AD4">
        <f>MID($F4,5,1)</f>
        <v/>
      </c>
      <c r="AE4">
        <f>MID($F4,6,1)</f>
        <v/>
      </c>
      <c r="AF4">
        <f>MID($F4,7,1)</f>
        <v/>
      </c>
      <c r="AG4">
        <f>MID($F4,8,1)</f>
        <v/>
      </c>
      <c r="AH4">
        <f>MID($F4,9,1)</f>
        <v/>
      </c>
      <c r="AI4">
        <f>MID($F4,10,1)</f>
        <v/>
      </c>
    </row>
    <row r="5">
      <c r="A5" s="4" t="n">
        <v>4</v>
      </c>
      <c r="B5" s="4" t="inlineStr">
        <is>
          <t>DN044</t>
        </is>
      </c>
      <c r="C5" s="4" t="inlineStr">
        <is>
          <t>DN5044</t>
        </is>
      </c>
      <c r="D5" s="4" t="inlineStr">
        <is>
          <t>DN7044</t>
        </is>
      </c>
      <c r="E5" s="5" t="inlineStr">
        <is>
          <t>AACGGACCAG</t>
        </is>
      </c>
      <c r="F5" s="5" t="inlineStr">
        <is>
          <t>GAATGTCTAG</t>
        </is>
      </c>
      <c r="G5" s="4">
        <f>LEN(SUBSTITUTE(SUBSTITUTE(E5,"A",""),"T",""))</f>
        <v/>
      </c>
      <c r="H5" s="4">
        <f>LEN(SUBSTITUTE(SUBSTITUTE(F5,"A",""),"T",""))</f>
        <v/>
      </c>
      <c r="I5" s="7" t="inlineStr">
        <is>
          <t>B</t>
        </is>
      </c>
      <c r="J5" s="4" t="n">
        <v>-8.039999999999999</v>
      </c>
      <c r="K5" s="4" t="n">
        <v>-4.04</v>
      </c>
      <c r="L5" s="4" t="n">
        <v>-1.77</v>
      </c>
      <c r="M5" s="4" t="n">
        <v>231007</v>
      </c>
      <c r="N5" s="4" t="inlineStr"/>
      <c r="O5" s="4" t="inlineStr"/>
      <c r="P5">
        <f>MID($E5,1,1)</f>
        <v/>
      </c>
      <c r="Q5">
        <f>MID($E5,2,1)</f>
        <v/>
      </c>
      <c r="R5">
        <f>MID($E5,3,1)</f>
        <v/>
      </c>
      <c r="S5">
        <f>MID($E5,4,1)</f>
        <v/>
      </c>
      <c r="T5">
        <f>MID($E5,5,1)</f>
        <v/>
      </c>
      <c r="U5">
        <f>MID($E5,6,1)</f>
        <v/>
      </c>
      <c r="V5">
        <f>MID($E5,7,1)</f>
        <v/>
      </c>
      <c r="W5">
        <f>MID($E5,8,1)</f>
        <v/>
      </c>
      <c r="X5">
        <f>MID($E5,9,1)</f>
        <v/>
      </c>
      <c r="Y5">
        <f>MID($E5,10,1)</f>
        <v/>
      </c>
      <c r="Z5">
        <f>MID($F5,1,1)</f>
        <v/>
      </c>
      <c r="AA5">
        <f>MID($F5,2,1)</f>
        <v/>
      </c>
      <c r="AB5">
        <f>MID($F5,3,1)</f>
        <v/>
      </c>
      <c r="AC5">
        <f>MID($F5,4,1)</f>
        <v/>
      </c>
      <c r="AD5">
        <f>MID($F5,5,1)</f>
        <v/>
      </c>
      <c r="AE5">
        <f>MID($F5,6,1)</f>
        <v/>
      </c>
      <c r="AF5">
        <f>MID($F5,7,1)</f>
        <v/>
      </c>
      <c r="AG5">
        <f>MID($F5,8,1)</f>
        <v/>
      </c>
      <c r="AH5">
        <f>MID($F5,9,1)</f>
        <v/>
      </c>
      <c r="AI5">
        <f>MID($F5,10,1)</f>
        <v/>
      </c>
    </row>
    <row r="6">
      <c r="A6" s="4" t="n">
        <v>5</v>
      </c>
      <c r="B6" s="4" t="inlineStr">
        <is>
          <t>DN047</t>
        </is>
      </c>
      <c r="C6" s="4" t="inlineStr">
        <is>
          <t>DN5047</t>
        </is>
      </c>
      <c r="D6" s="4" t="inlineStr">
        <is>
          <t>DN7047</t>
        </is>
      </c>
      <c r="E6" s="5" t="inlineStr">
        <is>
          <t>TGGCGGACAT</t>
        </is>
      </c>
      <c r="F6" s="5" t="inlineStr">
        <is>
          <t>AGGAAGGTCC</t>
        </is>
      </c>
      <c r="G6" s="4">
        <f>LEN(SUBSTITUTE(SUBSTITUTE(E6,"A",""),"T",""))</f>
        <v/>
      </c>
      <c r="H6" s="4">
        <f>LEN(SUBSTITUTE(SUBSTITUTE(F6,"A",""),"T",""))</f>
        <v/>
      </c>
      <c r="I6" s="6" t="inlineStr">
        <is>
          <t>A</t>
        </is>
      </c>
      <c r="J6" s="4" t="n">
        <v>-5.74</v>
      </c>
      <c r="K6" s="4" t="n">
        <v>-4.17</v>
      </c>
      <c r="L6" s="4" t="n">
        <v>-1.62</v>
      </c>
      <c r="M6" s="4" t="n">
        <v>45922</v>
      </c>
      <c r="N6" s="4" t="inlineStr"/>
      <c r="O6" s="4" t="inlineStr"/>
      <c r="P6">
        <f>MID($E6,1,1)</f>
        <v/>
      </c>
      <c r="Q6">
        <f>MID($E6,2,1)</f>
        <v/>
      </c>
      <c r="R6">
        <f>MID($E6,3,1)</f>
        <v/>
      </c>
      <c r="S6">
        <f>MID($E6,4,1)</f>
        <v/>
      </c>
      <c r="T6">
        <f>MID($E6,5,1)</f>
        <v/>
      </c>
      <c r="U6">
        <f>MID($E6,6,1)</f>
        <v/>
      </c>
      <c r="V6">
        <f>MID($E6,7,1)</f>
        <v/>
      </c>
      <c r="W6">
        <f>MID($E6,8,1)</f>
        <v/>
      </c>
      <c r="X6">
        <f>MID($E6,9,1)</f>
        <v/>
      </c>
      <c r="Y6">
        <f>MID($E6,10,1)</f>
        <v/>
      </c>
      <c r="Z6">
        <f>MID($F6,1,1)</f>
        <v/>
      </c>
      <c r="AA6">
        <f>MID($F6,2,1)</f>
        <v/>
      </c>
      <c r="AB6">
        <f>MID($F6,3,1)</f>
        <v/>
      </c>
      <c r="AC6">
        <f>MID($F6,4,1)</f>
        <v/>
      </c>
      <c r="AD6">
        <f>MID($F6,5,1)</f>
        <v/>
      </c>
      <c r="AE6">
        <f>MID($F6,6,1)</f>
        <v/>
      </c>
      <c r="AF6">
        <f>MID($F6,7,1)</f>
        <v/>
      </c>
      <c r="AG6">
        <f>MID($F6,8,1)</f>
        <v/>
      </c>
      <c r="AH6">
        <f>MID($F6,9,1)</f>
        <v/>
      </c>
      <c r="AI6">
        <f>MID($F6,10,1)</f>
        <v/>
      </c>
    </row>
    <row r="7">
      <c r="A7" s="4" t="n">
        <v>6</v>
      </c>
      <c r="B7" s="4" t="inlineStr">
        <is>
          <t>DN060</t>
        </is>
      </c>
      <c r="C7" s="4" t="inlineStr">
        <is>
          <t>DN5060</t>
        </is>
      </c>
      <c r="D7" s="4" t="inlineStr">
        <is>
          <t>DN7060</t>
        </is>
      </c>
      <c r="E7" s="5" t="inlineStr">
        <is>
          <t>CCAACGTACT</t>
        </is>
      </c>
      <c r="F7" s="5" t="inlineStr">
        <is>
          <t>ATCATCGACT</t>
        </is>
      </c>
      <c r="G7" s="4">
        <f>LEN(SUBSTITUTE(SUBSTITUTE(E7,"A",""),"T",""))</f>
        <v/>
      </c>
      <c r="H7" s="4">
        <f>LEN(SUBSTITUTE(SUBSTITUTE(F7,"A",""),"T",""))</f>
        <v/>
      </c>
      <c r="I7" s="6" t="inlineStr">
        <is>
          <t>A</t>
        </is>
      </c>
      <c r="J7" s="4" t="n">
        <v>-6.8</v>
      </c>
      <c r="K7" s="4" t="n">
        <v>-3.89</v>
      </c>
      <c r="L7" s="4" t="n">
        <v>-2.05</v>
      </c>
      <c r="M7" s="4" t="n">
        <v>82535</v>
      </c>
      <c r="N7" s="4" t="inlineStr"/>
      <c r="O7" s="4" t="inlineStr"/>
      <c r="P7">
        <f>MID($E7,1,1)</f>
        <v/>
      </c>
      <c r="Q7">
        <f>MID($E7,2,1)</f>
        <v/>
      </c>
      <c r="R7">
        <f>MID($E7,3,1)</f>
        <v/>
      </c>
      <c r="S7">
        <f>MID($E7,4,1)</f>
        <v/>
      </c>
      <c r="T7">
        <f>MID($E7,5,1)</f>
        <v/>
      </c>
      <c r="U7">
        <f>MID($E7,6,1)</f>
        <v/>
      </c>
      <c r="V7">
        <f>MID($E7,7,1)</f>
        <v/>
      </c>
      <c r="W7">
        <f>MID($E7,8,1)</f>
        <v/>
      </c>
      <c r="X7">
        <f>MID($E7,9,1)</f>
        <v/>
      </c>
      <c r="Y7">
        <f>MID($E7,10,1)</f>
        <v/>
      </c>
      <c r="Z7">
        <f>MID($F7,1,1)</f>
        <v/>
      </c>
      <c r="AA7">
        <f>MID($F7,2,1)</f>
        <v/>
      </c>
      <c r="AB7">
        <f>MID($F7,3,1)</f>
        <v/>
      </c>
      <c r="AC7">
        <f>MID($F7,4,1)</f>
        <v/>
      </c>
      <c r="AD7">
        <f>MID($F7,5,1)</f>
        <v/>
      </c>
      <c r="AE7">
        <f>MID($F7,6,1)</f>
        <v/>
      </c>
      <c r="AF7">
        <f>MID($F7,7,1)</f>
        <v/>
      </c>
      <c r="AG7">
        <f>MID($F7,8,1)</f>
        <v/>
      </c>
      <c r="AH7">
        <f>MID($F7,9,1)</f>
        <v/>
      </c>
      <c r="AI7">
        <f>MID($F7,10,1)</f>
        <v/>
      </c>
    </row>
    <row r="8">
      <c r="A8" s="4" t="n">
        <v>7</v>
      </c>
      <c r="B8" s="4" t="inlineStr">
        <is>
          <t>DN063</t>
        </is>
      </c>
      <c r="C8" s="4" t="inlineStr">
        <is>
          <t>DN5063</t>
        </is>
      </c>
      <c r="D8" s="4" t="inlineStr">
        <is>
          <t>DN7063</t>
        </is>
      </c>
      <c r="E8" s="5" t="inlineStr">
        <is>
          <t>TTGGTCAGGA</t>
        </is>
      </c>
      <c r="F8" s="5" t="inlineStr">
        <is>
          <t>ACGTTAGACA</t>
        </is>
      </c>
      <c r="G8" s="4">
        <f>LEN(SUBSTITUTE(SUBSTITUTE(E8,"A",""),"T",""))</f>
        <v/>
      </c>
      <c r="H8" s="4">
        <f>LEN(SUBSTITUTE(SUBSTITUTE(F8,"A",""),"T",""))</f>
        <v/>
      </c>
      <c r="I8" s="7" t="inlineStr">
        <is>
          <t>B</t>
        </is>
      </c>
      <c r="J8" s="4" t="n">
        <v>-6.44</v>
      </c>
      <c r="K8" s="4" t="n">
        <v>-5.36</v>
      </c>
      <c r="L8" s="4" t="n">
        <v>-2.61</v>
      </c>
      <c r="M8" s="4" t="n">
        <v>46291</v>
      </c>
      <c r="N8" s="4" t="inlineStr"/>
      <c r="O8" s="4" t="inlineStr"/>
      <c r="P8">
        <f>MID($E8,1,1)</f>
        <v/>
      </c>
      <c r="Q8">
        <f>MID($E8,2,1)</f>
        <v/>
      </c>
      <c r="R8">
        <f>MID($E8,3,1)</f>
        <v/>
      </c>
      <c r="S8">
        <f>MID($E8,4,1)</f>
        <v/>
      </c>
      <c r="T8">
        <f>MID($E8,5,1)</f>
        <v/>
      </c>
      <c r="U8">
        <f>MID($E8,6,1)</f>
        <v/>
      </c>
      <c r="V8">
        <f>MID($E8,7,1)</f>
        <v/>
      </c>
      <c r="W8">
        <f>MID($E8,8,1)</f>
        <v/>
      </c>
      <c r="X8">
        <f>MID($E8,9,1)</f>
        <v/>
      </c>
      <c r="Y8">
        <f>MID($E8,10,1)</f>
        <v/>
      </c>
      <c r="Z8">
        <f>MID($F8,1,1)</f>
        <v/>
      </c>
      <c r="AA8">
        <f>MID($F8,2,1)</f>
        <v/>
      </c>
      <c r="AB8">
        <f>MID($F8,3,1)</f>
        <v/>
      </c>
      <c r="AC8">
        <f>MID($F8,4,1)</f>
        <v/>
      </c>
      <c r="AD8">
        <f>MID($F8,5,1)</f>
        <v/>
      </c>
      <c r="AE8">
        <f>MID($F8,6,1)</f>
        <v/>
      </c>
      <c r="AF8">
        <f>MID($F8,7,1)</f>
        <v/>
      </c>
      <c r="AG8">
        <f>MID($F8,8,1)</f>
        <v/>
      </c>
      <c r="AH8">
        <f>MID($F8,9,1)</f>
        <v/>
      </c>
      <c r="AI8">
        <f>MID($F8,10,1)</f>
        <v/>
      </c>
    </row>
    <row r="9">
      <c r="A9" s="4" t="n">
        <v>8</v>
      </c>
      <c r="B9" s="4" t="inlineStr">
        <is>
          <t>DN066</t>
        </is>
      </c>
      <c r="C9" s="4" t="inlineStr">
        <is>
          <t>DN5066</t>
        </is>
      </c>
      <c r="D9" s="4" t="inlineStr">
        <is>
          <t>DN7066</t>
        </is>
      </c>
      <c r="E9" s="5" t="inlineStr">
        <is>
          <t>TAGTAGGAAC</t>
        </is>
      </c>
      <c r="F9" s="5" t="inlineStr">
        <is>
          <t>GCGGTGAGTT</t>
        </is>
      </c>
      <c r="G9" s="4">
        <f>LEN(SUBSTITUTE(SUBSTITUTE(E9,"A",""),"T",""))</f>
        <v/>
      </c>
      <c r="H9" s="4">
        <f>LEN(SUBSTITUTE(SUBSTITUTE(F9,"A",""),"T",""))</f>
        <v/>
      </c>
      <c r="I9" s="7" t="inlineStr">
        <is>
          <t>B</t>
        </is>
      </c>
      <c r="J9" s="4" t="n">
        <v>-5.95</v>
      </c>
      <c r="K9" s="4" t="n">
        <v>-4.95</v>
      </c>
      <c r="L9" s="4" t="n">
        <v>-1.59</v>
      </c>
      <c r="M9" s="4" t="n">
        <v>89516</v>
      </c>
      <c r="N9" s="4" t="inlineStr"/>
      <c r="O9" s="4" t="inlineStr"/>
      <c r="P9">
        <f>MID($E9,1,1)</f>
        <v/>
      </c>
      <c r="Q9">
        <f>MID($E9,2,1)</f>
        <v/>
      </c>
      <c r="R9">
        <f>MID($E9,3,1)</f>
        <v/>
      </c>
      <c r="S9">
        <f>MID($E9,4,1)</f>
        <v/>
      </c>
      <c r="T9">
        <f>MID($E9,5,1)</f>
        <v/>
      </c>
      <c r="U9">
        <f>MID($E9,6,1)</f>
        <v/>
      </c>
      <c r="V9">
        <f>MID($E9,7,1)</f>
        <v/>
      </c>
      <c r="W9">
        <f>MID($E9,8,1)</f>
        <v/>
      </c>
      <c r="X9">
        <f>MID($E9,9,1)</f>
        <v/>
      </c>
      <c r="Y9">
        <f>MID($E9,10,1)</f>
        <v/>
      </c>
      <c r="Z9">
        <f>MID($F9,1,1)</f>
        <v/>
      </c>
      <c r="AA9">
        <f>MID($F9,2,1)</f>
        <v/>
      </c>
      <c r="AB9">
        <f>MID($F9,3,1)</f>
        <v/>
      </c>
      <c r="AC9">
        <f>MID($F9,4,1)</f>
        <v/>
      </c>
      <c r="AD9">
        <f>MID($F9,5,1)</f>
        <v/>
      </c>
      <c r="AE9">
        <f>MID($F9,6,1)</f>
        <v/>
      </c>
      <c r="AF9">
        <f>MID($F9,7,1)</f>
        <v/>
      </c>
      <c r="AG9">
        <f>MID($F9,8,1)</f>
        <v/>
      </c>
      <c r="AH9">
        <f>MID($F9,9,1)</f>
        <v/>
      </c>
      <c r="AI9">
        <f>MID($F9,10,1)</f>
        <v/>
      </c>
    </row>
    <row r="10">
      <c r="A10" s="4" t="n">
        <v>9</v>
      </c>
      <c r="B10" s="4" t="inlineStr">
        <is>
          <t>DN072</t>
        </is>
      </c>
      <c r="C10" s="4" t="inlineStr">
        <is>
          <t>DN5072</t>
        </is>
      </c>
      <c r="D10" s="4" t="inlineStr">
        <is>
          <t>DN7072</t>
        </is>
      </c>
      <c r="E10" s="5" t="inlineStr">
        <is>
          <t>TACACTATCC</t>
        </is>
      </c>
      <c r="F10" s="5" t="inlineStr">
        <is>
          <t>ATATACGTGC</t>
        </is>
      </c>
      <c r="G10" s="4">
        <f>LEN(SUBSTITUTE(SUBSTITUTE(E10,"A",""),"T",""))</f>
        <v/>
      </c>
      <c r="H10" s="4">
        <f>LEN(SUBSTITUTE(SUBSTITUTE(F10,"A",""),"T",""))</f>
        <v/>
      </c>
      <c r="I10" s="7" t="inlineStr">
        <is>
          <t>B</t>
        </is>
      </c>
      <c r="J10" s="4" t="n">
        <v>-5.84</v>
      </c>
      <c r="K10" s="4" t="n">
        <v>-4.54</v>
      </c>
      <c r="L10" s="4" t="n">
        <v>-2.75</v>
      </c>
      <c r="M10" s="4" t="n">
        <v>100074</v>
      </c>
      <c r="N10" s="4" t="inlineStr"/>
      <c r="O10" s="4" t="inlineStr"/>
      <c r="P10">
        <f>MID($E10,1,1)</f>
        <v/>
      </c>
      <c r="Q10">
        <f>MID($E10,2,1)</f>
        <v/>
      </c>
      <c r="R10">
        <f>MID($E10,3,1)</f>
        <v/>
      </c>
      <c r="S10">
        <f>MID($E10,4,1)</f>
        <v/>
      </c>
      <c r="T10">
        <f>MID($E10,5,1)</f>
        <v/>
      </c>
      <c r="U10">
        <f>MID($E10,6,1)</f>
        <v/>
      </c>
      <c r="V10">
        <f>MID($E10,7,1)</f>
        <v/>
      </c>
      <c r="W10">
        <f>MID($E10,8,1)</f>
        <v/>
      </c>
      <c r="X10">
        <f>MID($E10,9,1)</f>
        <v/>
      </c>
      <c r="Y10">
        <f>MID($E10,10,1)</f>
        <v/>
      </c>
      <c r="Z10">
        <f>MID($F10,1,1)</f>
        <v/>
      </c>
      <c r="AA10">
        <f>MID($F10,2,1)</f>
        <v/>
      </c>
      <c r="AB10">
        <f>MID($F10,3,1)</f>
        <v/>
      </c>
      <c r="AC10">
        <f>MID($F10,4,1)</f>
        <v/>
      </c>
      <c r="AD10">
        <f>MID($F10,5,1)</f>
        <v/>
      </c>
      <c r="AE10">
        <f>MID($F10,6,1)</f>
        <v/>
      </c>
      <c r="AF10">
        <f>MID($F10,7,1)</f>
        <v/>
      </c>
      <c r="AG10">
        <f>MID($F10,8,1)</f>
        <v/>
      </c>
      <c r="AH10">
        <f>MID($F10,9,1)</f>
        <v/>
      </c>
      <c r="AI10">
        <f>MID($F10,10,1)</f>
        <v/>
      </c>
    </row>
    <row r="11">
      <c r="A11" s="4" t="n">
        <v>10</v>
      </c>
      <c r="B11" s="4" t="inlineStr">
        <is>
          <t>DN077</t>
        </is>
      </c>
      <c r="C11" s="4" t="inlineStr">
        <is>
          <t>DN5077</t>
        </is>
      </c>
      <c r="D11" s="4" t="inlineStr">
        <is>
          <t>DN7077</t>
        </is>
      </c>
      <c r="E11" s="5" t="inlineStr">
        <is>
          <t>AGGTCACATA</t>
        </is>
      </c>
      <c r="F11" s="5" t="inlineStr">
        <is>
          <t>CGCTGACGAT</t>
        </is>
      </c>
      <c r="G11" s="4">
        <f>LEN(SUBSTITUTE(SUBSTITUTE(E11,"A",""),"T",""))</f>
        <v/>
      </c>
      <c r="H11" s="4">
        <f>LEN(SUBSTITUTE(SUBSTITUTE(F11,"A",""),"T",""))</f>
        <v/>
      </c>
      <c r="I11" s="6" t="inlineStr">
        <is>
          <t>A</t>
        </is>
      </c>
      <c r="J11" s="4" t="n">
        <v>-6.26</v>
      </c>
      <c r="K11" s="4" t="n">
        <v>-3.83</v>
      </c>
      <c r="L11" s="4" t="n">
        <v>-1.59</v>
      </c>
      <c r="M11" s="4" t="n">
        <v>55129</v>
      </c>
      <c r="N11" s="4" t="inlineStr"/>
      <c r="O11" s="4" t="inlineStr"/>
      <c r="P11">
        <f>MID($E11,1,1)</f>
        <v/>
      </c>
      <c r="Q11">
        <f>MID($E11,2,1)</f>
        <v/>
      </c>
      <c r="R11">
        <f>MID($E11,3,1)</f>
        <v/>
      </c>
      <c r="S11">
        <f>MID($E11,4,1)</f>
        <v/>
      </c>
      <c r="T11">
        <f>MID($E11,5,1)</f>
        <v/>
      </c>
      <c r="U11">
        <f>MID($E11,6,1)</f>
        <v/>
      </c>
      <c r="V11">
        <f>MID($E11,7,1)</f>
        <v/>
      </c>
      <c r="W11">
        <f>MID($E11,8,1)</f>
        <v/>
      </c>
      <c r="X11">
        <f>MID($E11,9,1)</f>
        <v/>
      </c>
      <c r="Y11">
        <f>MID($E11,10,1)</f>
        <v/>
      </c>
      <c r="Z11">
        <f>MID($F11,1,1)</f>
        <v/>
      </c>
      <c r="AA11">
        <f>MID($F11,2,1)</f>
        <v/>
      </c>
      <c r="AB11">
        <f>MID($F11,3,1)</f>
        <v/>
      </c>
      <c r="AC11">
        <f>MID($F11,4,1)</f>
        <v/>
      </c>
      <c r="AD11">
        <f>MID($F11,5,1)</f>
        <v/>
      </c>
      <c r="AE11">
        <f>MID($F11,6,1)</f>
        <v/>
      </c>
      <c r="AF11">
        <f>MID($F11,7,1)</f>
        <v/>
      </c>
      <c r="AG11">
        <f>MID($F11,8,1)</f>
        <v/>
      </c>
      <c r="AH11">
        <f>MID($F11,9,1)</f>
        <v/>
      </c>
      <c r="AI11">
        <f>MID($F11,10,1)</f>
        <v/>
      </c>
    </row>
    <row r="12">
      <c r="A12" s="4" t="n">
        <v>11</v>
      </c>
      <c r="B12" s="4" t="inlineStr">
        <is>
          <t>DN081</t>
        </is>
      </c>
      <c r="C12" s="4" t="inlineStr">
        <is>
          <t>DN5081</t>
        </is>
      </c>
      <c r="D12" s="4" t="inlineStr">
        <is>
          <t>DN7081</t>
        </is>
      </c>
      <c r="E12" s="5" t="inlineStr">
        <is>
          <t>CGGAGACGTA</t>
        </is>
      </c>
      <c r="F12" s="5" t="inlineStr">
        <is>
          <t>GCGGTCTATC</t>
        </is>
      </c>
      <c r="G12" s="4">
        <f>LEN(SUBSTITUTE(SUBSTITUTE(E12,"A",""),"T",""))</f>
        <v/>
      </c>
      <c r="H12" s="4">
        <f>LEN(SUBSTITUTE(SUBSTITUTE(F12,"A",""),"T",""))</f>
        <v/>
      </c>
      <c r="I12" s="6" t="inlineStr">
        <is>
          <t>A</t>
        </is>
      </c>
      <c r="J12" s="4" t="n">
        <v>-5.74</v>
      </c>
      <c r="K12" s="4" t="n">
        <v>-3.83</v>
      </c>
      <c r="L12" s="4" t="n">
        <v>-1.62</v>
      </c>
      <c r="M12" s="4" t="n">
        <v>50452</v>
      </c>
      <c r="N12" s="4" t="inlineStr"/>
      <c r="O12" s="4" t="inlineStr"/>
      <c r="P12">
        <f>MID($E12,1,1)</f>
        <v/>
      </c>
      <c r="Q12">
        <f>MID($E12,2,1)</f>
        <v/>
      </c>
      <c r="R12">
        <f>MID($E12,3,1)</f>
        <v/>
      </c>
      <c r="S12">
        <f>MID($E12,4,1)</f>
        <v/>
      </c>
      <c r="T12">
        <f>MID($E12,5,1)</f>
        <v/>
      </c>
      <c r="U12">
        <f>MID($E12,6,1)</f>
        <v/>
      </c>
      <c r="V12">
        <f>MID($E12,7,1)</f>
        <v/>
      </c>
      <c r="W12">
        <f>MID($E12,8,1)</f>
        <v/>
      </c>
      <c r="X12">
        <f>MID($E12,9,1)</f>
        <v/>
      </c>
      <c r="Y12">
        <f>MID($E12,10,1)</f>
        <v/>
      </c>
      <c r="Z12">
        <f>MID($F12,1,1)</f>
        <v/>
      </c>
      <c r="AA12">
        <f>MID($F12,2,1)</f>
        <v/>
      </c>
      <c r="AB12">
        <f>MID($F12,3,1)</f>
        <v/>
      </c>
      <c r="AC12">
        <f>MID($F12,4,1)</f>
        <v/>
      </c>
      <c r="AD12">
        <f>MID($F12,5,1)</f>
        <v/>
      </c>
      <c r="AE12">
        <f>MID($F12,6,1)</f>
        <v/>
      </c>
      <c r="AF12">
        <f>MID($F12,7,1)</f>
        <v/>
      </c>
      <c r="AG12">
        <f>MID($F12,8,1)</f>
        <v/>
      </c>
      <c r="AH12">
        <f>MID($F12,9,1)</f>
        <v/>
      </c>
      <c r="AI12">
        <f>MID($F12,10,1)</f>
        <v/>
      </c>
    </row>
    <row r="13">
      <c r="A13" s="4" t="n">
        <v>12</v>
      </c>
      <c r="B13" s="4" t="inlineStr">
        <is>
          <t>DN085</t>
        </is>
      </c>
      <c r="C13" s="4" t="inlineStr">
        <is>
          <t>DN5085</t>
        </is>
      </c>
      <c r="D13" s="4" t="inlineStr">
        <is>
          <t>DN7085</t>
        </is>
      </c>
      <c r="E13" s="5" t="inlineStr">
        <is>
          <t>GTGCTGAAGG</t>
        </is>
      </c>
      <c r="F13" s="5" t="inlineStr">
        <is>
          <t>TCGACGTAGG</t>
        </is>
      </c>
      <c r="G13" s="4">
        <f>LEN(SUBSTITUTE(SUBSTITUTE(E13,"A",""),"T",""))</f>
        <v/>
      </c>
      <c r="H13" s="4">
        <f>LEN(SUBSTITUTE(SUBSTITUTE(F13,"A",""),"T",""))</f>
        <v/>
      </c>
      <c r="I13" s="7" t="inlineStr">
        <is>
          <t>B</t>
        </is>
      </c>
      <c r="J13" s="4" t="n">
        <v>-7.72</v>
      </c>
      <c r="K13" s="4" t="n">
        <v>-3.99</v>
      </c>
      <c r="L13" s="4" t="n">
        <v>-2.35</v>
      </c>
      <c r="M13" s="4" t="n">
        <v>99155</v>
      </c>
      <c r="N13" s="4" t="inlineStr"/>
      <c r="O13" s="4" t="inlineStr"/>
      <c r="P13">
        <f>MID($E13,1,1)</f>
        <v/>
      </c>
      <c r="Q13">
        <f>MID($E13,2,1)</f>
        <v/>
      </c>
      <c r="R13">
        <f>MID($E13,3,1)</f>
        <v/>
      </c>
      <c r="S13">
        <f>MID($E13,4,1)</f>
        <v/>
      </c>
      <c r="T13">
        <f>MID($E13,5,1)</f>
        <v/>
      </c>
      <c r="U13">
        <f>MID($E13,6,1)</f>
        <v/>
      </c>
      <c r="V13">
        <f>MID($E13,7,1)</f>
        <v/>
      </c>
      <c r="W13">
        <f>MID($E13,8,1)</f>
        <v/>
      </c>
      <c r="X13">
        <f>MID($E13,9,1)</f>
        <v/>
      </c>
      <c r="Y13">
        <f>MID($E13,10,1)</f>
        <v/>
      </c>
      <c r="Z13">
        <f>MID($F13,1,1)</f>
        <v/>
      </c>
      <c r="AA13">
        <f>MID($F13,2,1)</f>
        <v/>
      </c>
      <c r="AB13">
        <f>MID($F13,3,1)</f>
        <v/>
      </c>
      <c r="AC13">
        <f>MID($F13,4,1)</f>
        <v/>
      </c>
      <c r="AD13">
        <f>MID($F13,5,1)</f>
        <v/>
      </c>
      <c r="AE13">
        <f>MID($F13,6,1)</f>
        <v/>
      </c>
      <c r="AF13">
        <f>MID($F13,7,1)</f>
        <v/>
      </c>
      <c r="AG13">
        <f>MID($F13,8,1)</f>
        <v/>
      </c>
      <c r="AH13">
        <f>MID($F13,9,1)</f>
        <v/>
      </c>
      <c r="AI13">
        <f>MID($F13,10,1)</f>
        <v/>
      </c>
    </row>
    <row r="14">
      <c r="A14" s="4" t="n">
        <v>13</v>
      </c>
      <c r="B14" s="4" t="inlineStr">
        <is>
          <t>DN088</t>
        </is>
      </c>
      <c r="C14" s="4" t="inlineStr">
        <is>
          <t>DN5088</t>
        </is>
      </c>
      <c r="D14" s="4" t="inlineStr">
        <is>
          <t>DN7088</t>
        </is>
      </c>
      <c r="E14" s="5" t="inlineStr">
        <is>
          <t>ACTGGAGCGA</t>
        </is>
      </c>
      <c r="F14" s="5" t="inlineStr">
        <is>
          <t>GTGAGAAGTT</t>
        </is>
      </c>
      <c r="G14" s="4">
        <f>LEN(SUBSTITUTE(SUBSTITUTE(E14,"A",""),"T",""))</f>
        <v/>
      </c>
      <c r="H14" s="4">
        <f>LEN(SUBSTITUTE(SUBSTITUTE(F14,"A",""),"T",""))</f>
        <v/>
      </c>
      <c r="I14" s="6" t="inlineStr">
        <is>
          <t>A</t>
        </is>
      </c>
      <c r="J14" s="4" t="n">
        <v>-5.97</v>
      </c>
      <c r="K14" s="4" t="n">
        <v>-3.83</v>
      </c>
      <c r="L14" s="4" t="n">
        <v>-1.59</v>
      </c>
      <c r="M14" s="4" t="n">
        <v>146493</v>
      </c>
      <c r="N14" s="4" t="inlineStr"/>
      <c r="O14" s="4" t="inlineStr"/>
      <c r="P14">
        <f>MID($E14,1,1)</f>
        <v/>
      </c>
      <c r="Q14">
        <f>MID($E14,2,1)</f>
        <v/>
      </c>
      <c r="R14">
        <f>MID($E14,3,1)</f>
        <v/>
      </c>
      <c r="S14">
        <f>MID($E14,4,1)</f>
        <v/>
      </c>
      <c r="T14">
        <f>MID($E14,5,1)</f>
        <v/>
      </c>
      <c r="U14">
        <f>MID($E14,6,1)</f>
        <v/>
      </c>
      <c r="V14">
        <f>MID($E14,7,1)</f>
        <v/>
      </c>
      <c r="W14">
        <f>MID($E14,8,1)</f>
        <v/>
      </c>
      <c r="X14">
        <f>MID($E14,9,1)</f>
        <v/>
      </c>
      <c r="Y14">
        <f>MID($E14,10,1)</f>
        <v/>
      </c>
      <c r="Z14">
        <f>MID($F14,1,1)</f>
        <v/>
      </c>
      <c r="AA14">
        <f>MID($F14,2,1)</f>
        <v/>
      </c>
      <c r="AB14">
        <f>MID($F14,3,1)</f>
        <v/>
      </c>
      <c r="AC14">
        <f>MID($F14,4,1)</f>
        <v/>
      </c>
      <c r="AD14">
        <f>MID($F14,5,1)</f>
        <v/>
      </c>
      <c r="AE14">
        <f>MID($F14,6,1)</f>
        <v/>
      </c>
      <c r="AF14">
        <f>MID($F14,7,1)</f>
        <v/>
      </c>
      <c r="AG14">
        <f>MID($F14,8,1)</f>
        <v/>
      </c>
      <c r="AH14">
        <f>MID($F14,9,1)</f>
        <v/>
      </c>
      <c r="AI14">
        <f>MID($F14,10,1)</f>
        <v/>
      </c>
    </row>
    <row r="15">
      <c r="A15" s="4" t="n">
        <v>14</v>
      </c>
      <c r="B15" s="4" t="inlineStr">
        <is>
          <t>DN109</t>
        </is>
      </c>
      <c r="C15" s="4" t="inlineStr">
        <is>
          <t>DN5109</t>
        </is>
      </c>
      <c r="D15" s="4" t="inlineStr">
        <is>
          <t>DN7109</t>
        </is>
      </c>
      <c r="E15" s="5" t="inlineStr">
        <is>
          <t>TTCCAGTGTT</t>
        </is>
      </c>
      <c r="F15" s="5" t="inlineStr">
        <is>
          <t>GCGCTACTCT</t>
        </is>
      </c>
      <c r="G15" s="4">
        <f>LEN(SUBSTITUTE(SUBSTITUTE(E15,"A",""),"T",""))</f>
        <v/>
      </c>
      <c r="H15" s="4">
        <f>LEN(SUBSTITUTE(SUBSTITUTE(F15,"A",""),"T",""))</f>
        <v/>
      </c>
      <c r="I15" s="6" t="inlineStr">
        <is>
          <t>A</t>
        </is>
      </c>
      <c r="J15" s="4" t="n">
        <v>-6.55</v>
      </c>
      <c r="K15" s="4" t="n">
        <v>-3.79</v>
      </c>
      <c r="L15" s="4" t="n">
        <v>-1.59</v>
      </c>
      <c r="M15" s="4" t="n">
        <v>59187</v>
      </c>
      <c r="N15" s="4" t="inlineStr"/>
      <c r="O15" s="4" t="inlineStr"/>
      <c r="P15">
        <f>MID($E15,1,1)</f>
        <v/>
      </c>
      <c r="Q15">
        <f>MID($E15,2,1)</f>
        <v/>
      </c>
      <c r="R15">
        <f>MID($E15,3,1)</f>
        <v/>
      </c>
      <c r="S15">
        <f>MID($E15,4,1)</f>
        <v/>
      </c>
      <c r="T15">
        <f>MID($E15,5,1)</f>
        <v/>
      </c>
      <c r="U15">
        <f>MID($E15,6,1)</f>
        <v/>
      </c>
      <c r="V15">
        <f>MID($E15,7,1)</f>
        <v/>
      </c>
      <c r="W15">
        <f>MID($E15,8,1)</f>
        <v/>
      </c>
      <c r="X15">
        <f>MID($E15,9,1)</f>
        <v/>
      </c>
      <c r="Y15">
        <f>MID($E15,10,1)</f>
        <v/>
      </c>
      <c r="Z15">
        <f>MID($F15,1,1)</f>
        <v/>
      </c>
      <c r="AA15">
        <f>MID($F15,2,1)</f>
        <v/>
      </c>
      <c r="AB15">
        <f>MID($F15,3,1)</f>
        <v/>
      </c>
      <c r="AC15">
        <f>MID($F15,4,1)</f>
        <v/>
      </c>
      <c r="AD15">
        <f>MID($F15,5,1)</f>
        <v/>
      </c>
      <c r="AE15">
        <f>MID($F15,6,1)</f>
        <v/>
      </c>
      <c r="AF15">
        <f>MID($F15,7,1)</f>
        <v/>
      </c>
      <c r="AG15">
        <f>MID($F15,8,1)</f>
        <v/>
      </c>
      <c r="AH15">
        <f>MID($F15,9,1)</f>
        <v/>
      </c>
      <c r="AI15">
        <f>MID($F15,10,1)</f>
        <v/>
      </c>
    </row>
    <row r="16">
      <c r="A16" s="4" t="n">
        <v>15</v>
      </c>
      <c r="B16" s="4" t="inlineStr">
        <is>
          <t>DN116</t>
        </is>
      </c>
      <c r="C16" s="4" t="inlineStr">
        <is>
          <t>DN5116</t>
        </is>
      </c>
      <c r="D16" s="4" t="inlineStr">
        <is>
          <t>DN7116</t>
        </is>
      </c>
      <c r="E16" s="5" t="inlineStr">
        <is>
          <t>AGTAGCCACC</t>
        </is>
      </c>
      <c r="F16" s="5" t="inlineStr">
        <is>
          <t>TGCGAATCGG</t>
        </is>
      </c>
      <c r="G16" s="4">
        <f>LEN(SUBSTITUTE(SUBSTITUTE(E16,"A",""),"T",""))</f>
        <v/>
      </c>
      <c r="H16" s="4">
        <f>LEN(SUBSTITUTE(SUBSTITUTE(F16,"A",""),"T",""))</f>
        <v/>
      </c>
      <c r="I16" s="7" t="inlineStr">
        <is>
          <t>B</t>
        </is>
      </c>
      <c r="J16" s="4" t="n">
        <v>-6.52</v>
      </c>
      <c r="K16" s="4" t="n">
        <v>-4.54</v>
      </c>
      <c r="L16" s="4" t="n">
        <v>-3.69</v>
      </c>
      <c r="M16" s="4" t="n">
        <v>45417</v>
      </c>
      <c r="N16" s="4" t="inlineStr"/>
      <c r="O16" s="4" t="inlineStr"/>
      <c r="P16">
        <f>MID($E16,1,1)</f>
        <v/>
      </c>
      <c r="Q16">
        <f>MID($E16,2,1)</f>
        <v/>
      </c>
      <c r="R16">
        <f>MID($E16,3,1)</f>
        <v/>
      </c>
      <c r="S16">
        <f>MID($E16,4,1)</f>
        <v/>
      </c>
      <c r="T16">
        <f>MID($E16,5,1)</f>
        <v/>
      </c>
      <c r="U16">
        <f>MID($E16,6,1)</f>
        <v/>
      </c>
      <c r="V16">
        <f>MID($E16,7,1)</f>
        <v/>
      </c>
      <c r="W16">
        <f>MID($E16,8,1)</f>
        <v/>
      </c>
      <c r="X16">
        <f>MID($E16,9,1)</f>
        <v/>
      </c>
      <c r="Y16">
        <f>MID($E16,10,1)</f>
        <v/>
      </c>
      <c r="Z16">
        <f>MID($F16,1,1)</f>
        <v/>
      </c>
      <c r="AA16">
        <f>MID($F16,2,1)</f>
        <v/>
      </c>
      <c r="AB16">
        <f>MID($F16,3,1)</f>
        <v/>
      </c>
      <c r="AC16">
        <f>MID($F16,4,1)</f>
        <v/>
      </c>
      <c r="AD16">
        <f>MID($F16,5,1)</f>
        <v/>
      </c>
      <c r="AE16">
        <f>MID($F16,6,1)</f>
        <v/>
      </c>
      <c r="AF16">
        <f>MID($F16,7,1)</f>
        <v/>
      </c>
      <c r="AG16">
        <f>MID($F16,8,1)</f>
        <v/>
      </c>
      <c r="AH16">
        <f>MID($F16,9,1)</f>
        <v/>
      </c>
      <c r="AI16">
        <f>MID($F16,10,1)</f>
        <v/>
      </c>
    </row>
    <row r="17">
      <c r="A17" s="4" t="n">
        <v>16</v>
      </c>
      <c r="B17" s="4" t="inlineStr">
        <is>
          <t>DN129</t>
        </is>
      </c>
      <c r="C17" s="4" t="inlineStr">
        <is>
          <t>DN5129</t>
        </is>
      </c>
      <c r="D17" s="4" t="inlineStr">
        <is>
          <t>DN7129</t>
        </is>
      </c>
      <c r="E17" s="5" t="inlineStr">
        <is>
          <t>AGGTGAGGAG</t>
        </is>
      </c>
      <c r="F17" s="5" t="inlineStr">
        <is>
          <t>AGGACCAGAA</t>
        </is>
      </c>
      <c r="G17" s="4">
        <f>LEN(SUBSTITUTE(SUBSTITUTE(E17,"A",""),"T",""))</f>
        <v/>
      </c>
      <c r="H17" s="4">
        <f>LEN(SUBSTITUTE(SUBSTITUTE(F17,"A",""),"T",""))</f>
        <v/>
      </c>
      <c r="I17" s="7" t="inlineStr">
        <is>
          <t>B</t>
        </is>
      </c>
      <c r="J17" s="4" t="n">
        <v>-8.27</v>
      </c>
      <c r="K17" s="4" t="n">
        <v>-4.02</v>
      </c>
      <c r="L17" s="4" t="n">
        <v>-2.61</v>
      </c>
      <c r="M17" s="4" t="n">
        <v>130743</v>
      </c>
      <c r="N17" s="4" t="inlineStr"/>
      <c r="O17" s="4" t="inlineStr"/>
      <c r="P17">
        <f>MID($E17,1,1)</f>
        <v/>
      </c>
      <c r="Q17">
        <f>MID($E17,2,1)</f>
        <v/>
      </c>
      <c r="R17">
        <f>MID($E17,3,1)</f>
        <v/>
      </c>
      <c r="S17">
        <f>MID($E17,4,1)</f>
        <v/>
      </c>
      <c r="T17">
        <f>MID($E17,5,1)</f>
        <v/>
      </c>
      <c r="U17">
        <f>MID($E17,6,1)</f>
        <v/>
      </c>
      <c r="V17">
        <f>MID($E17,7,1)</f>
        <v/>
      </c>
      <c r="W17">
        <f>MID($E17,8,1)</f>
        <v/>
      </c>
      <c r="X17">
        <f>MID($E17,9,1)</f>
        <v/>
      </c>
      <c r="Y17">
        <f>MID($E17,10,1)</f>
        <v/>
      </c>
      <c r="Z17">
        <f>MID($F17,1,1)</f>
        <v/>
      </c>
      <c r="AA17">
        <f>MID($F17,2,1)</f>
        <v/>
      </c>
      <c r="AB17">
        <f>MID($F17,3,1)</f>
        <v/>
      </c>
      <c r="AC17">
        <f>MID($F17,4,1)</f>
        <v/>
      </c>
      <c r="AD17">
        <f>MID($F17,5,1)</f>
        <v/>
      </c>
      <c r="AE17">
        <f>MID($F17,6,1)</f>
        <v/>
      </c>
      <c r="AF17">
        <f>MID($F17,7,1)</f>
        <v/>
      </c>
      <c r="AG17">
        <f>MID($F17,8,1)</f>
        <v/>
      </c>
      <c r="AH17">
        <f>MID($F17,9,1)</f>
        <v/>
      </c>
      <c r="AI17">
        <f>MID($F17,10,1)</f>
        <v/>
      </c>
    </row>
    <row r="18">
      <c r="A18" s="4" t="n">
        <v>17</v>
      </c>
      <c r="B18" s="4" t="inlineStr">
        <is>
          <t>DN135</t>
        </is>
      </c>
      <c r="C18" s="4" t="inlineStr">
        <is>
          <t>DN5135</t>
        </is>
      </c>
      <c r="D18" s="4" t="inlineStr">
        <is>
          <t>DN7135</t>
        </is>
      </c>
      <c r="E18" s="5" t="inlineStr">
        <is>
          <t>AGGCCTCAAG</t>
        </is>
      </c>
      <c r="F18" s="5" t="inlineStr">
        <is>
          <t>AAGGTACAAC</t>
        </is>
      </c>
      <c r="G18" s="4">
        <f>LEN(SUBSTITUTE(SUBSTITUTE(E18,"A",""),"T",""))</f>
        <v/>
      </c>
      <c r="H18" s="4">
        <f>LEN(SUBSTITUTE(SUBSTITUTE(F18,"A",""),"T",""))</f>
        <v/>
      </c>
      <c r="I18" s="6" t="inlineStr">
        <is>
          <t>A</t>
        </is>
      </c>
      <c r="J18" s="4" t="n">
        <v>-6.72</v>
      </c>
      <c r="K18" s="4" t="n">
        <v>-4.02</v>
      </c>
      <c r="L18" s="4" t="n">
        <v>-1.62</v>
      </c>
      <c r="M18" s="4" t="n">
        <v>121927</v>
      </c>
      <c r="N18" s="4" t="inlineStr"/>
      <c r="O18" s="4" t="inlineStr"/>
      <c r="P18">
        <f>MID($E18,1,1)</f>
        <v/>
      </c>
      <c r="Q18">
        <f>MID($E18,2,1)</f>
        <v/>
      </c>
      <c r="R18">
        <f>MID($E18,3,1)</f>
        <v/>
      </c>
      <c r="S18">
        <f>MID($E18,4,1)</f>
        <v/>
      </c>
      <c r="T18">
        <f>MID($E18,5,1)</f>
        <v/>
      </c>
      <c r="U18">
        <f>MID($E18,6,1)</f>
        <v/>
      </c>
      <c r="V18">
        <f>MID($E18,7,1)</f>
        <v/>
      </c>
      <c r="W18">
        <f>MID($E18,8,1)</f>
        <v/>
      </c>
      <c r="X18">
        <f>MID($E18,9,1)</f>
        <v/>
      </c>
      <c r="Y18">
        <f>MID($E18,10,1)</f>
        <v/>
      </c>
      <c r="Z18">
        <f>MID($F18,1,1)</f>
        <v/>
      </c>
      <c r="AA18">
        <f>MID($F18,2,1)</f>
        <v/>
      </c>
      <c r="AB18">
        <f>MID($F18,3,1)</f>
        <v/>
      </c>
      <c r="AC18">
        <f>MID($F18,4,1)</f>
        <v/>
      </c>
      <c r="AD18">
        <f>MID($F18,5,1)</f>
        <v/>
      </c>
      <c r="AE18">
        <f>MID($F18,6,1)</f>
        <v/>
      </c>
      <c r="AF18">
        <f>MID($F18,7,1)</f>
        <v/>
      </c>
      <c r="AG18">
        <f>MID($F18,8,1)</f>
        <v/>
      </c>
      <c r="AH18">
        <f>MID($F18,9,1)</f>
        <v/>
      </c>
      <c r="AI18">
        <f>MID($F18,10,1)</f>
        <v/>
      </c>
    </row>
    <row r="19">
      <c r="A19" s="4" t="n">
        <v>18</v>
      </c>
      <c r="B19" s="4" t="inlineStr">
        <is>
          <t>DN140</t>
        </is>
      </c>
      <c r="C19" s="4" t="inlineStr">
        <is>
          <t>DN5140</t>
        </is>
      </c>
      <c r="D19" s="4" t="inlineStr">
        <is>
          <t>DN7140</t>
        </is>
      </c>
      <c r="E19" s="5" t="inlineStr">
        <is>
          <t>ATACCTCTGT</t>
        </is>
      </c>
      <c r="F19" s="5" t="inlineStr">
        <is>
          <t>TTATCTTGCG</t>
        </is>
      </c>
      <c r="G19" s="4">
        <f>LEN(SUBSTITUTE(SUBSTITUTE(E19,"A",""),"T",""))</f>
        <v/>
      </c>
      <c r="H19" s="4">
        <f>LEN(SUBSTITUTE(SUBSTITUTE(F19,"A",""),"T",""))</f>
        <v/>
      </c>
      <c r="I19" s="6" t="inlineStr">
        <is>
          <t>A</t>
        </is>
      </c>
      <c r="J19" s="4" t="n">
        <v>-6.34</v>
      </c>
      <c r="K19" s="4" t="n">
        <v>-3.96</v>
      </c>
      <c r="L19" s="4" t="n">
        <v>-1.77</v>
      </c>
      <c r="M19" s="4" t="n">
        <v>55590</v>
      </c>
      <c r="N19" s="4" t="inlineStr"/>
      <c r="O19" s="4" t="inlineStr"/>
      <c r="P19">
        <f>MID($E19,1,1)</f>
        <v/>
      </c>
      <c r="Q19">
        <f>MID($E19,2,1)</f>
        <v/>
      </c>
      <c r="R19">
        <f>MID($E19,3,1)</f>
        <v/>
      </c>
      <c r="S19">
        <f>MID($E19,4,1)</f>
        <v/>
      </c>
      <c r="T19">
        <f>MID($E19,5,1)</f>
        <v/>
      </c>
      <c r="U19">
        <f>MID($E19,6,1)</f>
        <v/>
      </c>
      <c r="V19">
        <f>MID($E19,7,1)</f>
        <v/>
      </c>
      <c r="W19">
        <f>MID($E19,8,1)</f>
        <v/>
      </c>
      <c r="X19">
        <f>MID($E19,9,1)</f>
        <v/>
      </c>
      <c r="Y19">
        <f>MID($E19,10,1)</f>
        <v/>
      </c>
      <c r="Z19">
        <f>MID($F19,1,1)</f>
        <v/>
      </c>
      <c r="AA19">
        <f>MID($F19,2,1)</f>
        <v/>
      </c>
      <c r="AB19">
        <f>MID($F19,3,1)</f>
        <v/>
      </c>
      <c r="AC19">
        <f>MID($F19,4,1)</f>
        <v/>
      </c>
      <c r="AD19">
        <f>MID($F19,5,1)</f>
        <v/>
      </c>
      <c r="AE19">
        <f>MID($F19,6,1)</f>
        <v/>
      </c>
      <c r="AF19">
        <f>MID($F19,7,1)</f>
        <v/>
      </c>
      <c r="AG19">
        <f>MID($F19,8,1)</f>
        <v/>
      </c>
      <c r="AH19">
        <f>MID($F19,9,1)</f>
        <v/>
      </c>
      <c r="AI19">
        <f>MID($F19,10,1)</f>
        <v/>
      </c>
    </row>
    <row r="20">
      <c r="A20" s="4" t="n">
        <v>19</v>
      </c>
      <c r="B20" s="4" t="inlineStr">
        <is>
          <t>DN165</t>
        </is>
      </c>
      <c r="C20" s="4" t="inlineStr">
        <is>
          <t>DN5165</t>
        </is>
      </c>
      <c r="D20" s="4" t="inlineStr">
        <is>
          <t>DN7165</t>
        </is>
      </c>
      <c r="E20" s="5" t="inlineStr">
        <is>
          <t>GCTTAGGTAA</t>
        </is>
      </c>
      <c r="F20" s="5" t="inlineStr">
        <is>
          <t>AGAGCAACTA</t>
        </is>
      </c>
      <c r="G20" s="4">
        <f>LEN(SUBSTITUTE(SUBSTITUTE(E20,"A",""),"T",""))</f>
        <v/>
      </c>
      <c r="H20" s="4">
        <f>LEN(SUBSTITUTE(SUBSTITUTE(F20,"A",""),"T",""))</f>
        <v/>
      </c>
      <c r="I20" s="6" t="inlineStr">
        <is>
          <t>A</t>
        </is>
      </c>
      <c r="J20" s="4" t="n">
        <v>-6.67</v>
      </c>
      <c r="K20" s="4" t="n">
        <v>-4</v>
      </c>
      <c r="L20" s="4" t="n">
        <v>-2.61</v>
      </c>
      <c r="M20" s="4" t="n">
        <v>132144</v>
      </c>
      <c r="N20" s="4" t="inlineStr"/>
      <c r="O20" s="4" t="inlineStr"/>
      <c r="P20">
        <f>MID($E20,1,1)</f>
        <v/>
      </c>
      <c r="Q20">
        <f>MID($E20,2,1)</f>
        <v/>
      </c>
      <c r="R20">
        <f>MID($E20,3,1)</f>
        <v/>
      </c>
      <c r="S20">
        <f>MID($E20,4,1)</f>
        <v/>
      </c>
      <c r="T20">
        <f>MID($E20,5,1)</f>
        <v/>
      </c>
      <c r="U20">
        <f>MID($E20,6,1)</f>
        <v/>
      </c>
      <c r="V20">
        <f>MID($E20,7,1)</f>
        <v/>
      </c>
      <c r="W20">
        <f>MID($E20,8,1)</f>
        <v/>
      </c>
      <c r="X20">
        <f>MID($E20,9,1)</f>
        <v/>
      </c>
      <c r="Y20">
        <f>MID($E20,10,1)</f>
        <v/>
      </c>
      <c r="Z20">
        <f>MID($F20,1,1)</f>
        <v/>
      </c>
      <c r="AA20">
        <f>MID($F20,2,1)</f>
        <v/>
      </c>
      <c r="AB20">
        <f>MID($F20,3,1)</f>
        <v/>
      </c>
      <c r="AC20">
        <f>MID($F20,4,1)</f>
        <v/>
      </c>
      <c r="AD20">
        <f>MID($F20,5,1)</f>
        <v/>
      </c>
      <c r="AE20">
        <f>MID($F20,6,1)</f>
        <v/>
      </c>
      <c r="AF20">
        <f>MID($F20,7,1)</f>
        <v/>
      </c>
      <c r="AG20">
        <f>MID($F20,8,1)</f>
        <v/>
      </c>
      <c r="AH20">
        <f>MID($F20,9,1)</f>
        <v/>
      </c>
      <c r="AI20">
        <f>MID($F20,10,1)</f>
        <v/>
      </c>
    </row>
    <row r="21">
      <c r="A21" s="4" t="n">
        <v>20</v>
      </c>
      <c r="B21" s="4" t="inlineStr">
        <is>
          <t>DN180</t>
        </is>
      </c>
      <c r="C21" s="4" t="inlineStr">
        <is>
          <t>DN5180</t>
        </is>
      </c>
      <c r="D21" s="4" t="inlineStr">
        <is>
          <t>DN7180</t>
        </is>
      </c>
      <c r="E21" s="5" t="inlineStr">
        <is>
          <t>CGCGAGTATG</t>
        </is>
      </c>
      <c r="F21" s="5" t="inlineStr">
        <is>
          <t>CACCTACTTA</t>
        </is>
      </c>
      <c r="G21" s="4">
        <f>LEN(SUBSTITUTE(SUBSTITUTE(E21,"A",""),"T",""))</f>
        <v/>
      </c>
      <c r="H21" s="4">
        <f>LEN(SUBSTITUTE(SUBSTITUTE(F21,"A",""),"T",""))</f>
        <v/>
      </c>
      <c r="I21" s="7" t="inlineStr">
        <is>
          <t>B</t>
        </is>
      </c>
      <c r="J21" s="4" t="n">
        <v>-7.97</v>
      </c>
      <c r="K21" s="4" t="n">
        <v>-5.22</v>
      </c>
      <c r="L21" s="4" t="n">
        <v>-2.61</v>
      </c>
      <c r="M21" s="4" t="n">
        <v>121767</v>
      </c>
      <c r="N21" s="4" t="inlineStr"/>
      <c r="O21" s="4" t="inlineStr"/>
      <c r="P21">
        <f>MID($E21,1,1)</f>
        <v/>
      </c>
      <c r="Q21">
        <f>MID($E21,2,1)</f>
        <v/>
      </c>
      <c r="R21">
        <f>MID($E21,3,1)</f>
        <v/>
      </c>
      <c r="S21">
        <f>MID($E21,4,1)</f>
        <v/>
      </c>
      <c r="T21">
        <f>MID($E21,5,1)</f>
        <v/>
      </c>
      <c r="U21">
        <f>MID($E21,6,1)</f>
        <v/>
      </c>
      <c r="V21">
        <f>MID($E21,7,1)</f>
        <v/>
      </c>
      <c r="W21">
        <f>MID($E21,8,1)</f>
        <v/>
      </c>
      <c r="X21">
        <f>MID($E21,9,1)</f>
        <v/>
      </c>
      <c r="Y21">
        <f>MID($E21,10,1)</f>
        <v/>
      </c>
      <c r="Z21">
        <f>MID($F21,1,1)</f>
        <v/>
      </c>
      <c r="AA21">
        <f>MID($F21,2,1)</f>
        <v/>
      </c>
      <c r="AB21">
        <f>MID($F21,3,1)</f>
        <v/>
      </c>
      <c r="AC21">
        <f>MID($F21,4,1)</f>
        <v/>
      </c>
      <c r="AD21">
        <f>MID($F21,5,1)</f>
        <v/>
      </c>
      <c r="AE21">
        <f>MID($F21,6,1)</f>
        <v/>
      </c>
      <c r="AF21">
        <f>MID($F21,7,1)</f>
        <v/>
      </c>
      <c r="AG21">
        <f>MID($F21,8,1)</f>
        <v/>
      </c>
      <c r="AH21">
        <f>MID($F21,9,1)</f>
        <v/>
      </c>
      <c r="AI21">
        <f>MID($F21,10,1)</f>
        <v/>
      </c>
    </row>
    <row r="22">
      <c r="A22" s="4" t="n">
        <v>21</v>
      </c>
      <c r="B22" s="4" t="inlineStr">
        <is>
          <t>DN184</t>
        </is>
      </c>
      <c r="C22" s="4" t="inlineStr">
        <is>
          <t>DN5184</t>
        </is>
      </c>
      <c r="D22" s="4" t="inlineStr">
        <is>
          <t>DN7184</t>
        </is>
      </c>
      <c r="E22" s="5" t="inlineStr">
        <is>
          <t>CAACGATTGA</t>
        </is>
      </c>
      <c r="F22" s="5" t="inlineStr">
        <is>
          <t>AATCTCCGAA</t>
        </is>
      </c>
      <c r="G22" s="4">
        <f>LEN(SUBSTITUTE(SUBSTITUTE(E22,"A",""),"T",""))</f>
        <v/>
      </c>
      <c r="H22" s="4">
        <f>LEN(SUBSTITUTE(SUBSTITUTE(F22,"A",""),"T",""))</f>
        <v/>
      </c>
      <c r="I22" s="6" t="inlineStr">
        <is>
          <t>A</t>
        </is>
      </c>
      <c r="J22" s="4" t="n">
        <v>-6.68</v>
      </c>
      <c r="K22" s="4" t="n">
        <v>-3.83</v>
      </c>
      <c r="L22" s="4" t="n">
        <v>-2.61</v>
      </c>
      <c r="M22" s="4" t="n">
        <v>45309</v>
      </c>
      <c r="N22" s="4" t="inlineStr"/>
      <c r="O22" s="4" t="inlineStr"/>
      <c r="P22">
        <f>MID($E22,1,1)</f>
        <v/>
      </c>
      <c r="Q22">
        <f>MID($E22,2,1)</f>
        <v/>
      </c>
      <c r="R22">
        <f>MID($E22,3,1)</f>
        <v/>
      </c>
      <c r="S22">
        <f>MID($E22,4,1)</f>
        <v/>
      </c>
      <c r="T22">
        <f>MID($E22,5,1)</f>
        <v/>
      </c>
      <c r="U22">
        <f>MID($E22,6,1)</f>
        <v/>
      </c>
      <c r="V22">
        <f>MID($E22,7,1)</f>
        <v/>
      </c>
      <c r="W22">
        <f>MID($E22,8,1)</f>
        <v/>
      </c>
      <c r="X22">
        <f>MID($E22,9,1)</f>
        <v/>
      </c>
      <c r="Y22">
        <f>MID($E22,10,1)</f>
        <v/>
      </c>
      <c r="Z22">
        <f>MID($F22,1,1)</f>
        <v/>
      </c>
      <c r="AA22">
        <f>MID($F22,2,1)</f>
        <v/>
      </c>
      <c r="AB22">
        <f>MID($F22,3,1)</f>
        <v/>
      </c>
      <c r="AC22">
        <f>MID($F22,4,1)</f>
        <v/>
      </c>
      <c r="AD22">
        <f>MID($F22,5,1)</f>
        <v/>
      </c>
      <c r="AE22">
        <f>MID($F22,6,1)</f>
        <v/>
      </c>
      <c r="AF22">
        <f>MID($F22,7,1)</f>
        <v/>
      </c>
      <c r="AG22">
        <f>MID($F22,8,1)</f>
        <v/>
      </c>
      <c r="AH22">
        <f>MID($F22,9,1)</f>
        <v/>
      </c>
      <c r="AI22">
        <f>MID($F22,10,1)</f>
        <v/>
      </c>
    </row>
    <row r="23">
      <c r="A23" s="4" t="n">
        <v>22</v>
      </c>
      <c r="B23" s="4" t="inlineStr">
        <is>
          <t>DN190</t>
        </is>
      </c>
      <c r="C23" s="4" t="inlineStr">
        <is>
          <t>DN5190</t>
        </is>
      </c>
      <c r="D23" s="4" t="inlineStr">
        <is>
          <t>DN7190</t>
        </is>
      </c>
      <c r="E23" s="5" t="inlineStr">
        <is>
          <t>GCAAGCCAAC</t>
        </is>
      </c>
      <c r="F23" s="5" t="inlineStr">
        <is>
          <t>TGCTAGCCAT</t>
        </is>
      </c>
      <c r="G23" s="4">
        <f>LEN(SUBSTITUTE(SUBSTITUTE(E23,"A",""),"T",""))</f>
        <v/>
      </c>
      <c r="H23" s="4">
        <f>LEN(SUBSTITUTE(SUBSTITUTE(F23,"A",""),"T",""))</f>
        <v/>
      </c>
      <c r="I23" s="7" t="inlineStr">
        <is>
          <t>B</t>
        </is>
      </c>
      <c r="J23" s="4" t="n">
        <v>-7.64</v>
      </c>
      <c r="K23" s="4" t="n">
        <v>-4.95</v>
      </c>
      <c r="L23" s="4" t="n">
        <v>-1.59</v>
      </c>
      <c r="M23" s="4" t="n">
        <v>105502</v>
      </c>
      <c r="N23" s="4" t="inlineStr"/>
      <c r="O23" s="4" t="inlineStr"/>
      <c r="P23">
        <f>MID($E23,1,1)</f>
        <v/>
      </c>
      <c r="Q23">
        <f>MID($E23,2,1)</f>
        <v/>
      </c>
      <c r="R23">
        <f>MID($E23,3,1)</f>
        <v/>
      </c>
      <c r="S23">
        <f>MID($E23,4,1)</f>
        <v/>
      </c>
      <c r="T23">
        <f>MID($E23,5,1)</f>
        <v/>
      </c>
      <c r="U23">
        <f>MID($E23,6,1)</f>
        <v/>
      </c>
      <c r="V23">
        <f>MID($E23,7,1)</f>
        <v/>
      </c>
      <c r="W23">
        <f>MID($E23,8,1)</f>
        <v/>
      </c>
      <c r="X23">
        <f>MID($E23,9,1)</f>
        <v/>
      </c>
      <c r="Y23">
        <f>MID($E23,10,1)</f>
        <v/>
      </c>
      <c r="Z23">
        <f>MID($F23,1,1)</f>
        <v/>
      </c>
      <c r="AA23">
        <f>MID($F23,2,1)</f>
        <v/>
      </c>
      <c r="AB23">
        <f>MID($F23,3,1)</f>
        <v/>
      </c>
      <c r="AC23">
        <f>MID($F23,4,1)</f>
        <v/>
      </c>
      <c r="AD23">
        <f>MID($F23,5,1)</f>
        <v/>
      </c>
      <c r="AE23">
        <f>MID($F23,6,1)</f>
        <v/>
      </c>
      <c r="AF23">
        <f>MID($F23,7,1)</f>
        <v/>
      </c>
      <c r="AG23">
        <f>MID($F23,8,1)</f>
        <v/>
      </c>
      <c r="AH23">
        <f>MID($F23,9,1)</f>
        <v/>
      </c>
      <c r="AI23">
        <f>MID($F23,10,1)</f>
        <v/>
      </c>
    </row>
    <row r="24">
      <c r="A24" s="4" t="n">
        <v>23</v>
      </c>
      <c r="B24" s="4" t="inlineStr">
        <is>
          <t>DN199</t>
        </is>
      </c>
      <c r="C24" s="4" t="inlineStr">
        <is>
          <t>DN5199</t>
        </is>
      </c>
      <c r="D24" s="4" t="inlineStr">
        <is>
          <t>DN7199</t>
        </is>
      </c>
      <c r="E24" s="5" t="inlineStr">
        <is>
          <t>GTAAGATGAG</t>
        </is>
      </c>
      <c r="F24" s="5" t="inlineStr">
        <is>
          <t>TCACTGCTAG</t>
        </is>
      </c>
      <c r="G24" s="4">
        <f>LEN(SUBSTITUTE(SUBSTITUTE(E24,"A",""),"T",""))</f>
        <v/>
      </c>
      <c r="H24" s="4">
        <f>LEN(SUBSTITUTE(SUBSTITUTE(F24,"A",""),"T",""))</f>
        <v/>
      </c>
      <c r="I24" s="7" t="inlineStr">
        <is>
          <t>B</t>
        </is>
      </c>
      <c r="J24" s="4" t="n">
        <v>-8.09</v>
      </c>
      <c r="K24" s="4" t="n">
        <v>-4.19</v>
      </c>
      <c r="L24" s="4" t="n">
        <v>-1.77</v>
      </c>
      <c r="M24" s="4" t="n">
        <v>348523</v>
      </c>
      <c r="N24" s="4" t="inlineStr"/>
      <c r="O24" s="4" t="inlineStr"/>
      <c r="P24">
        <f>MID($E24,1,1)</f>
        <v/>
      </c>
      <c r="Q24">
        <f>MID($E24,2,1)</f>
        <v/>
      </c>
      <c r="R24">
        <f>MID($E24,3,1)</f>
        <v/>
      </c>
      <c r="S24">
        <f>MID($E24,4,1)</f>
        <v/>
      </c>
      <c r="T24">
        <f>MID($E24,5,1)</f>
        <v/>
      </c>
      <c r="U24">
        <f>MID($E24,6,1)</f>
        <v/>
      </c>
      <c r="V24">
        <f>MID($E24,7,1)</f>
        <v/>
      </c>
      <c r="W24">
        <f>MID($E24,8,1)</f>
        <v/>
      </c>
      <c r="X24">
        <f>MID($E24,9,1)</f>
        <v/>
      </c>
      <c r="Y24">
        <f>MID($E24,10,1)</f>
        <v/>
      </c>
      <c r="Z24">
        <f>MID($F24,1,1)</f>
        <v/>
      </c>
      <c r="AA24">
        <f>MID($F24,2,1)</f>
        <v/>
      </c>
      <c r="AB24">
        <f>MID($F24,3,1)</f>
        <v/>
      </c>
      <c r="AC24">
        <f>MID($F24,4,1)</f>
        <v/>
      </c>
      <c r="AD24">
        <f>MID($F24,5,1)</f>
        <v/>
      </c>
      <c r="AE24">
        <f>MID($F24,6,1)</f>
        <v/>
      </c>
      <c r="AF24">
        <f>MID($F24,7,1)</f>
        <v/>
      </c>
      <c r="AG24">
        <f>MID($F24,8,1)</f>
        <v/>
      </c>
      <c r="AH24">
        <f>MID($F24,9,1)</f>
        <v/>
      </c>
      <c r="AI24">
        <f>MID($F24,10,1)</f>
        <v/>
      </c>
    </row>
    <row r="25">
      <c r="A25" s="4" t="n">
        <v>24</v>
      </c>
      <c r="B25" s="4" t="inlineStr">
        <is>
          <t>DN204</t>
        </is>
      </c>
      <c r="C25" s="4" t="inlineStr">
        <is>
          <t>DN5204</t>
        </is>
      </c>
      <c r="D25" s="4" t="inlineStr">
        <is>
          <t>DN7204</t>
        </is>
      </c>
      <c r="E25" s="5" t="inlineStr">
        <is>
          <t>CGTTCGCCAA</t>
        </is>
      </c>
      <c r="F25" s="5" t="inlineStr">
        <is>
          <t>CGAGTTGTAA</t>
        </is>
      </c>
      <c r="G25" s="4">
        <f>LEN(SUBSTITUTE(SUBSTITUTE(E25,"A",""),"T",""))</f>
        <v/>
      </c>
      <c r="H25" s="4">
        <f>LEN(SUBSTITUTE(SUBSTITUTE(F25,"A",""),"T",""))</f>
        <v/>
      </c>
      <c r="I25" s="6" t="inlineStr">
        <is>
          <t>A</t>
        </is>
      </c>
      <c r="J25" s="4" t="n">
        <v>-6.36</v>
      </c>
      <c r="K25" s="4" t="n">
        <v>-3.83</v>
      </c>
      <c r="L25" s="4" t="n">
        <v>-2.61</v>
      </c>
      <c r="M25" s="4" t="n">
        <v>44804</v>
      </c>
      <c r="N25" s="4" t="inlineStr"/>
      <c r="O25" s="4" t="inlineStr"/>
      <c r="P25">
        <f>MID($E25,1,1)</f>
        <v/>
      </c>
      <c r="Q25">
        <f>MID($E25,2,1)</f>
        <v/>
      </c>
      <c r="R25">
        <f>MID($E25,3,1)</f>
        <v/>
      </c>
      <c r="S25">
        <f>MID($E25,4,1)</f>
        <v/>
      </c>
      <c r="T25">
        <f>MID($E25,5,1)</f>
        <v/>
      </c>
      <c r="U25">
        <f>MID($E25,6,1)</f>
        <v/>
      </c>
      <c r="V25">
        <f>MID($E25,7,1)</f>
        <v/>
      </c>
      <c r="W25">
        <f>MID($E25,8,1)</f>
        <v/>
      </c>
      <c r="X25">
        <f>MID($E25,9,1)</f>
        <v/>
      </c>
      <c r="Y25">
        <f>MID($E25,10,1)</f>
        <v/>
      </c>
      <c r="Z25">
        <f>MID($F25,1,1)</f>
        <v/>
      </c>
      <c r="AA25">
        <f>MID($F25,2,1)</f>
        <v/>
      </c>
      <c r="AB25">
        <f>MID($F25,3,1)</f>
        <v/>
      </c>
      <c r="AC25">
        <f>MID($F25,4,1)</f>
        <v/>
      </c>
      <c r="AD25">
        <f>MID($F25,5,1)</f>
        <v/>
      </c>
      <c r="AE25">
        <f>MID($F25,6,1)</f>
        <v/>
      </c>
      <c r="AF25">
        <f>MID($F25,7,1)</f>
        <v/>
      </c>
      <c r="AG25">
        <f>MID($F25,8,1)</f>
        <v/>
      </c>
      <c r="AH25">
        <f>MID($F25,9,1)</f>
        <v/>
      </c>
      <c r="AI25">
        <f>MID($F25,10,1)</f>
        <v/>
      </c>
    </row>
    <row r="26">
      <c r="A26" s="4" t="n">
        <v>25</v>
      </c>
      <c r="B26" s="4" t="inlineStr">
        <is>
          <t>DN232</t>
        </is>
      </c>
      <c r="C26" s="4" t="inlineStr">
        <is>
          <t>DN5232</t>
        </is>
      </c>
      <c r="D26" s="4" t="inlineStr">
        <is>
          <t>DN7232</t>
        </is>
      </c>
      <c r="E26" s="5" t="inlineStr">
        <is>
          <t>GCACCGTCAA</t>
        </is>
      </c>
      <c r="F26" s="5" t="inlineStr">
        <is>
          <t>GCCAAGTCCA</t>
        </is>
      </c>
      <c r="G26" s="4">
        <f>LEN(SUBSTITUTE(SUBSTITUTE(E26,"A",""),"T",""))</f>
        <v/>
      </c>
      <c r="H26" s="4">
        <f>LEN(SUBSTITUTE(SUBSTITUTE(F26,"A",""),"T",""))</f>
        <v/>
      </c>
      <c r="I26" s="6" t="inlineStr">
        <is>
          <t>A</t>
        </is>
      </c>
      <c r="J26" s="4" t="n">
        <v>-6.44</v>
      </c>
      <c r="K26" s="4" t="n">
        <v>-3.83</v>
      </c>
      <c r="L26" s="4" t="n">
        <v>-2.61</v>
      </c>
      <c r="M26" s="4" t="n">
        <v>108488</v>
      </c>
      <c r="N26" s="4" t="inlineStr"/>
      <c r="O26" s="4" t="inlineStr"/>
      <c r="P26">
        <f>MID($E26,1,1)</f>
        <v/>
      </c>
      <c r="Q26">
        <f>MID($E26,2,1)</f>
        <v/>
      </c>
      <c r="R26">
        <f>MID($E26,3,1)</f>
        <v/>
      </c>
      <c r="S26">
        <f>MID($E26,4,1)</f>
        <v/>
      </c>
      <c r="T26">
        <f>MID($E26,5,1)</f>
        <v/>
      </c>
      <c r="U26">
        <f>MID($E26,6,1)</f>
        <v/>
      </c>
      <c r="V26">
        <f>MID($E26,7,1)</f>
        <v/>
      </c>
      <c r="W26">
        <f>MID($E26,8,1)</f>
        <v/>
      </c>
      <c r="X26">
        <f>MID($E26,9,1)</f>
        <v/>
      </c>
      <c r="Y26">
        <f>MID($E26,10,1)</f>
        <v/>
      </c>
      <c r="Z26">
        <f>MID($F26,1,1)</f>
        <v/>
      </c>
      <c r="AA26">
        <f>MID($F26,2,1)</f>
        <v/>
      </c>
      <c r="AB26">
        <f>MID($F26,3,1)</f>
        <v/>
      </c>
      <c r="AC26">
        <f>MID($F26,4,1)</f>
        <v/>
      </c>
      <c r="AD26">
        <f>MID($F26,5,1)</f>
        <v/>
      </c>
      <c r="AE26">
        <f>MID($F26,6,1)</f>
        <v/>
      </c>
      <c r="AF26">
        <f>MID($F26,7,1)</f>
        <v/>
      </c>
      <c r="AG26">
        <f>MID($F26,8,1)</f>
        <v/>
      </c>
      <c r="AH26">
        <f>MID($F26,9,1)</f>
        <v/>
      </c>
      <c r="AI26">
        <f>MID($F26,10,1)</f>
        <v/>
      </c>
    </row>
    <row r="27">
      <c r="A27" s="4" t="n">
        <v>26</v>
      </c>
      <c r="B27" s="4" t="inlineStr">
        <is>
          <t>DN245</t>
        </is>
      </c>
      <c r="C27" s="4" t="inlineStr">
        <is>
          <t>DN5245</t>
        </is>
      </c>
      <c r="D27" s="4" t="inlineStr">
        <is>
          <t>DN7245</t>
        </is>
      </c>
      <c r="E27" s="5" t="inlineStr">
        <is>
          <t>CTTGCCAACT</t>
        </is>
      </c>
      <c r="F27" s="5" t="inlineStr">
        <is>
          <t>GTGCGTTACC</t>
        </is>
      </c>
      <c r="G27" s="4">
        <f>LEN(SUBSTITUTE(SUBSTITUTE(E27,"A",""),"T",""))</f>
        <v/>
      </c>
      <c r="H27" s="4">
        <f>LEN(SUBSTITUTE(SUBSTITUTE(F27,"A",""),"T",""))</f>
        <v/>
      </c>
      <c r="I27" s="6" t="inlineStr">
        <is>
          <t>A</t>
        </is>
      </c>
      <c r="J27" s="4" t="n">
        <v>-6.27</v>
      </c>
      <c r="K27" s="4" t="n">
        <v>-3.83</v>
      </c>
      <c r="L27" s="4" t="n">
        <v>-2.05</v>
      </c>
      <c r="M27" s="4" t="n">
        <v>96963</v>
      </c>
      <c r="N27" s="4" t="inlineStr"/>
      <c r="O27" s="4" t="inlineStr"/>
      <c r="P27">
        <f>MID($E27,1,1)</f>
        <v/>
      </c>
      <c r="Q27">
        <f>MID($E27,2,1)</f>
        <v/>
      </c>
      <c r="R27">
        <f>MID($E27,3,1)</f>
        <v/>
      </c>
      <c r="S27">
        <f>MID($E27,4,1)</f>
        <v/>
      </c>
      <c r="T27">
        <f>MID($E27,5,1)</f>
        <v/>
      </c>
      <c r="U27">
        <f>MID($E27,6,1)</f>
        <v/>
      </c>
      <c r="V27">
        <f>MID($E27,7,1)</f>
        <v/>
      </c>
      <c r="W27">
        <f>MID($E27,8,1)</f>
        <v/>
      </c>
      <c r="X27">
        <f>MID($E27,9,1)</f>
        <v/>
      </c>
      <c r="Y27">
        <f>MID($E27,10,1)</f>
        <v/>
      </c>
      <c r="Z27">
        <f>MID($F27,1,1)</f>
        <v/>
      </c>
      <c r="AA27">
        <f>MID($F27,2,1)</f>
        <v/>
      </c>
      <c r="AB27">
        <f>MID($F27,3,1)</f>
        <v/>
      </c>
      <c r="AC27">
        <f>MID($F27,4,1)</f>
        <v/>
      </c>
      <c r="AD27">
        <f>MID($F27,5,1)</f>
        <v/>
      </c>
      <c r="AE27">
        <f>MID($F27,6,1)</f>
        <v/>
      </c>
      <c r="AF27">
        <f>MID($F27,7,1)</f>
        <v/>
      </c>
      <c r="AG27">
        <f>MID($F27,8,1)</f>
        <v/>
      </c>
      <c r="AH27">
        <f>MID($F27,9,1)</f>
        <v/>
      </c>
      <c r="AI27">
        <f>MID($F27,10,1)</f>
        <v/>
      </c>
    </row>
    <row r="28">
      <c r="A28" s="4" t="n">
        <v>27</v>
      </c>
      <c r="B28" s="4" t="inlineStr">
        <is>
          <t>DN259</t>
        </is>
      </c>
      <c r="C28" s="4" t="inlineStr">
        <is>
          <t>DN5259</t>
        </is>
      </c>
      <c r="D28" s="4" t="inlineStr">
        <is>
          <t>DN7259</t>
        </is>
      </c>
      <c r="E28" s="5" t="inlineStr">
        <is>
          <t>GTCCACAGAA</t>
        </is>
      </c>
      <c r="F28" s="5" t="inlineStr">
        <is>
          <t>GAGCCAAGTC</t>
        </is>
      </c>
      <c r="G28" s="4">
        <f>LEN(SUBSTITUTE(SUBSTITUTE(E28,"A",""),"T",""))</f>
        <v/>
      </c>
      <c r="H28" s="4">
        <f>LEN(SUBSTITUTE(SUBSTITUTE(F28,"A",""),"T",""))</f>
        <v/>
      </c>
      <c r="I28" s="6" t="inlineStr">
        <is>
          <t>A</t>
        </is>
      </c>
      <c r="J28" s="4" t="n">
        <v>-6.15</v>
      </c>
      <c r="K28" s="4" t="n">
        <v>-4.43</v>
      </c>
      <c r="L28" s="4" t="n">
        <v>-2.05</v>
      </c>
      <c r="M28" s="4" t="n">
        <v>60711</v>
      </c>
      <c r="N28" s="4" t="inlineStr"/>
      <c r="O28" s="4" t="inlineStr"/>
      <c r="P28">
        <f>MID($E28,1,1)</f>
        <v/>
      </c>
      <c r="Q28">
        <f>MID($E28,2,1)</f>
        <v/>
      </c>
      <c r="R28">
        <f>MID($E28,3,1)</f>
        <v/>
      </c>
      <c r="S28">
        <f>MID($E28,4,1)</f>
        <v/>
      </c>
      <c r="T28">
        <f>MID($E28,5,1)</f>
        <v/>
      </c>
      <c r="U28">
        <f>MID($E28,6,1)</f>
        <v/>
      </c>
      <c r="V28">
        <f>MID($E28,7,1)</f>
        <v/>
      </c>
      <c r="W28">
        <f>MID($E28,8,1)</f>
        <v/>
      </c>
      <c r="X28">
        <f>MID($E28,9,1)</f>
        <v/>
      </c>
      <c r="Y28">
        <f>MID($E28,10,1)</f>
        <v/>
      </c>
      <c r="Z28">
        <f>MID($F28,1,1)</f>
        <v/>
      </c>
      <c r="AA28">
        <f>MID($F28,2,1)</f>
        <v/>
      </c>
      <c r="AB28">
        <f>MID($F28,3,1)</f>
        <v/>
      </c>
      <c r="AC28">
        <f>MID($F28,4,1)</f>
        <v/>
      </c>
      <c r="AD28">
        <f>MID($F28,5,1)</f>
        <v/>
      </c>
      <c r="AE28">
        <f>MID($F28,6,1)</f>
        <v/>
      </c>
      <c r="AF28">
        <f>MID($F28,7,1)</f>
        <v/>
      </c>
      <c r="AG28">
        <f>MID($F28,8,1)</f>
        <v/>
      </c>
      <c r="AH28">
        <f>MID($F28,9,1)</f>
        <v/>
      </c>
      <c r="AI28">
        <f>MID($F28,10,1)</f>
        <v/>
      </c>
    </row>
    <row r="29">
      <c r="A29" s="4" t="n">
        <v>28</v>
      </c>
      <c r="B29" s="4" t="inlineStr">
        <is>
          <t>DN266</t>
        </is>
      </c>
      <c r="C29" s="4" t="inlineStr">
        <is>
          <t>DN5266</t>
        </is>
      </c>
      <c r="D29" s="4" t="inlineStr">
        <is>
          <t>DN7266</t>
        </is>
      </c>
      <c r="E29" s="5" t="inlineStr">
        <is>
          <t>GCAACTTATC</t>
        </is>
      </c>
      <c r="F29" s="5" t="inlineStr">
        <is>
          <t>ACCAGTTCCG</t>
        </is>
      </c>
      <c r="G29" s="4">
        <f>LEN(SUBSTITUTE(SUBSTITUTE(E29,"A",""),"T",""))</f>
        <v/>
      </c>
      <c r="H29" s="4">
        <f>LEN(SUBSTITUTE(SUBSTITUTE(F29,"A",""),"T",""))</f>
        <v/>
      </c>
      <c r="I29" s="7" t="inlineStr">
        <is>
          <t>B</t>
        </is>
      </c>
      <c r="J29" s="4" t="n">
        <v>-7.87</v>
      </c>
      <c r="K29" s="4" t="n">
        <v>-4.7</v>
      </c>
      <c r="L29" s="4" t="n">
        <v>-1.77</v>
      </c>
      <c r="M29" s="4" t="n">
        <v>39480</v>
      </c>
      <c r="N29" s="4" t="inlineStr"/>
      <c r="O29" s="4" t="inlineStr"/>
      <c r="P29">
        <f>MID($E29,1,1)</f>
        <v/>
      </c>
      <c r="Q29">
        <f>MID($E29,2,1)</f>
        <v/>
      </c>
      <c r="R29">
        <f>MID($E29,3,1)</f>
        <v/>
      </c>
      <c r="S29">
        <f>MID($E29,4,1)</f>
        <v/>
      </c>
      <c r="T29">
        <f>MID($E29,5,1)</f>
        <v/>
      </c>
      <c r="U29">
        <f>MID($E29,6,1)</f>
        <v/>
      </c>
      <c r="V29">
        <f>MID($E29,7,1)</f>
        <v/>
      </c>
      <c r="W29">
        <f>MID($E29,8,1)</f>
        <v/>
      </c>
      <c r="X29">
        <f>MID($E29,9,1)</f>
        <v/>
      </c>
      <c r="Y29">
        <f>MID($E29,10,1)</f>
        <v/>
      </c>
      <c r="Z29">
        <f>MID($F29,1,1)</f>
        <v/>
      </c>
      <c r="AA29">
        <f>MID($F29,2,1)</f>
        <v/>
      </c>
      <c r="AB29">
        <f>MID($F29,3,1)</f>
        <v/>
      </c>
      <c r="AC29">
        <f>MID($F29,4,1)</f>
        <v/>
      </c>
      <c r="AD29">
        <f>MID($F29,5,1)</f>
        <v/>
      </c>
      <c r="AE29">
        <f>MID($F29,6,1)</f>
        <v/>
      </c>
      <c r="AF29">
        <f>MID($F29,7,1)</f>
        <v/>
      </c>
      <c r="AG29">
        <f>MID($F29,8,1)</f>
        <v/>
      </c>
      <c r="AH29">
        <f>MID($F29,9,1)</f>
        <v/>
      </c>
      <c r="AI29">
        <f>MID($F29,10,1)</f>
        <v/>
      </c>
    </row>
    <row r="30">
      <c r="A30" s="4" t="n">
        <v>29</v>
      </c>
      <c r="B30" s="4" t="inlineStr">
        <is>
          <t>DN273</t>
        </is>
      </c>
      <c r="C30" s="4" t="inlineStr">
        <is>
          <t>DN5273</t>
        </is>
      </c>
      <c r="D30" s="4" t="inlineStr">
        <is>
          <t>DN7273</t>
        </is>
      </c>
      <c r="E30" s="5" t="inlineStr">
        <is>
          <t>AGAGCTGTCC</t>
        </is>
      </c>
      <c r="F30" s="5" t="inlineStr">
        <is>
          <t>GACGAGTGAA</t>
        </is>
      </c>
      <c r="G30" s="4">
        <f>LEN(SUBSTITUTE(SUBSTITUTE(E30,"A",""),"T",""))</f>
        <v/>
      </c>
      <c r="H30" s="4">
        <f>LEN(SUBSTITUTE(SUBSTITUTE(F30,"A",""),"T",""))</f>
        <v/>
      </c>
      <c r="I30" s="7" t="inlineStr">
        <is>
          <t>B</t>
        </is>
      </c>
      <c r="J30" s="4" t="n">
        <v>-6.53</v>
      </c>
      <c r="K30" s="4" t="n">
        <v>-4.54</v>
      </c>
      <c r="L30" s="4" t="n">
        <v>-2.61</v>
      </c>
      <c r="M30" s="4" t="n">
        <v>71759</v>
      </c>
      <c r="N30" s="4" t="inlineStr"/>
      <c r="O30" s="4" t="inlineStr"/>
      <c r="P30">
        <f>MID($E30,1,1)</f>
        <v/>
      </c>
      <c r="Q30">
        <f>MID($E30,2,1)</f>
        <v/>
      </c>
      <c r="R30">
        <f>MID($E30,3,1)</f>
        <v/>
      </c>
      <c r="S30">
        <f>MID($E30,4,1)</f>
        <v/>
      </c>
      <c r="T30">
        <f>MID($E30,5,1)</f>
        <v/>
      </c>
      <c r="U30">
        <f>MID($E30,6,1)</f>
        <v/>
      </c>
      <c r="V30">
        <f>MID($E30,7,1)</f>
        <v/>
      </c>
      <c r="W30">
        <f>MID($E30,8,1)</f>
        <v/>
      </c>
      <c r="X30">
        <f>MID($E30,9,1)</f>
        <v/>
      </c>
      <c r="Y30">
        <f>MID($E30,10,1)</f>
        <v/>
      </c>
      <c r="Z30">
        <f>MID($F30,1,1)</f>
        <v/>
      </c>
      <c r="AA30">
        <f>MID($F30,2,1)</f>
        <v/>
      </c>
      <c r="AB30">
        <f>MID($F30,3,1)</f>
        <v/>
      </c>
      <c r="AC30">
        <f>MID($F30,4,1)</f>
        <v/>
      </c>
      <c r="AD30">
        <f>MID($F30,5,1)</f>
        <v/>
      </c>
      <c r="AE30">
        <f>MID($F30,6,1)</f>
        <v/>
      </c>
      <c r="AF30">
        <f>MID($F30,7,1)</f>
        <v/>
      </c>
      <c r="AG30">
        <f>MID($F30,8,1)</f>
        <v/>
      </c>
      <c r="AH30">
        <f>MID($F30,9,1)</f>
        <v/>
      </c>
      <c r="AI30">
        <f>MID($F30,10,1)</f>
        <v/>
      </c>
    </row>
    <row r="31">
      <c r="A31" s="4" t="n">
        <v>30</v>
      </c>
      <c r="B31" s="4" t="inlineStr">
        <is>
          <t>DN319</t>
        </is>
      </c>
      <c r="C31" s="4" t="inlineStr">
        <is>
          <t>DN5319</t>
        </is>
      </c>
      <c r="D31" s="4" t="inlineStr">
        <is>
          <t>DN7319</t>
        </is>
      </c>
      <c r="E31" s="5" t="inlineStr">
        <is>
          <t>GTGCACCACT</t>
        </is>
      </c>
      <c r="F31" s="5" t="inlineStr">
        <is>
          <t>CGTTCATGCG</t>
        </is>
      </c>
      <c r="G31" s="4">
        <f>LEN(SUBSTITUTE(SUBSTITUTE(E31,"A",""),"T",""))</f>
        <v/>
      </c>
      <c r="H31" s="4">
        <f>LEN(SUBSTITUTE(SUBSTITUTE(F31,"A",""),"T",""))</f>
        <v/>
      </c>
      <c r="I31" s="6" t="inlineStr">
        <is>
          <t>A</t>
        </is>
      </c>
      <c r="J31" s="4" t="n">
        <v>-6.34</v>
      </c>
      <c r="K31" s="4" t="n">
        <v>-4.21</v>
      </c>
      <c r="L31" s="4" t="n">
        <v>-2.05</v>
      </c>
      <c r="M31" s="4" t="n">
        <v>52945</v>
      </c>
      <c r="N31" s="4" t="inlineStr"/>
      <c r="O31" s="4" t="inlineStr"/>
      <c r="P31">
        <f>MID($E31,1,1)</f>
        <v/>
      </c>
      <c r="Q31">
        <f>MID($E31,2,1)</f>
        <v/>
      </c>
      <c r="R31">
        <f>MID($E31,3,1)</f>
        <v/>
      </c>
      <c r="S31">
        <f>MID($E31,4,1)</f>
        <v/>
      </c>
      <c r="T31">
        <f>MID($E31,5,1)</f>
        <v/>
      </c>
      <c r="U31">
        <f>MID($E31,6,1)</f>
        <v/>
      </c>
      <c r="V31">
        <f>MID($E31,7,1)</f>
        <v/>
      </c>
      <c r="W31">
        <f>MID($E31,8,1)</f>
        <v/>
      </c>
      <c r="X31">
        <f>MID($E31,9,1)</f>
        <v/>
      </c>
      <c r="Y31">
        <f>MID($E31,10,1)</f>
        <v/>
      </c>
      <c r="Z31">
        <f>MID($F31,1,1)</f>
        <v/>
      </c>
      <c r="AA31">
        <f>MID($F31,2,1)</f>
        <v/>
      </c>
      <c r="AB31">
        <f>MID($F31,3,1)</f>
        <v/>
      </c>
      <c r="AC31">
        <f>MID($F31,4,1)</f>
        <v/>
      </c>
      <c r="AD31">
        <f>MID($F31,5,1)</f>
        <v/>
      </c>
      <c r="AE31">
        <f>MID($F31,6,1)</f>
        <v/>
      </c>
      <c r="AF31">
        <f>MID($F31,7,1)</f>
        <v/>
      </c>
      <c r="AG31">
        <f>MID($F31,8,1)</f>
        <v/>
      </c>
      <c r="AH31">
        <f>MID($F31,9,1)</f>
        <v/>
      </c>
      <c r="AI31">
        <f>MID($F31,10,1)</f>
        <v/>
      </c>
    </row>
    <row r="32">
      <c r="A32" s="4" t="n">
        <v>31</v>
      </c>
      <c r="B32" s="4" t="inlineStr">
        <is>
          <t>DN326</t>
        </is>
      </c>
      <c r="C32" s="4" t="inlineStr">
        <is>
          <t>DN5326</t>
        </is>
      </c>
      <c r="D32" s="4" t="inlineStr">
        <is>
          <t>DN7326</t>
        </is>
      </c>
      <c r="E32" s="5" t="inlineStr">
        <is>
          <t>CGACTGCCTA</t>
        </is>
      </c>
      <c r="F32" s="5" t="inlineStr">
        <is>
          <t>GTCGGTAATA</t>
        </is>
      </c>
      <c r="G32" s="4">
        <f>LEN(SUBSTITUTE(SUBSTITUTE(E32,"A",""),"T",""))</f>
        <v/>
      </c>
      <c r="H32" s="4">
        <f>LEN(SUBSTITUTE(SUBSTITUTE(F32,"A",""),"T",""))</f>
        <v/>
      </c>
      <c r="I32" s="6" t="inlineStr">
        <is>
          <t>A</t>
        </is>
      </c>
      <c r="J32" s="4" t="n">
        <v>-6.44</v>
      </c>
      <c r="K32" s="4" t="n">
        <v>-3.83</v>
      </c>
      <c r="L32" s="4" t="n">
        <v>-2.61</v>
      </c>
      <c r="M32" s="4" t="n">
        <v>75074</v>
      </c>
      <c r="N32" s="4" t="inlineStr"/>
      <c r="O32" s="4" t="inlineStr"/>
      <c r="P32">
        <f>MID($E32,1,1)</f>
        <v/>
      </c>
      <c r="Q32">
        <f>MID($E32,2,1)</f>
        <v/>
      </c>
      <c r="R32">
        <f>MID($E32,3,1)</f>
        <v/>
      </c>
      <c r="S32">
        <f>MID($E32,4,1)</f>
        <v/>
      </c>
      <c r="T32">
        <f>MID($E32,5,1)</f>
        <v/>
      </c>
      <c r="U32">
        <f>MID($E32,6,1)</f>
        <v/>
      </c>
      <c r="V32">
        <f>MID($E32,7,1)</f>
        <v/>
      </c>
      <c r="W32">
        <f>MID($E32,8,1)</f>
        <v/>
      </c>
      <c r="X32">
        <f>MID($E32,9,1)</f>
        <v/>
      </c>
      <c r="Y32">
        <f>MID($E32,10,1)</f>
        <v/>
      </c>
      <c r="Z32">
        <f>MID($F32,1,1)</f>
        <v/>
      </c>
      <c r="AA32">
        <f>MID($F32,2,1)</f>
        <v/>
      </c>
      <c r="AB32">
        <f>MID($F32,3,1)</f>
        <v/>
      </c>
      <c r="AC32">
        <f>MID($F32,4,1)</f>
        <v/>
      </c>
      <c r="AD32">
        <f>MID($F32,5,1)</f>
        <v/>
      </c>
      <c r="AE32">
        <f>MID($F32,6,1)</f>
        <v/>
      </c>
      <c r="AF32">
        <f>MID($F32,7,1)</f>
        <v/>
      </c>
      <c r="AG32">
        <f>MID($F32,8,1)</f>
        <v/>
      </c>
      <c r="AH32">
        <f>MID($F32,9,1)</f>
        <v/>
      </c>
      <c r="AI32">
        <f>MID($F32,10,1)</f>
        <v/>
      </c>
    </row>
    <row r="33">
      <c r="A33" s="4" t="n">
        <v>32</v>
      </c>
      <c r="B33" s="4" t="inlineStr">
        <is>
          <t>DN349</t>
        </is>
      </c>
      <c r="C33" s="4" t="inlineStr">
        <is>
          <t>DN5349</t>
        </is>
      </c>
      <c r="D33" s="4" t="inlineStr">
        <is>
          <t>DN7349</t>
        </is>
      </c>
      <c r="E33" s="5" t="inlineStr">
        <is>
          <t>TGAAGCCTAA</t>
        </is>
      </c>
      <c r="F33" s="5" t="inlineStr">
        <is>
          <t>TGAGCGATTC</t>
        </is>
      </c>
      <c r="G33" s="4">
        <f>LEN(SUBSTITUTE(SUBSTITUTE(E33,"A",""),"T",""))</f>
        <v/>
      </c>
      <c r="H33" s="4">
        <f>LEN(SUBSTITUTE(SUBSTITUTE(F33,"A",""),"T",""))</f>
        <v/>
      </c>
      <c r="I33" s="6" t="inlineStr">
        <is>
          <t>A</t>
        </is>
      </c>
      <c r="J33" s="4" t="n">
        <v>-6.59</v>
      </c>
      <c r="K33" s="4" t="n">
        <v>-3.83</v>
      </c>
      <c r="L33" s="4" t="n">
        <v>-2.19</v>
      </c>
      <c r="M33" s="4" t="n">
        <v>69590</v>
      </c>
      <c r="N33" s="4" t="inlineStr"/>
      <c r="O33" s="4" t="inlineStr"/>
      <c r="P33">
        <f>MID($E33,1,1)</f>
        <v/>
      </c>
      <c r="Q33">
        <f>MID($E33,2,1)</f>
        <v/>
      </c>
      <c r="R33">
        <f>MID($E33,3,1)</f>
        <v/>
      </c>
      <c r="S33">
        <f>MID($E33,4,1)</f>
        <v/>
      </c>
      <c r="T33">
        <f>MID($E33,5,1)</f>
        <v/>
      </c>
      <c r="U33">
        <f>MID($E33,6,1)</f>
        <v/>
      </c>
      <c r="V33">
        <f>MID($E33,7,1)</f>
        <v/>
      </c>
      <c r="W33">
        <f>MID($E33,8,1)</f>
        <v/>
      </c>
      <c r="X33">
        <f>MID($E33,9,1)</f>
        <v/>
      </c>
      <c r="Y33">
        <f>MID($E33,10,1)</f>
        <v/>
      </c>
      <c r="Z33">
        <f>MID($F33,1,1)</f>
        <v/>
      </c>
      <c r="AA33">
        <f>MID($F33,2,1)</f>
        <v/>
      </c>
      <c r="AB33">
        <f>MID($F33,3,1)</f>
        <v/>
      </c>
      <c r="AC33">
        <f>MID($F33,4,1)</f>
        <v/>
      </c>
      <c r="AD33">
        <f>MID($F33,5,1)</f>
        <v/>
      </c>
      <c r="AE33">
        <f>MID($F33,6,1)</f>
        <v/>
      </c>
      <c r="AF33">
        <f>MID($F33,7,1)</f>
        <v/>
      </c>
      <c r="AG33">
        <f>MID($F33,8,1)</f>
        <v/>
      </c>
      <c r="AH33">
        <f>MID($F33,9,1)</f>
        <v/>
      </c>
      <c r="AI33">
        <f>MID($F33,10,1)</f>
        <v/>
      </c>
    </row>
    <row r="34">
      <c r="A34" s="4" t="n">
        <v>33</v>
      </c>
      <c r="B34" s="4" t="inlineStr">
        <is>
          <t>DN364</t>
        </is>
      </c>
      <c r="C34" s="4" t="inlineStr">
        <is>
          <t>DN5364</t>
        </is>
      </c>
      <c r="D34" s="4" t="inlineStr">
        <is>
          <t>DN7364</t>
        </is>
      </c>
      <c r="E34" s="5" t="inlineStr">
        <is>
          <t>AACCTCATTG</t>
        </is>
      </c>
      <c r="F34" s="5" t="inlineStr">
        <is>
          <t>ATGCAGGACG</t>
        </is>
      </c>
      <c r="G34" s="4">
        <f>LEN(SUBSTITUTE(SUBSTITUTE(E34,"A",""),"T",""))</f>
        <v/>
      </c>
      <c r="H34" s="4">
        <f>LEN(SUBSTITUTE(SUBSTITUTE(F34,"A",""),"T",""))</f>
        <v/>
      </c>
      <c r="I34" s="7" t="inlineStr">
        <is>
          <t>B</t>
        </is>
      </c>
      <c r="J34" s="4" t="n">
        <v>-8.119999999999999</v>
      </c>
      <c r="K34" s="4" t="n">
        <v>-4.13</v>
      </c>
      <c r="L34" s="4" t="n">
        <v>-1.69</v>
      </c>
      <c r="M34" s="4" t="n">
        <v>144051</v>
      </c>
      <c r="N34" s="4" t="inlineStr"/>
      <c r="O34" s="4" t="inlineStr"/>
      <c r="P34">
        <f>MID($E34,1,1)</f>
        <v/>
      </c>
      <c r="Q34">
        <f>MID($E34,2,1)</f>
        <v/>
      </c>
      <c r="R34">
        <f>MID($E34,3,1)</f>
        <v/>
      </c>
      <c r="S34">
        <f>MID($E34,4,1)</f>
        <v/>
      </c>
      <c r="T34">
        <f>MID($E34,5,1)</f>
        <v/>
      </c>
      <c r="U34">
        <f>MID($E34,6,1)</f>
        <v/>
      </c>
      <c r="V34">
        <f>MID($E34,7,1)</f>
        <v/>
      </c>
      <c r="W34">
        <f>MID($E34,8,1)</f>
        <v/>
      </c>
      <c r="X34">
        <f>MID($E34,9,1)</f>
        <v/>
      </c>
      <c r="Y34">
        <f>MID($E34,10,1)</f>
        <v/>
      </c>
      <c r="Z34">
        <f>MID($F34,1,1)</f>
        <v/>
      </c>
      <c r="AA34">
        <f>MID($F34,2,1)</f>
        <v/>
      </c>
      <c r="AB34">
        <f>MID($F34,3,1)</f>
        <v/>
      </c>
      <c r="AC34">
        <f>MID($F34,4,1)</f>
        <v/>
      </c>
      <c r="AD34">
        <f>MID($F34,5,1)</f>
        <v/>
      </c>
      <c r="AE34">
        <f>MID($F34,6,1)</f>
        <v/>
      </c>
      <c r="AF34">
        <f>MID($F34,7,1)</f>
        <v/>
      </c>
      <c r="AG34">
        <f>MID($F34,8,1)</f>
        <v/>
      </c>
      <c r="AH34">
        <f>MID($F34,9,1)</f>
        <v/>
      </c>
      <c r="AI34">
        <f>MID($F34,10,1)</f>
        <v/>
      </c>
    </row>
    <row r="35">
      <c r="A35" s="4" t="n">
        <v>34</v>
      </c>
      <c r="B35" s="4" t="inlineStr">
        <is>
          <t>DN365</t>
        </is>
      </c>
      <c r="C35" s="4" t="inlineStr">
        <is>
          <t>DN5365</t>
        </is>
      </c>
      <c r="D35" s="4" t="inlineStr">
        <is>
          <t>DN7365</t>
        </is>
      </c>
      <c r="E35" s="5" t="inlineStr">
        <is>
          <t>CGTGGTTGGA</t>
        </is>
      </c>
      <c r="F35" s="5" t="inlineStr">
        <is>
          <t>CTAGATGCGG</t>
        </is>
      </c>
      <c r="G35" s="4">
        <f>LEN(SUBSTITUTE(SUBSTITUTE(E35,"A",""),"T",""))</f>
        <v/>
      </c>
      <c r="H35" s="4">
        <f>LEN(SUBSTITUTE(SUBSTITUTE(F35,"A",""),"T",""))</f>
        <v/>
      </c>
      <c r="I35" s="6" t="inlineStr">
        <is>
          <t>A</t>
        </is>
      </c>
      <c r="J35" s="4" t="n">
        <v>-6.54</v>
      </c>
      <c r="K35" s="4" t="n">
        <v>-4.43</v>
      </c>
      <c r="L35" s="4" t="n">
        <v>-3.3</v>
      </c>
      <c r="M35" s="4" t="n">
        <v>41183</v>
      </c>
      <c r="N35" s="4" t="inlineStr"/>
      <c r="O35" s="4" t="inlineStr"/>
      <c r="P35">
        <f>MID($E35,1,1)</f>
        <v/>
      </c>
      <c r="Q35">
        <f>MID($E35,2,1)</f>
        <v/>
      </c>
      <c r="R35">
        <f>MID($E35,3,1)</f>
        <v/>
      </c>
      <c r="S35">
        <f>MID($E35,4,1)</f>
        <v/>
      </c>
      <c r="T35">
        <f>MID($E35,5,1)</f>
        <v/>
      </c>
      <c r="U35">
        <f>MID($E35,6,1)</f>
        <v/>
      </c>
      <c r="V35">
        <f>MID($E35,7,1)</f>
        <v/>
      </c>
      <c r="W35">
        <f>MID($E35,8,1)</f>
        <v/>
      </c>
      <c r="X35">
        <f>MID($E35,9,1)</f>
        <v/>
      </c>
      <c r="Y35">
        <f>MID($E35,10,1)</f>
        <v/>
      </c>
      <c r="Z35">
        <f>MID($F35,1,1)</f>
        <v/>
      </c>
      <c r="AA35">
        <f>MID($F35,2,1)</f>
        <v/>
      </c>
      <c r="AB35">
        <f>MID($F35,3,1)</f>
        <v/>
      </c>
      <c r="AC35">
        <f>MID($F35,4,1)</f>
        <v/>
      </c>
      <c r="AD35">
        <f>MID($F35,5,1)</f>
        <v/>
      </c>
      <c r="AE35">
        <f>MID($F35,6,1)</f>
        <v/>
      </c>
      <c r="AF35">
        <f>MID($F35,7,1)</f>
        <v/>
      </c>
      <c r="AG35">
        <f>MID($F35,8,1)</f>
        <v/>
      </c>
      <c r="AH35">
        <f>MID($F35,9,1)</f>
        <v/>
      </c>
      <c r="AI35">
        <f>MID($F35,10,1)</f>
        <v/>
      </c>
    </row>
    <row r="36">
      <c r="A36" s="4" t="n">
        <v>35</v>
      </c>
      <c r="B36" s="4" t="inlineStr">
        <is>
          <t>DN371</t>
        </is>
      </c>
      <c r="C36" s="4" t="inlineStr">
        <is>
          <t>DN5371</t>
        </is>
      </c>
      <c r="D36" s="4" t="inlineStr">
        <is>
          <t>DN7371</t>
        </is>
      </c>
      <c r="E36" s="5" t="inlineStr">
        <is>
          <t>GCAATGCGCT</t>
        </is>
      </c>
      <c r="F36" s="5" t="inlineStr">
        <is>
          <t>ATCAGGTCAA</t>
        </is>
      </c>
      <c r="G36" s="4">
        <f>LEN(SUBSTITUTE(SUBSTITUTE(E36,"A",""),"T",""))</f>
        <v/>
      </c>
      <c r="H36" s="4">
        <f>LEN(SUBSTITUTE(SUBSTITUTE(F36,"A",""),"T",""))</f>
        <v/>
      </c>
      <c r="I36" s="6" t="inlineStr">
        <is>
          <t>A</t>
        </is>
      </c>
      <c r="J36" s="4" t="n">
        <v>-7</v>
      </c>
      <c r="K36" s="4" t="n">
        <v>-4.43</v>
      </c>
      <c r="L36" s="4" t="n">
        <v>-2.61</v>
      </c>
      <c r="M36" s="4" t="n">
        <v>61623</v>
      </c>
      <c r="N36" s="4" t="inlineStr"/>
      <c r="O36" s="4" t="inlineStr"/>
      <c r="P36">
        <f>MID($E36,1,1)</f>
        <v/>
      </c>
      <c r="Q36">
        <f>MID($E36,2,1)</f>
        <v/>
      </c>
      <c r="R36">
        <f>MID($E36,3,1)</f>
        <v/>
      </c>
      <c r="S36">
        <f>MID($E36,4,1)</f>
        <v/>
      </c>
      <c r="T36">
        <f>MID($E36,5,1)</f>
        <v/>
      </c>
      <c r="U36">
        <f>MID($E36,6,1)</f>
        <v/>
      </c>
      <c r="V36">
        <f>MID($E36,7,1)</f>
        <v/>
      </c>
      <c r="W36">
        <f>MID($E36,8,1)</f>
        <v/>
      </c>
      <c r="X36">
        <f>MID($E36,9,1)</f>
        <v/>
      </c>
      <c r="Y36">
        <f>MID($E36,10,1)</f>
        <v/>
      </c>
      <c r="Z36">
        <f>MID($F36,1,1)</f>
        <v/>
      </c>
      <c r="AA36">
        <f>MID($F36,2,1)</f>
        <v/>
      </c>
      <c r="AB36">
        <f>MID($F36,3,1)</f>
        <v/>
      </c>
      <c r="AC36">
        <f>MID($F36,4,1)</f>
        <v/>
      </c>
      <c r="AD36">
        <f>MID($F36,5,1)</f>
        <v/>
      </c>
      <c r="AE36">
        <f>MID($F36,6,1)</f>
        <v/>
      </c>
      <c r="AF36">
        <f>MID($F36,7,1)</f>
        <v/>
      </c>
      <c r="AG36">
        <f>MID($F36,8,1)</f>
        <v/>
      </c>
      <c r="AH36">
        <f>MID($F36,9,1)</f>
        <v/>
      </c>
      <c r="AI36">
        <f>MID($F36,10,1)</f>
        <v/>
      </c>
    </row>
    <row r="37">
      <c r="A37" s="4" t="n">
        <v>36</v>
      </c>
      <c r="B37" s="4" t="inlineStr">
        <is>
          <t>DN378</t>
        </is>
      </c>
      <c r="C37" s="4" t="inlineStr">
        <is>
          <t>DN5378</t>
        </is>
      </c>
      <c r="D37" s="4" t="inlineStr">
        <is>
          <t>DN7378</t>
        </is>
      </c>
      <c r="E37" s="5" t="inlineStr">
        <is>
          <t>GTCGTTGTGG</t>
        </is>
      </c>
      <c r="F37" s="5" t="inlineStr">
        <is>
          <t>GATGCTCAGT</t>
        </is>
      </c>
      <c r="G37" s="4">
        <f>LEN(SUBSTITUTE(SUBSTITUTE(E37,"A",""),"T",""))</f>
        <v/>
      </c>
      <c r="H37" s="4">
        <f>LEN(SUBSTITUTE(SUBSTITUTE(F37,"A",""),"T",""))</f>
        <v/>
      </c>
      <c r="I37" s="7" t="inlineStr">
        <is>
          <t>B</t>
        </is>
      </c>
      <c r="J37" s="4" t="n">
        <v>-7.64</v>
      </c>
      <c r="K37" s="4" t="n">
        <v>-4.66</v>
      </c>
      <c r="L37" s="4" t="n">
        <v>-1.59</v>
      </c>
      <c r="M37" s="4" t="n">
        <v>125089</v>
      </c>
      <c r="N37" s="4" t="inlineStr"/>
      <c r="O37" s="4" t="inlineStr"/>
      <c r="P37">
        <f>MID($E37,1,1)</f>
        <v/>
      </c>
      <c r="Q37">
        <f>MID($E37,2,1)</f>
        <v/>
      </c>
      <c r="R37">
        <f>MID($E37,3,1)</f>
        <v/>
      </c>
      <c r="S37">
        <f>MID($E37,4,1)</f>
        <v/>
      </c>
      <c r="T37">
        <f>MID($E37,5,1)</f>
        <v/>
      </c>
      <c r="U37">
        <f>MID($E37,6,1)</f>
        <v/>
      </c>
      <c r="V37">
        <f>MID($E37,7,1)</f>
        <v/>
      </c>
      <c r="W37">
        <f>MID($E37,8,1)</f>
        <v/>
      </c>
      <c r="X37">
        <f>MID($E37,9,1)</f>
        <v/>
      </c>
      <c r="Y37">
        <f>MID($E37,10,1)</f>
        <v/>
      </c>
      <c r="Z37">
        <f>MID($F37,1,1)</f>
        <v/>
      </c>
      <c r="AA37">
        <f>MID($F37,2,1)</f>
        <v/>
      </c>
      <c r="AB37">
        <f>MID($F37,3,1)</f>
        <v/>
      </c>
      <c r="AC37">
        <f>MID($F37,4,1)</f>
        <v/>
      </c>
      <c r="AD37">
        <f>MID($F37,5,1)</f>
        <v/>
      </c>
      <c r="AE37">
        <f>MID($F37,6,1)</f>
        <v/>
      </c>
      <c r="AF37">
        <f>MID($F37,7,1)</f>
        <v/>
      </c>
      <c r="AG37">
        <f>MID($F37,8,1)</f>
        <v/>
      </c>
      <c r="AH37">
        <f>MID($F37,9,1)</f>
        <v/>
      </c>
      <c r="AI37">
        <f>MID($F37,10,1)</f>
        <v/>
      </c>
    </row>
    <row r="38">
      <c r="A38" s="4" t="n">
        <v>37</v>
      </c>
      <c r="B38" s="4" t="inlineStr">
        <is>
          <t>DN381</t>
        </is>
      </c>
      <c r="C38" s="4" t="inlineStr">
        <is>
          <t>DN5381</t>
        </is>
      </c>
      <c r="D38" s="4" t="inlineStr">
        <is>
          <t>DN7381</t>
        </is>
      </c>
      <c r="E38" s="5" t="inlineStr">
        <is>
          <t>AGAGAAGGAA</t>
        </is>
      </c>
      <c r="F38" s="5" t="inlineStr">
        <is>
          <t>GCGCATAGTG</t>
        </is>
      </c>
      <c r="G38" s="4">
        <f>LEN(SUBSTITUTE(SUBSTITUTE(E38,"A",""),"T",""))</f>
        <v/>
      </c>
      <c r="H38" s="4">
        <f>LEN(SUBSTITUTE(SUBSTITUTE(F38,"A",""),"T",""))</f>
        <v/>
      </c>
      <c r="I38" s="6" t="inlineStr">
        <is>
          <t>A</t>
        </is>
      </c>
      <c r="J38" s="4" t="n">
        <v>-6.27</v>
      </c>
      <c r="K38" s="4" t="n">
        <v>-3.93</v>
      </c>
      <c r="L38" s="4" t="n">
        <v>-1.77</v>
      </c>
      <c r="M38" s="4" t="n">
        <v>36559</v>
      </c>
      <c r="N38" s="4" t="inlineStr"/>
      <c r="O38" s="4" t="inlineStr"/>
      <c r="P38">
        <f>MID($E38,1,1)</f>
        <v/>
      </c>
      <c r="Q38">
        <f>MID($E38,2,1)</f>
        <v/>
      </c>
      <c r="R38">
        <f>MID($E38,3,1)</f>
        <v/>
      </c>
      <c r="S38">
        <f>MID($E38,4,1)</f>
        <v/>
      </c>
      <c r="T38">
        <f>MID($E38,5,1)</f>
        <v/>
      </c>
      <c r="U38">
        <f>MID($E38,6,1)</f>
        <v/>
      </c>
      <c r="V38">
        <f>MID($E38,7,1)</f>
        <v/>
      </c>
      <c r="W38">
        <f>MID($E38,8,1)</f>
        <v/>
      </c>
      <c r="X38">
        <f>MID($E38,9,1)</f>
        <v/>
      </c>
      <c r="Y38">
        <f>MID($E38,10,1)</f>
        <v/>
      </c>
      <c r="Z38">
        <f>MID($F38,1,1)</f>
        <v/>
      </c>
      <c r="AA38">
        <f>MID($F38,2,1)</f>
        <v/>
      </c>
      <c r="AB38">
        <f>MID($F38,3,1)</f>
        <v/>
      </c>
      <c r="AC38">
        <f>MID($F38,4,1)</f>
        <v/>
      </c>
      <c r="AD38">
        <f>MID($F38,5,1)</f>
        <v/>
      </c>
      <c r="AE38">
        <f>MID($F38,6,1)</f>
        <v/>
      </c>
      <c r="AF38">
        <f>MID($F38,7,1)</f>
        <v/>
      </c>
      <c r="AG38">
        <f>MID($F38,8,1)</f>
        <v/>
      </c>
      <c r="AH38">
        <f>MID($F38,9,1)</f>
        <v/>
      </c>
      <c r="AI38">
        <f>MID($F38,10,1)</f>
        <v/>
      </c>
    </row>
    <row r="39">
      <c r="A39" s="4" t="n">
        <v>38</v>
      </c>
      <c r="B39" s="4" t="inlineStr">
        <is>
          <t>DN392</t>
        </is>
      </c>
      <c r="C39" s="4" t="inlineStr">
        <is>
          <t>DN5392</t>
        </is>
      </c>
      <c r="D39" s="4" t="inlineStr">
        <is>
          <t>DN7392</t>
        </is>
      </c>
      <c r="E39" s="5" t="inlineStr">
        <is>
          <t>CGCGATGAGA</t>
        </is>
      </c>
      <c r="F39" s="5" t="inlineStr">
        <is>
          <t>CCAGGAGAAC</t>
        </is>
      </c>
      <c r="G39" s="4">
        <f>LEN(SUBSTITUTE(SUBSTITUTE(E39,"A",""),"T",""))</f>
        <v/>
      </c>
      <c r="H39" s="4">
        <f>LEN(SUBSTITUTE(SUBSTITUTE(F39,"A",""),"T",""))</f>
        <v/>
      </c>
      <c r="I39" s="6" t="inlineStr">
        <is>
          <t>A</t>
        </is>
      </c>
      <c r="J39" s="4" t="n">
        <v>-6.11</v>
      </c>
      <c r="K39" s="4" t="n">
        <v>-3.83</v>
      </c>
      <c r="L39" s="4" t="n">
        <v>-1.62</v>
      </c>
      <c r="M39" s="4" t="n">
        <v>49126</v>
      </c>
      <c r="N39" s="4" t="inlineStr"/>
      <c r="O39" s="4" t="inlineStr"/>
      <c r="P39">
        <f>MID($E39,1,1)</f>
        <v/>
      </c>
      <c r="Q39">
        <f>MID($E39,2,1)</f>
        <v/>
      </c>
      <c r="R39">
        <f>MID($E39,3,1)</f>
        <v/>
      </c>
      <c r="S39">
        <f>MID($E39,4,1)</f>
        <v/>
      </c>
      <c r="T39">
        <f>MID($E39,5,1)</f>
        <v/>
      </c>
      <c r="U39">
        <f>MID($E39,6,1)</f>
        <v/>
      </c>
      <c r="V39">
        <f>MID($E39,7,1)</f>
        <v/>
      </c>
      <c r="W39">
        <f>MID($E39,8,1)</f>
        <v/>
      </c>
      <c r="X39">
        <f>MID($E39,9,1)</f>
        <v/>
      </c>
      <c r="Y39">
        <f>MID($E39,10,1)</f>
        <v/>
      </c>
      <c r="Z39">
        <f>MID($F39,1,1)</f>
        <v/>
      </c>
      <c r="AA39">
        <f>MID($F39,2,1)</f>
        <v/>
      </c>
      <c r="AB39">
        <f>MID($F39,3,1)</f>
        <v/>
      </c>
      <c r="AC39">
        <f>MID($F39,4,1)</f>
        <v/>
      </c>
      <c r="AD39">
        <f>MID($F39,5,1)</f>
        <v/>
      </c>
      <c r="AE39">
        <f>MID($F39,6,1)</f>
        <v/>
      </c>
      <c r="AF39">
        <f>MID($F39,7,1)</f>
        <v/>
      </c>
      <c r="AG39">
        <f>MID($F39,8,1)</f>
        <v/>
      </c>
      <c r="AH39">
        <f>MID($F39,9,1)</f>
        <v/>
      </c>
      <c r="AI39">
        <f>MID($F39,10,1)</f>
        <v/>
      </c>
    </row>
    <row r="40">
      <c r="A40" s="4" t="n">
        <v>39</v>
      </c>
      <c r="B40" s="4" t="inlineStr">
        <is>
          <t>DN409</t>
        </is>
      </c>
      <c r="C40" s="4" t="inlineStr">
        <is>
          <t>DN5409</t>
        </is>
      </c>
      <c r="D40" s="4" t="inlineStr">
        <is>
          <t>DN7409</t>
        </is>
      </c>
      <c r="E40" s="5" t="inlineStr">
        <is>
          <t>TCGAACACTT</t>
        </is>
      </c>
      <c r="F40" s="5" t="inlineStr">
        <is>
          <t>TGCACAAGCG</t>
        </is>
      </c>
      <c r="G40" s="4">
        <f>LEN(SUBSTITUTE(SUBSTITUTE(E40,"A",""),"T",""))</f>
        <v/>
      </c>
      <c r="H40" s="4">
        <f>LEN(SUBSTITUTE(SUBSTITUTE(F40,"A",""),"T",""))</f>
        <v/>
      </c>
      <c r="I40" s="6" t="inlineStr">
        <is>
          <t>A</t>
        </is>
      </c>
      <c r="J40" s="4" t="n">
        <v>-6.39</v>
      </c>
      <c r="K40" s="4" t="n">
        <v>-4.18</v>
      </c>
      <c r="L40" s="4" t="n">
        <v>-1.77</v>
      </c>
      <c r="M40" s="4" t="n">
        <v>52409</v>
      </c>
      <c r="N40" s="4" t="inlineStr"/>
      <c r="O40" s="4" t="inlineStr"/>
      <c r="P40">
        <f>MID($E40,1,1)</f>
        <v/>
      </c>
      <c r="Q40">
        <f>MID($E40,2,1)</f>
        <v/>
      </c>
      <c r="R40">
        <f>MID($E40,3,1)</f>
        <v/>
      </c>
      <c r="S40">
        <f>MID($E40,4,1)</f>
        <v/>
      </c>
      <c r="T40">
        <f>MID($E40,5,1)</f>
        <v/>
      </c>
      <c r="U40">
        <f>MID($E40,6,1)</f>
        <v/>
      </c>
      <c r="V40">
        <f>MID($E40,7,1)</f>
        <v/>
      </c>
      <c r="W40">
        <f>MID($E40,8,1)</f>
        <v/>
      </c>
      <c r="X40">
        <f>MID($E40,9,1)</f>
        <v/>
      </c>
      <c r="Y40">
        <f>MID($E40,10,1)</f>
        <v/>
      </c>
      <c r="Z40">
        <f>MID($F40,1,1)</f>
        <v/>
      </c>
      <c r="AA40">
        <f>MID($F40,2,1)</f>
        <v/>
      </c>
      <c r="AB40">
        <f>MID($F40,3,1)</f>
        <v/>
      </c>
      <c r="AC40">
        <f>MID($F40,4,1)</f>
        <v/>
      </c>
      <c r="AD40">
        <f>MID($F40,5,1)</f>
        <v/>
      </c>
      <c r="AE40">
        <f>MID($F40,6,1)</f>
        <v/>
      </c>
      <c r="AF40">
        <f>MID($F40,7,1)</f>
        <v/>
      </c>
      <c r="AG40">
        <f>MID($F40,8,1)</f>
        <v/>
      </c>
      <c r="AH40">
        <f>MID($F40,9,1)</f>
        <v/>
      </c>
      <c r="AI40">
        <f>MID($F40,10,1)</f>
        <v/>
      </c>
    </row>
    <row r="41">
      <c r="A41" s="4" t="n">
        <v>40</v>
      </c>
      <c r="B41" s="4" t="inlineStr">
        <is>
          <t>DN414</t>
        </is>
      </c>
      <c r="C41" s="4" t="inlineStr">
        <is>
          <t>DN5414</t>
        </is>
      </c>
      <c r="D41" s="4" t="inlineStr">
        <is>
          <t>DN7414</t>
        </is>
      </c>
      <c r="E41" s="5" t="inlineStr">
        <is>
          <t>GAACTTACAG</t>
        </is>
      </c>
      <c r="F41" s="5" t="inlineStr">
        <is>
          <t>ACGAATCCAT</t>
        </is>
      </c>
      <c r="G41" s="4">
        <f>LEN(SUBSTITUTE(SUBSTITUTE(E41,"A",""),"T",""))</f>
        <v/>
      </c>
      <c r="H41" s="4">
        <f>LEN(SUBSTITUTE(SUBSTITUTE(F41,"A",""),"T",""))</f>
        <v/>
      </c>
      <c r="I41" s="7" t="inlineStr">
        <is>
          <t>B</t>
        </is>
      </c>
      <c r="J41" s="4" t="n">
        <v>-8.15</v>
      </c>
      <c r="K41" s="4" t="n">
        <v>-4.31</v>
      </c>
      <c r="L41" s="4" t="n">
        <v>-1.59</v>
      </c>
      <c r="M41" s="4" t="n">
        <v>133197</v>
      </c>
      <c r="N41" s="4" t="inlineStr"/>
      <c r="O41" s="4" t="inlineStr"/>
      <c r="P41">
        <f>MID($E41,1,1)</f>
        <v/>
      </c>
      <c r="Q41">
        <f>MID($E41,2,1)</f>
        <v/>
      </c>
      <c r="R41">
        <f>MID($E41,3,1)</f>
        <v/>
      </c>
      <c r="S41">
        <f>MID($E41,4,1)</f>
        <v/>
      </c>
      <c r="T41">
        <f>MID($E41,5,1)</f>
        <v/>
      </c>
      <c r="U41">
        <f>MID($E41,6,1)</f>
        <v/>
      </c>
      <c r="V41">
        <f>MID($E41,7,1)</f>
        <v/>
      </c>
      <c r="W41">
        <f>MID($E41,8,1)</f>
        <v/>
      </c>
      <c r="X41">
        <f>MID($E41,9,1)</f>
        <v/>
      </c>
      <c r="Y41">
        <f>MID($E41,10,1)</f>
        <v/>
      </c>
      <c r="Z41">
        <f>MID($F41,1,1)</f>
        <v/>
      </c>
      <c r="AA41">
        <f>MID($F41,2,1)</f>
        <v/>
      </c>
      <c r="AB41">
        <f>MID($F41,3,1)</f>
        <v/>
      </c>
      <c r="AC41">
        <f>MID($F41,4,1)</f>
        <v/>
      </c>
      <c r="AD41">
        <f>MID($F41,5,1)</f>
        <v/>
      </c>
      <c r="AE41">
        <f>MID($F41,6,1)</f>
        <v/>
      </c>
      <c r="AF41">
        <f>MID($F41,7,1)</f>
        <v/>
      </c>
      <c r="AG41">
        <f>MID($F41,8,1)</f>
        <v/>
      </c>
      <c r="AH41">
        <f>MID($F41,9,1)</f>
        <v/>
      </c>
      <c r="AI41">
        <f>MID($F41,10,1)</f>
        <v/>
      </c>
    </row>
    <row r="42">
      <c r="A42" s="4" t="n">
        <v>41</v>
      </c>
      <c r="B42" s="4" t="inlineStr">
        <is>
          <t>DN422</t>
        </is>
      </c>
      <c r="C42" s="4" t="inlineStr">
        <is>
          <t>DN5422</t>
        </is>
      </c>
      <c r="D42" s="4" t="inlineStr">
        <is>
          <t>DN7422</t>
        </is>
      </c>
      <c r="E42" s="5" t="inlineStr">
        <is>
          <t>ACACGGAGGT</t>
        </is>
      </c>
      <c r="F42" s="5" t="inlineStr">
        <is>
          <t>TCTTGATTGG</t>
        </is>
      </c>
      <c r="G42" s="4">
        <f>LEN(SUBSTITUTE(SUBSTITUTE(E42,"A",""),"T",""))</f>
        <v/>
      </c>
      <c r="H42" s="4">
        <f>LEN(SUBSTITUTE(SUBSTITUTE(F42,"A",""),"T",""))</f>
        <v/>
      </c>
      <c r="I42" s="6" t="inlineStr">
        <is>
          <t>A</t>
        </is>
      </c>
      <c r="J42" s="4" t="n">
        <v>-6.38</v>
      </c>
      <c r="K42" s="4" t="n">
        <v>-3.89</v>
      </c>
      <c r="L42" s="4" t="n">
        <v>-2.3</v>
      </c>
      <c r="M42" s="4" t="n">
        <v>42109</v>
      </c>
      <c r="N42" s="4" t="inlineStr"/>
      <c r="O42" s="4" t="inlineStr"/>
      <c r="P42">
        <f>MID($E42,1,1)</f>
        <v/>
      </c>
      <c r="Q42">
        <f>MID($E42,2,1)</f>
        <v/>
      </c>
      <c r="R42">
        <f>MID($E42,3,1)</f>
        <v/>
      </c>
      <c r="S42">
        <f>MID($E42,4,1)</f>
        <v/>
      </c>
      <c r="T42">
        <f>MID($E42,5,1)</f>
        <v/>
      </c>
      <c r="U42">
        <f>MID($E42,6,1)</f>
        <v/>
      </c>
      <c r="V42">
        <f>MID($E42,7,1)</f>
        <v/>
      </c>
      <c r="W42">
        <f>MID($E42,8,1)</f>
        <v/>
      </c>
      <c r="X42">
        <f>MID($E42,9,1)</f>
        <v/>
      </c>
      <c r="Y42">
        <f>MID($E42,10,1)</f>
        <v/>
      </c>
      <c r="Z42">
        <f>MID($F42,1,1)</f>
        <v/>
      </c>
      <c r="AA42">
        <f>MID($F42,2,1)</f>
        <v/>
      </c>
      <c r="AB42">
        <f>MID($F42,3,1)</f>
        <v/>
      </c>
      <c r="AC42">
        <f>MID($F42,4,1)</f>
        <v/>
      </c>
      <c r="AD42">
        <f>MID($F42,5,1)</f>
        <v/>
      </c>
      <c r="AE42">
        <f>MID($F42,6,1)</f>
        <v/>
      </c>
      <c r="AF42">
        <f>MID($F42,7,1)</f>
        <v/>
      </c>
      <c r="AG42">
        <f>MID($F42,8,1)</f>
        <v/>
      </c>
      <c r="AH42">
        <f>MID($F42,9,1)</f>
        <v/>
      </c>
      <c r="AI42">
        <f>MID($F42,10,1)</f>
        <v/>
      </c>
    </row>
    <row r="43">
      <c r="A43" s="4" t="n">
        <v>42</v>
      </c>
      <c r="B43" s="4" t="inlineStr">
        <is>
          <t>DN438</t>
        </is>
      </c>
      <c r="C43" s="4" t="inlineStr">
        <is>
          <t>DN5438</t>
        </is>
      </c>
      <c r="D43" s="4" t="inlineStr">
        <is>
          <t>DN7438</t>
        </is>
      </c>
      <c r="E43" s="5" t="inlineStr">
        <is>
          <t>ATGACTATGG</t>
        </is>
      </c>
      <c r="F43" s="5" t="inlineStr">
        <is>
          <t>CCTCGAAGTG</t>
        </is>
      </c>
      <c r="G43" s="4">
        <f>LEN(SUBSTITUTE(SUBSTITUTE(E43,"A",""),"T",""))</f>
        <v/>
      </c>
      <c r="H43" s="4">
        <f>LEN(SUBSTITUTE(SUBSTITUTE(F43,"A",""),"T",""))</f>
        <v/>
      </c>
      <c r="I43" s="7" t="inlineStr">
        <is>
          <t>B</t>
        </is>
      </c>
      <c r="J43" s="4" t="n">
        <v>-7.72</v>
      </c>
      <c r="K43" s="4" t="n">
        <v>-3.93</v>
      </c>
      <c r="L43" s="4" t="n">
        <v>-1.77</v>
      </c>
      <c r="M43" s="4" t="n">
        <v>109448</v>
      </c>
      <c r="N43" s="4" t="inlineStr"/>
      <c r="O43" s="4" t="inlineStr"/>
      <c r="P43">
        <f>MID($E43,1,1)</f>
        <v/>
      </c>
      <c r="Q43">
        <f>MID($E43,2,1)</f>
        <v/>
      </c>
      <c r="R43">
        <f>MID($E43,3,1)</f>
        <v/>
      </c>
      <c r="S43">
        <f>MID($E43,4,1)</f>
        <v/>
      </c>
      <c r="T43">
        <f>MID($E43,5,1)</f>
        <v/>
      </c>
      <c r="U43">
        <f>MID($E43,6,1)</f>
        <v/>
      </c>
      <c r="V43">
        <f>MID($E43,7,1)</f>
        <v/>
      </c>
      <c r="W43">
        <f>MID($E43,8,1)</f>
        <v/>
      </c>
      <c r="X43">
        <f>MID($E43,9,1)</f>
        <v/>
      </c>
      <c r="Y43">
        <f>MID($E43,10,1)</f>
        <v/>
      </c>
      <c r="Z43">
        <f>MID($F43,1,1)</f>
        <v/>
      </c>
      <c r="AA43">
        <f>MID($F43,2,1)</f>
        <v/>
      </c>
      <c r="AB43">
        <f>MID($F43,3,1)</f>
        <v/>
      </c>
      <c r="AC43">
        <f>MID($F43,4,1)</f>
        <v/>
      </c>
      <c r="AD43">
        <f>MID($F43,5,1)</f>
        <v/>
      </c>
      <c r="AE43">
        <f>MID($F43,6,1)</f>
        <v/>
      </c>
      <c r="AF43">
        <f>MID($F43,7,1)</f>
        <v/>
      </c>
      <c r="AG43">
        <f>MID($F43,8,1)</f>
        <v/>
      </c>
      <c r="AH43">
        <f>MID($F43,9,1)</f>
        <v/>
      </c>
      <c r="AI43">
        <f>MID($F43,10,1)</f>
        <v/>
      </c>
    </row>
    <row r="44">
      <c r="A44" s="4" t="n">
        <v>43</v>
      </c>
      <c r="B44" s="4" t="inlineStr">
        <is>
          <t>DN450</t>
        </is>
      </c>
      <c r="C44" s="4" t="inlineStr">
        <is>
          <t>DN5450</t>
        </is>
      </c>
      <c r="D44" s="4" t="inlineStr">
        <is>
          <t>DN7450</t>
        </is>
      </c>
      <c r="E44" s="5" t="inlineStr">
        <is>
          <t>GATTCGGATT</t>
        </is>
      </c>
      <c r="F44" s="5" t="inlineStr">
        <is>
          <t>AGGATTACTC</t>
        </is>
      </c>
      <c r="G44" s="4">
        <f>LEN(SUBSTITUTE(SUBSTITUTE(E44,"A",""),"T",""))</f>
        <v/>
      </c>
      <c r="H44" s="4">
        <f>LEN(SUBSTITUTE(SUBSTITUTE(F44,"A",""),"T",""))</f>
        <v/>
      </c>
      <c r="I44" s="6" t="inlineStr">
        <is>
          <t>A</t>
        </is>
      </c>
      <c r="J44" s="4" t="n">
        <v>-6.22</v>
      </c>
      <c r="K44" s="4" t="n">
        <v>-3.79</v>
      </c>
      <c r="L44" s="4" t="n">
        <v>-1.62</v>
      </c>
      <c r="M44" s="4" t="n">
        <v>59960</v>
      </c>
      <c r="N44" s="4" t="inlineStr"/>
      <c r="O44" s="4" t="inlineStr"/>
      <c r="P44">
        <f>MID($E44,1,1)</f>
        <v/>
      </c>
      <c r="Q44">
        <f>MID($E44,2,1)</f>
        <v/>
      </c>
      <c r="R44">
        <f>MID($E44,3,1)</f>
        <v/>
      </c>
      <c r="S44">
        <f>MID($E44,4,1)</f>
        <v/>
      </c>
      <c r="T44">
        <f>MID($E44,5,1)</f>
        <v/>
      </c>
      <c r="U44">
        <f>MID($E44,6,1)</f>
        <v/>
      </c>
      <c r="V44">
        <f>MID($E44,7,1)</f>
        <v/>
      </c>
      <c r="W44">
        <f>MID($E44,8,1)</f>
        <v/>
      </c>
      <c r="X44">
        <f>MID($E44,9,1)</f>
        <v/>
      </c>
      <c r="Y44">
        <f>MID($E44,10,1)</f>
        <v/>
      </c>
      <c r="Z44">
        <f>MID($F44,1,1)</f>
        <v/>
      </c>
      <c r="AA44">
        <f>MID($F44,2,1)</f>
        <v/>
      </c>
      <c r="AB44">
        <f>MID($F44,3,1)</f>
        <v/>
      </c>
      <c r="AC44">
        <f>MID($F44,4,1)</f>
        <v/>
      </c>
      <c r="AD44">
        <f>MID($F44,5,1)</f>
        <v/>
      </c>
      <c r="AE44">
        <f>MID($F44,6,1)</f>
        <v/>
      </c>
      <c r="AF44">
        <f>MID($F44,7,1)</f>
        <v/>
      </c>
      <c r="AG44">
        <f>MID($F44,8,1)</f>
        <v/>
      </c>
      <c r="AH44">
        <f>MID($F44,9,1)</f>
        <v/>
      </c>
      <c r="AI44">
        <f>MID($F44,10,1)</f>
        <v/>
      </c>
    </row>
    <row r="45">
      <c r="A45" s="4" t="n">
        <v>44</v>
      </c>
      <c r="B45" s="4" t="inlineStr">
        <is>
          <t>DN452</t>
        </is>
      </c>
      <c r="C45" s="4" t="inlineStr">
        <is>
          <t>DN5452</t>
        </is>
      </c>
      <c r="D45" s="4" t="inlineStr">
        <is>
          <t>DN7452</t>
        </is>
      </c>
      <c r="E45" s="5" t="inlineStr">
        <is>
          <t>AAGTCGGAGG</t>
        </is>
      </c>
      <c r="F45" s="5" t="inlineStr">
        <is>
          <t>TATCTAGAGG</t>
        </is>
      </c>
      <c r="G45" s="4">
        <f>LEN(SUBSTITUTE(SUBSTITUTE(E45,"A",""),"T",""))</f>
        <v/>
      </c>
      <c r="H45" s="4">
        <f>LEN(SUBSTITUTE(SUBSTITUTE(F45,"A",""),"T",""))</f>
        <v/>
      </c>
      <c r="I45" s="7" t="inlineStr">
        <is>
          <t>B</t>
        </is>
      </c>
      <c r="J45" s="4" t="n">
        <v>-7.34</v>
      </c>
      <c r="K45" s="4" t="n">
        <v>-4.16</v>
      </c>
      <c r="L45" s="4" t="n">
        <v>-2.35</v>
      </c>
      <c r="M45" s="4" t="n">
        <v>85153</v>
      </c>
      <c r="N45" s="4" t="inlineStr"/>
      <c r="O45" s="4" t="inlineStr"/>
      <c r="P45">
        <f>MID($E45,1,1)</f>
        <v/>
      </c>
      <c r="Q45">
        <f>MID($E45,2,1)</f>
        <v/>
      </c>
      <c r="R45">
        <f>MID($E45,3,1)</f>
        <v/>
      </c>
      <c r="S45">
        <f>MID($E45,4,1)</f>
        <v/>
      </c>
      <c r="T45">
        <f>MID($E45,5,1)</f>
        <v/>
      </c>
      <c r="U45">
        <f>MID($E45,6,1)</f>
        <v/>
      </c>
      <c r="V45">
        <f>MID($E45,7,1)</f>
        <v/>
      </c>
      <c r="W45">
        <f>MID($E45,8,1)</f>
        <v/>
      </c>
      <c r="X45">
        <f>MID($E45,9,1)</f>
        <v/>
      </c>
      <c r="Y45">
        <f>MID($E45,10,1)</f>
        <v/>
      </c>
      <c r="Z45">
        <f>MID($F45,1,1)</f>
        <v/>
      </c>
      <c r="AA45">
        <f>MID($F45,2,1)</f>
        <v/>
      </c>
      <c r="AB45">
        <f>MID($F45,3,1)</f>
        <v/>
      </c>
      <c r="AC45">
        <f>MID($F45,4,1)</f>
        <v/>
      </c>
      <c r="AD45">
        <f>MID($F45,5,1)</f>
        <v/>
      </c>
      <c r="AE45">
        <f>MID($F45,6,1)</f>
        <v/>
      </c>
      <c r="AF45">
        <f>MID($F45,7,1)</f>
        <v/>
      </c>
      <c r="AG45">
        <f>MID($F45,8,1)</f>
        <v/>
      </c>
      <c r="AH45">
        <f>MID($F45,9,1)</f>
        <v/>
      </c>
      <c r="AI45">
        <f>MID($F45,10,1)</f>
        <v/>
      </c>
    </row>
    <row r="46">
      <c r="A46" s="4" t="n">
        <v>45</v>
      </c>
      <c r="B46" s="4" t="inlineStr">
        <is>
          <t>DN454</t>
        </is>
      </c>
      <c r="C46" s="4" t="inlineStr">
        <is>
          <t>DN5454</t>
        </is>
      </c>
      <c r="D46" s="4" t="inlineStr">
        <is>
          <t>DN7454</t>
        </is>
      </c>
      <c r="E46" s="5" t="inlineStr">
        <is>
          <t>CACCTTGTCC</t>
        </is>
      </c>
      <c r="F46" s="5" t="inlineStr">
        <is>
          <t>ACATTCTAGC</t>
        </is>
      </c>
      <c r="G46" s="4">
        <f>LEN(SUBSTITUTE(SUBSTITUTE(E46,"A",""),"T",""))</f>
        <v/>
      </c>
      <c r="H46" s="4">
        <f>LEN(SUBSTITUTE(SUBSTITUTE(F46,"A",""),"T",""))</f>
        <v/>
      </c>
      <c r="I46" s="7" t="inlineStr">
        <is>
          <t>B</t>
        </is>
      </c>
      <c r="J46" s="4" t="n">
        <v>-6.03</v>
      </c>
      <c r="K46" s="4" t="n">
        <v>-4.54</v>
      </c>
      <c r="L46" s="4" t="n">
        <v>-1.62</v>
      </c>
      <c r="M46" s="4" t="n">
        <v>81693</v>
      </c>
      <c r="N46" s="4" t="inlineStr"/>
      <c r="O46" s="4" t="inlineStr"/>
      <c r="P46">
        <f>MID($E46,1,1)</f>
        <v/>
      </c>
      <c r="Q46">
        <f>MID($E46,2,1)</f>
        <v/>
      </c>
      <c r="R46">
        <f>MID($E46,3,1)</f>
        <v/>
      </c>
      <c r="S46">
        <f>MID($E46,4,1)</f>
        <v/>
      </c>
      <c r="T46">
        <f>MID($E46,5,1)</f>
        <v/>
      </c>
      <c r="U46">
        <f>MID($E46,6,1)</f>
        <v/>
      </c>
      <c r="V46">
        <f>MID($E46,7,1)</f>
        <v/>
      </c>
      <c r="W46">
        <f>MID($E46,8,1)</f>
        <v/>
      </c>
      <c r="X46">
        <f>MID($E46,9,1)</f>
        <v/>
      </c>
      <c r="Y46">
        <f>MID($E46,10,1)</f>
        <v/>
      </c>
      <c r="Z46">
        <f>MID($F46,1,1)</f>
        <v/>
      </c>
      <c r="AA46">
        <f>MID($F46,2,1)</f>
        <v/>
      </c>
      <c r="AB46">
        <f>MID($F46,3,1)</f>
        <v/>
      </c>
      <c r="AC46">
        <f>MID($F46,4,1)</f>
        <v/>
      </c>
      <c r="AD46">
        <f>MID($F46,5,1)</f>
        <v/>
      </c>
      <c r="AE46">
        <f>MID($F46,6,1)</f>
        <v/>
      </c>
      <c r="AF46">
        <f>MID($F46,7,1)</f>
        <v/>
      </c>
      <c r="AG46">
        <f>MID($F46,8,1)</f>
        <v/>
      </c>
      <c r="AH46">
        <f>MID($F46,9,1)</f>
        <v/>
      </c>
      <c r="AI46">
        <f>MID($F46,10,1)</f>
        <v/>
      </c>
    </row>
    <row r="47">
      <c r="A47" s="4" t="n">
        <v>46</v>
      </c>
      <c r="B47" s="4" t="inlineStr">
        <is>
          <t>DN471</t>
        </is>
      </c>
      <c r="C47" s="4" t="inlineStr">
        <is>
          <t>DN5471</t>
        </is>
      </c>
      <c r="D47" s="4" t="inlineStr">
        <is>
          <t>DN7471</t>
        </is>
      </c>
      <c r="E47" s="5" t="inlineStr">
        <is>
          <t>GAACGCAACC</t>
        </is>
      </c>
      <c r="F47" s="5" t="inlineStr">
        <is>
          <t>TCGTCCATCC</t>
        </is>
      </c>
      <c r="G47" s="4">
        <f>LEN(SUBSTITUTE(SUBSTITUTE(E47,"A",""),"T",""))</f>
        <v/>
      </c>
      <c r="H47" s="4">
        <f>LEN(SUBSTITUTE(SUBSTITUTE(F47,"A",""),"T",""))</f>
        <v/>
      </c>
      <c r="I47" s="7" t="inlineStr">
        <is>
          <t>B</t>
        </is>
      </c>
      <c r="J47" s="4" t="n">
        <v>-5.74</v>
      </c>
      <c r="K47" s="4" t="n">
        <v>-4.54</v>
      </c>
      <c r="L47" s="4" t="n">
        <v>-1.62</v>
      </c>
      <c r="M47" s="4" t="n">
        <v>47469</v>
      </c>
      <c r="N47" s="4" t="inlineStr"/>
      <c r="O47" s="4" t="inlineStr"/>
      <c r="P47">
        <f>MID($E47,1,1)</f>
        <v/>
      </c>
      <c r="Q47">
        <f>MID($E47,2,1)</f>
        <v/>
      </c>
      <c r="R47">
        <f>MID($E47,3,1)</f>
        <v/>
      </c>
      <c r="S47">
        <f>MID($E47,4,1)</f>
        <v/>
      </c>
      <c r="T47">
        <f>MID($E47,5,1)</f>
        <v/>
      </c>
      <c r="U47">
        <f>MID($E47,6,1)</f>
        <v/>
      </c>
      <c r="V47">
        <f>MID($E47,7,1)</f>
        <v/>
      </c>
      <c r="W47">
        <f>MID($E47,8,1)</f>
        <v/>
      </c>
      <c r="X47">
        <f>MID($E47,9,1)</f>
        <v/>
      </c>
      <c r="Y47">
        <f>MID($E47,10,1)</f>
        <v/>
      </c>
      <c r="Z47">
        <f>MID($F47,1,1)</f>
        <v/>
      </c>
      <c r="AA47">
        <f>MID($F47,2,1)</f>
        <v/>
      </c>
      <c r="AB47">
        <f>MID($F47,3,1)</f>
        <v/>
      </c>
      <c r="AC47">
        <f>MID($F47,4,1)</f>
        <v/>
      </c>
      <c r="AD47">
        <f>MID($F47,5,1)</f>
        <v/>
      </c>
      <c r="AE47">
        <f>MID($F47,6,1)</f>
        <v/>
      </c>
      <c r="AF47">
        <f>MID($F47,7,1)</f>
        <v/>
      </c>
      <c r="AG47">
        <f>MID($F47,8,1)</f>
        <v/>
      </c>
      <c r="AH47">
        <f>MID($F47,9,1)</f>
        <v/>
      </c>
      <c r="AI47">
        <f>MID($F47,10,1)</f>
        <v/>
      </c>
    </row>
    <row r="48">
      <c r="A48" s="4" t="n">
        <v>47</v>
      </c>
      <c r="B48" s="4" t="inlineStr">
        <is>
          <t>DN472</t>
        </is>
      </c>
      <c r="C48" s="4" t="inlineStr">
        <is>
          <t>DN5472</t>
        </is>
      </c>
      <c r="D48" s="4" t="inlineStr">
        <is>
          <t>DN7472</t>
        </is>
      </c>
      <c r="E48" s="5" t="inlineStr">
        <is>
          <t>TGTGATAGGT</t>
        </is>
      </c>
      <c r="F48" s="5" t="inlineStr">
        <is>
          <t>TTGTCGTGTA</t>
        </is>
      </c>
      <c r="G48" s="4">
        <f>LEN(SUBSTITUTE(SUBSTITUTE(E48,"A",""),"T",""))</f>
        <v/>
      </c>
      <c r="H48" s="4">
        <f>LEN(SUBSTITUTE(SUBSTITUTE(F48,"A",""),"T",""))</f>
        <v/>
      </c>
      <c r="I48" s="6" t="inlineStr">
        <is>
          <t>A</t>
        </is>
      </c>
      <c r="J48" s="4" t="n">
        <v>-6.36</v>
      </c>
      <c r="K48" s="4" t="n">
        <v>-4.32</v>
      </c>
      <c r="L48" s="4" t="n">
        <v>-2.61</v>
      </c>
      <c r="M48" s="4" t="n">
        <v>69196</v>
      </c>
      <c r="N48" s="4" t="inlineStr"/>
      <c r="O48" s="4" t="inlineStr"/>
      <c r="P48">
        <f>MID($E48,1,1)</f>
        <v/>
      </c>
      <c r="Q48">
        <f>MID($E48,2,1)</f>
        <v/>
      </c>
      <c r="R48">
        <f>MID($E48,3,1)</f>
        <v/>
      </c>
      <c r="S48">
        <f>MID($E48,4,1)</f>
        <v/>
      </c>
      <c r="T48">
        <f>MID($E48,5,1)</f>
        <v/>
      </c>
      <c r="U48">
        <f>MID($E48,6,1)</f>
        <v/>
      </c>
      <c r="V48">
        <f>MID($E48,7,1)</f>
        <v/>
      </c>
      <c r="W48">
        <f>MID($E48,8,1)</f>
        <v/>
      </c>
      <c r="X48">
        <f>MID($E48,9,1)</f>
        <v/>
      </c>
      <c r="Y48">
        <f>MID($E48,10,1)</f>
        <v/>
      </c>
      <c r="Z48">
        <f>MID($F48,1,1)</f>
        <v/>
      </c>
      <c r="AA48">
        <f>MID($F48,2,1)</f>
        <v/>
      </c>
      <c r="AB48">
        <f>MID($F48,3,1)</f>
        <v/>
      </c>
      <c r="AC48">
        <f>MID($F48,4,1)</f>
        <v/>
      </c>
      <c r="AD48">
        <f>MID($F48,5,1)</f>
        <v/>
      </c>
      <c r="AE48">
        <f>MID($F48,6,1)</f>
        <v/>
      </c>
      <c r="AF48">
        <f>MID($F48,7,1)</f>
        <v/>
      </c>
      <c r="AG48">
        <f>MID($F48,8,1)</f>
        <v/>
      </c>
      <c r="AH48">
        <f>MID($F48,9,1)</f>
        <v/>
      </c>
      <c r="AI48">
        <f>MID($F48,10,1)</f>
        <v/>
      </c>
    </row>
    <row r="49">
      <c r="A49" s="4" t="n">
        <v>48</v>
      </c>
      <c r="B49" s="4" t="inlineStr">
        <is>
          <t>DN477</t>
        </is>
      </c>
      <c r="C49" s="4" t="inlineStr">
        <is>
          <t>DN5477</t>
        </is>
      </c>
      <c r="D49" s="4" t="inlineStr">
        <is>
          <t>DN7477</t>
        </is>
      </c>
      <c r="E49" s="5" t="inlineStr">
        <is>
          <t>AGTCAGCCTT</t>
        </is>
      </c>
      <c r="F49" s="5" t="inlineStr">
        <is>
          <t>CTTACTGGAC</t>
        </is>
      </c>
      <c r="G49" s="4">
        <f>LEN(SUBSTITUTE(SUBSTITUTE(E49,"A",""),"T",""))</f>
        <v/>
      </c>
      <c r="H49" s="4">
        <f>LEN(SUBSTITUTE(SUBSTITUTE(F49,"A",""),"T",""))</f>
        <v/>
      </c>
      <c r="I49" s="6" t="inlineStr">
        <is>
          <t>A</t>
        </is>
      </c>
      <c r="J49" s="4" t="n">
        <v>-5.74</v>
      </c>
      <c r="K49" s="4" t="n">
        <v>-3.79</v>
      </c>
      <c r="L49" s="4" t="n">
        <v>-1.62</v>
      </c>
      <c r="M49" s="4" t="n">
        <v>58722</v>
      </c>
      <c r="N49" s="4" t="inlineStr"/>
      <c r="O49" s="4" t="inlineStr"/>
      <c r="P49">
        <f>MID($E49,1,1)</f>
        <v/>
      </c>
      <c r="Q49">
        <f>MID($E49,2,1)</f>
        <v/>
      </c>
      <c r="R49">
        <f>MID($E49,3,1)</f>
        <v/>
      </c>
      <c r="S49">
        <f>MID($E49,4,1)</f>
        <v/>
      </c>
      <c r="T49">
        <f>MID($E49,5,1)</f>
        <v/>
      </c>
      <c r="U49">
        <f>MID($E49,6,1)</f>
        <v/>
      </c>
      <c r="V49">
        <f>MID($E49,7,1)</f>
        <v/>
      </c>
      <c r="W49">
        <f>MID($E49,8,1)</f>
        <v/>
      </c>
      <c r="X49">
        <f>MID($E49,9,1)</f>
        <v/>
      </c>
      <c r="Y49">
        <f>MID($E49,10,1)</f>
        <v/>
      </c>
      <c r="Z49">
        <f>MID($F49,1,1)</f>
        <v/>
      </c>
      <c r="AA49">
        <f>MID($F49,2,1)</f>
        <v/>
      </c>
      <c r="AB49">
        <f>MID($F49,3,1)</f>
        <v/>
      </c>
      <c r="AC49">
        <f>MID($F49,4,1)</f>
        <v/>
      </c>
      <c r="AD49">
        <f>MID($F49,5,1)</f>
        <v/>
      </c>
      <c r="AE49">
        <f>MID($F49,6,1)</f>
        <v/>
      </c>
      <c r="AF49">
        <f>MID($F49,7,1)</f>
        <v/>
      </c>
      <c r="AG49">
        <f>MID($F49,8,1)</f>
        <v/>
      </c>
      <c r="AH49">
        <f>MID($F49,9,1)</f>
        <v/>
      </c>
      <c r="AI49">
        <f>MID($F49,10,1)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序列</t>
        </is>
      </c>
      <c r="B1" s="8" t="inlineStr">
        <is>
          <t>周期</t>
        </is>
      </c>
      <c r="C1" s="8" t="inlineStr">
        <is>
          <t>A</t>
        </is>
      </c>
      <c r="D1" s="8" t="inlineStr">
        <is>
          <t>C</t>
        </is>
      </c>
      <c r="E1" s="8" t="inlineStr">
        <is>
          <t>G</t>
        </is>
      </c>
      <c r="F1" s="8" t="inlineStr">
        <is>
          <t>T</t>
        </is>
      </c>
      <c r="G1" s="8" t="inlineStr">
        <is>
          <t>GC%</t>
        </is>
      </c>
      <c r="H1" s="8" t="inlineStr">
        <is>
          <t>A+C%</t>
        </is>
      </c>
      <c r="I1" s="8" t="inlineStr">
        <is>
          <t>A+T%</t>
        </is>
      </c>
      <c r="J1" s="8" t="inlineStr">
        <is>
          <t>是否达标</t>
        </is>
      </c>
    </row>
    <row r="2">
      <c r="A2" s="9" t="inlineStr">
        <is>
          <t>i5</t>
        </is>
      </c>
      <c r="B2" s="9" t="n">
        <v>1</v>
      </c>
      <c r="C2" s="9">
        <f>COUNTIF('48组'!$P$2:$P$49,"A")</f>
        <v/>
      </c>
      <c r="D2" s="9">
        <f>COUNTIF('48组'!$P$2:$P$49,"C")</f>
        <v/>
      </c>
      <c r="E2" s="9">
        <f>COUNTIF('48组'!$P$2:$P$49,"G")</f>
        <v/>
      </c>
      <c r="F2" s="9">
        <f>COUNTIF('48组'!$P$2:$P$49,"T")</f>
        <v/>
      </c>
      <c r="G2" s="10">
        <f>(D2+E2)/48</f>
        <v/>
      </c>
      <c r="H2" s="10">
        <f>(C2+D2)/48</f>
        <v/>
      </c>
      <c r="I2" s="10">
        <f>(C2+F2)/48</f>
        <v/>
      </c>
      <c r="J2" s="9">
        <f>IF(AND(G2&gt;=0.4,G2&lt;=0.6,H2&gt;=0.4,H2&lt;=0.6,I2&gt;=0.4,I2&lt;=0.6,MIN(C2:F2)&gt;=7.2),"是","否")</f>
        <v/>
      </c>
    </row>
    <row r="3">
      <c r="A3" s="9" t="inlineStr">
        <is>
          <t>i5</t>
        </is>
      </c>
      <c r="B3" s="9" t="n">
        <v>2</v>
      </c>
      <c r="C3" s="9">
        <f>COUNTIF('48组'!$Q$2:$Q$49,"A")</f>
        <v/>
      </c>
      <c r="D3" s="9">
        <f>COUNTIF('48组'!$Q$2:$Q$49,"C")</f>
        <v/>
      </c>
      <c r="E3" s="9">
        <f>COUNTIF('48组'!$Q$2:$Q$49,"G")</f>
        <v/>
      </c>
      <c r="F3" s="9">
        <f>COUNTIF('48组'!$Q$2:$Q$49,"T")</f>
        <v/>
      </c>
      <c r="G3" s="10">
        <f>(D3+E3)/48</f>
        <v/>
      </c>
      <c r="H3" s="10">
        <f>(C3+D3)/48</f>
        <v/>
      </c>
      <c r="I3" s="10">
        <f>(C3+F3)/48</f>
        <v/>
      </c>
      <c r="J3" s="9">
        <f>IF(AND(G3&gt;=0.4,G3&lt;=0.6,H3&gt;=0.4,H3&lt;=0.6,I3&gt;=0.4,I3&lt;=0.6,MIN(C3:F3)&gt;=7.2),"是","否")</f>
        <v/>
      </c>
    </row>
    <row r="4">
      <c r="A4" s="9" t="inlineStr">
        <is>
          <t>i5</t>
        </is>
      </c>
      <c r="B4" s="9" t="n">
        <v>3</v>
      </c>
      <c r="C4" s="9">
        <f>COUNTIF('48组'!$R$2:$R$49,"A")</f>
        <v/>
      </c>
      <c r="D4" s="9">
        <f>COUNTIF('48组'!$R$2:$R$49,"C")</f>
        <v/>
      </c>
      <c r="E4" s="9">
        <f>COUNTIF('48组'!$R$2:$R$49,"G")</f>
        <v/>
      </c>
      <c r="F4" s="9">
        <f>COUNTIF('48组'!$R$2:$R$49,"T")</f>
        <v/>
      </c>
      <c r="G4" s="10">
        <f>(D4+E4)/48</f>
        <v/>
      </c>
      <c r="H4" s="10">
        <f>(C4+D4)/48</f>
        <v/>
      </c>
      <c r="I4" s="10">
        <f>(C4+F4)/48</f>
        <v/>
      </c>
      <c r="J4" s="9">
        <f>IF(AND(G4&gt;=0.4,G4&lt;=0.6,H4&gt;=0.4,H4&lt;=0.6,I4&gt;=0.4,I4&lt;=0.6,MIN(C4:F4)&gt;=7.2),"是","否")</f>
        <v/>
      </c>
    </row>
    <row r="5">
      <c r="A5" s="9" t="inlineStr">
        <is>
          <t>i5</t>
        </is>
      </c>
      <c r="B5" s="9" t="n">
        <v>4</v>
      </c>
      <c r="C5" s="9">
        <f>COUNTIF('48组'!$S$2:$S$49,"A")</f>
        <v/>
      </c>
      <c r="D5" s="9">
        <f>COUNTIF('48组'!$S$2:$S$49,"C")</f>
        <v/>
      </c>
      <c r="E5" s="9">
        <f>COUNTIF('48组'!$S$2:$S$49,"G")</f>
        <v/>
      </c>
      <c r="F5" s="9">
        <f>COUNTIF('48组'!$S$2:$S$49,"T")</f>
        <v/>
      </c>
      <c r="G5" s="10">
        <f>(D5+E5)/48</f>
        <v/>
      </c>
      <c r="H5" s="10">
        <f>(C5+D5)/48</f>
        <v/>
      </c>
      <c r="I5" s="10">
        <f>(C5+F5)/48</f>
        <v/>
      </c>
      <c r="J5" s="9">
        <f>IF(AND(G5&gt;=0.4,G5&lt;=0.6,H5&gt;=0.4,H5&lt;=0.6,I5&gt;=0.4,I5&lt;=0.6,MIN(C5:F5)&gt;=7.2),"是","否")</f>
        <v/>
      </c>
    </row>
    <row r="6">
      <c r="A6" s="9" t="inlineStr">
        <is>
          <t>i5</t>
        </is>
      </c>
      <c r="B6" s="9" t="n">
        <v>5</v>
      </c>
      <c r="C6" s="9">
        <f>COUNTIF('48组'!$T$2:$T$49,"A")</f>
        <v/>
      </c>
      <c r="D6" s="9">
        <f>COUNTIF('48组'!$T$2:$T$49,"C")</f>
        <v/>
      </c>
      <c r="E6" s="9">
        <f>COUNTIF('48组'!$T$2:$T$49,"G")</f>
        <v/>
      </c>
      <c r="F6" s="9">
        <f>COUNTIF('48组'!$T$2:$T$49,"T")</f>
        <v/>
      </c>
      <c r="G6" s="10">
        <f>(D6+E6)/48</f>
        <v/>
      </c>
      <c r="H6" s="10">
        <f>(C6+D6)/48</f>
        <v/>
      </c>
      <c r="I6" s="10">
        <f>(C6+F6)/48</f>
        <v/>
      </c>
      <c r="J6" s="9">
        <f>IF(AND(G6&gt;=0.4,G6&lt;=0.6,H6&gt;=0.4,H6&lt;=0.6,I6&gt;=0.4,I6&lt;=0.6,MIN(C6:F6)&gt;=7.2),"是","否")</f>
        <v/>
      </c>
    </row>
    <row r="7">
      <c r="A7" s="9" t="inlineStr">
        <is>
          <t>i5</t>
        </is>
      </c>
      <c r="B7" s="9" t="n">
        <v>6</v>
      </c>
      <c r="C7" s="9">
        <f>COUNTIF('48组'!$U$2:$U$49,"A")</f>
        <v/>
      </c>
      <c r="D7" s="9">
        <f>COUNTIF('48组'!$U$2:$U$49,"C")</f>
        <v/>
      </c>
      <c r="E7" s="9">
        <f>COUNTIF('48组'!$U$2:$U$49,"G")</f>
        <v/>
      </c>
      <c r="F7" s="9">
        <f>COUNTIF('48组'!$U$2:$U$49,"T")</f>
        <v/>
      </c>
      <c r="G7" s="10">
        <f>(D7+E7)/48</f>
        <v/>
      </c>
      <c r="H7" s="10">
        <f>(C7+D7)/48</f>
        <v/>
      </c>
      <c r="I7" s="10">
        <f>(C7+F7)/48</f>
        <v/>
      </c>
      <c r="J7" s="9">
        <f>IF(AND(G7&gt;=0.4,G7&lt;=0.6,H7&gt;=0.4,H7&lt;=0.6,I7&gt;=0.4,I7&lt;=0.6,MIN(C7:F7)&gt;=7.2),"是","否")</f>
        <v/>
      </c>
    </row>
    <row r="8">
      <c r="A8" s="9" t="inlineStr">
        <is>
          <t>i5</t>
        </is>
      </c>
      <c r="B8" s="9" t="n">
        <v>7</v>
      </c>
      <c r="C8" s="9">
        <f>COUNTIF('48组'!$V$2:$V$49,"A")</f>
        <v/>
      </c>
      <c r="D8" s="9">
        <f>COUNTIF('48组'!$V$2:$V$49,"C")</f>
        <v/>
      </c>
      <c r="E8" s="9">
        <f>COUNTIF('48组'!$V$2:$V$49,"G")</f>
        <v/>
      </c>
      <c r="F8" s="9">
        <f>COUNTIF('48组'!$V$2:$V$49,"T")</f>
        <v/>
      </c>
      <c r="G8" s="10">
        <f>(D8+E8)/48</f>
        <v/>
      </c>
      <c r="H8" s="10">
        <f>(C8+D8)/48</f>
        <v/>
      </c>
      <c r="I8" s="10">
        <f>(C8+F8)/48</f>
        <v/>
      </c>
      <c r="J8" s="9">
        <f>IF(AND(G8&gt;=0.4,G8&lt;=0.6,H8&gt;=0.4,H8&lt;=0.6,I8&gt;=0.4,I8&lt;=0.6,MIN(C8:F8)&gt;=7.2),"是","否")</f>
        <v/>
      </c>
    </row>
    <row r="9">
      <c r="A9" s="9" t="inlineStr">
        <is>
          <t>i5</t>
        </is>
      </c>
      <c r="B9" s="9" t="n">
        <v>8</v>
      </c>
      <c r="C9" s="9">
        <f>COUNTIF('48组'!$W$2:$W$49,"A")</f>
        <v/>
      </c>
      <c r="D9" s="9">
        <f>COUNTIF('48组'!$W$2:$W$49,"C")</f>
        <v/>
      </c>
      <c r="E9" s="9">
        <f>COUNTIF('48组'!$W$2:$W$49,"G")</f>
        <v/>
      </c>
      <c r="F9" s="9">
        <f>COUNTIF('48组'!$W$2:$W$49,"T")</f>
        <v/>
      </c>
      <c r="G9" s="10">
        <f>(D9+E9)/48</f>
        <v/>
      </c>
      <c r="H9" s="10">
        <f>(C9+D9)/48</f>
        <v/>
      </c>
      <c r="I9" s="10">
        <f>(C9+F9)/48</f>
        <v/>
      </c>
      <c r="J9" s="9">
        <f>IF(AND(G9&gt;=0.4,G9&lt;=0.6,H9&gt;=0.4,H9&lt;=0.6,I9&gt;=0.4,I9&lt;=0.6,MIN(C9:F9)&gt;=7.2),"是","否")</f>
        <v/>
      </c>
    </row>
    <row r="10">
      <c r="A10" s="9" t="inlineStr">
        <is>
          <t>i5</t>
        </is>
      </c>
      <c r="B10" s="9" t="n">
        <v>9</v>
      </c>
      <c r="C10" s="9">
        <f>COUNTIF('48组'!$X$2:$X$49,"A")</f>
        <v/>
      </c>
      <c r="D10" s="9">
        <f>COUNTIF('48组'!$X$2:$X$49,"C")</f>
        <v/>
      </c>
      <c r="E10" s="9">
        <f>COUNTIF('48组'!$X$2:$X$49,"G")</f>
        <v/>
      </c>
      <c r="F10" s="9">
        <f>COUNTIF('48组'!$X$2:$X$49,"T")</f>
        <v/>
      </c>
      <c r="G10" s="10">
        <f>(D10+E10)/48</f>
        <v/>
      </c>
      <c r="H10" s="10">
        <f>(C10+D10)/48</f>
        <v/>
      </c>
      <c r="I10" s="10">
        <f>(C10+F10)/48</f>
        <v/>
      </c>
      <c r="J10" s="9">
        <f>IF(AND(G10&gt;=0.4,G10&lt;=0.6,H10&gt;=0.4,H10&lt;=0.6,I10&gt;=0.4,I10&lt;=0.6,MIN(C10:F10)&gt;=7.2),"是","否")</f>
        <v/>
      </c>
    </row>
    <row r="11">
      <c r="A11" s="9" t="inlineStr">
        <is>
          <t>i5</t>
        </is>
      </c>
      <c r="B11" s="9" t="n">
        <v>10</v>
      </c>
      <c r="C11" s="9">
        <f>COUNTIF('48组'!$Y$2:$Y$49,"A")</f>
        <v/>
      </c>
      <c r="D11" s="9">
        <f>COUNTIF('48组'!$Y$2:$Y$49,"C")</f>
        <v/>
      </c>
      <c r="E11" s="9">
        <f>COUNTIF('48组'!$Y$2:$Y$49,"G")</f>
        <v/>
      </c>
      <c r="F11" s="9">
        <f>COUNTIF('48组'!$Y$2:$Y$49,"T")</f>
        <v/>
      </c>
      <c r="G11" s="10">
        <f>(D11+E11)/48</f>
        <v/>
      </c>
      <c r="H11" s="10">
        <f>(C11+D11)/48</f>
        <v/>
      </c>
      <c r="I11" s="10">
        <f>(C11+F11)/48</f>
        <v/>
      </c>
      <c r="J11" s="9">
        <f>IF(AND(G11&gt;=0.4,G11&lt;=0.6,H11&gt;=0.4,H11&lt;=0.6,I11&gt;=0.4,I11&lt;=0.6,MIN(C11:F11)&gt;=7.2),"是","否")</f>
        <v/>
      </c>
    </row>
    <row r="12">
      <c r="A12" s="9" t="inlineStr">
        <is>
          <t>i7</t>
        </is>
      </c>
      <c r="B12" s="9" t="n">
        <v>1</v>
      </c>
      <c r="C12" s="9">
        <f>COUNTIF('48组'!$Z$2:$Z$49,"A")</f>
        <v/>
      </c>
      <c r="D12" s="9">
        <f>COUNTIF('48组'!$Z$2:$Z$49,"C")</f>
        <v/>
      </c>
      <c r="E12" s="9">
        <f>COUNTIF('48组'!$Z$2:$Z$49,"G")</f>
        <v/>
      </c>
      <c r="F12" s="9">
        <f>COUNTIF('48组'!$Z$2:$Z$49,"T")</f>
        <v/>
      </c>
      <c r="G12" s="10">
        <f>(D12+E12)/48</f>
        <v/>
      </c>
      <c r="H12" s="10">
        <f>(C12+D12)/48</f>
        <v/>
      </c>
      <c r="I12" s="10">
        <f>(C12+F12)/48</f>
        <v/>
      </c>
      <c r="J12" s="9">
        <f>IF(AND(G12&gt;=0.4,G12&lt;=0.6,H12&gt;=0.4,H12&lt;=0.6,I12&gt;=0.4,I12&lt;=0.6,MIN(C12:F12)&gt;=7.2),"是","否")</f>
        <v/>
      </c>
    </row>
    <row r="13">
      <c r="A13" s="9" t="inlineStr">
        <is>
          <t>i7</t>
        </is>
      </c>
      <c r="B13" s="9" t="n">
        <v>2</v>
      </c>
      <c r="C13" s="9">
        <f>COUNTIF('48组'!$AA$2:$AA$49,"A")</f>
        <v/>
      </c>
      <c r="D13" s="9">
        <f>COUNTIF('48组'!$AA$2:$AA$49,"C")</f>
        <v/>
      </c>
      <c r="E13" s="9">
        <f>COUNTIF('48组'!$AA$2:$AA$49,"G")</f>
        <v/>
      </c>
      <c r="F13" s="9">
        <f>COUNTIF('48组'!$AA$2:$AA$49,"T")</f>
        <v/>
      </c>
      <c r="G13" s="10">
        <f>(D13+E13)/48</f>
        <v/>
      </c>
      <c r="H13" s="10">
        <f>(C13+D13)/48</f>
        <v/>
      </c>
      <c r="I13" s="10">
        <f>(C13+F13)/48</f>
        <v/>
      </c>
      <c r="J13" s="9">
        <f>IF(AND(G13&gt;=0.4,G13&lt;=0.6,H13&gt;=0.4,H13&lt;=0.6,I13&gt;=0.4,I13&lt;=0.6,MIN(C13:F13)&gt;=7.2),"是","否")</f>
        <v/>
      </c>
    </row>
    <row r="14">
      <c r="A14" s="9" t="inlineStr">
        <is>
          <t>i7</t>
        </is>
      </c>
      <c r="B14" s="9" t="n">
        <v>3</v>
      </c>
      <c r="C14" s="9">
        <f>COUNTIF('48组'!$AB$2:$AB$49,"A")</f>
        <v/>
      </c>
      <c r="D14" s="9">
        <f>COUNTIF('48组'!$AB$2:$AB$49,"C")</f>
        <v/>
      </c>
      <c r="E14" s="9">
        <f>COUNTIF('48组'!$AB$2:$AB$49,"G")</f>
        <v/>
      </c>
      <c r="F14" s="9">
        <f>COUNTIF('48组'!$AB$2:$AB$49,"T")</f>
        <v/>
      </c>
      <c r="G14" s="10">
        <f>(D14+E14)/48</f>
        <v/>
      </c>
      <c r="H14" s="10">
        <f>(C14+D14)/48</f>
        <v/>
      </c>
      <c r="I14" s="10">
        <f>(C14+F14)/48</f>
        <v/>
      </c>
      <c r="J14" s="9">
        <f>IF(AND(G14&gt;=0.4,G14&lt;=0.6,H14&gt;=0.4,H14&lt;=0.6,I14&gt;=0.4,I14&lt;=0.6,MIN(C14:F14)&gt;=7.2),"是","否")</f>
        <v/>
      </c>
    </row>
    <row r="15">
      <c r="A15" s="9" t="inlineStr">
        <is>
          <t>i7</t>
        </is>
      </c>
      <c r="B15" s="9" t="n">
        <v>4</v>
      </c>
      <c r="C15" s="9">
        <f>COUNTIF('48组'!$AC$2:$AC$49,"A")</f>
        <v/>
      </c>
      <c r="D15" s="9">
        <f>COUNTIF('48组'!$AC$2:$AC$49,"C")</f>
        <v/>
      </c>
      <c r="E15" s="9">
        <f>COUNTIF('48组'!$AC$2:$AC$49,"G")</f>
        <v/>
      </c>
      <c r="F15" s="9">
        <f>COUNTIF('48组'!$AC$2:$AC$49,"T")</f>
        <v/>
      </c>
      <c r="G15" s="10">
        <f>(D15+E15)/48</f>
        <v/>
      </c>
      <c r="H15" s="10">
        <f>(C15+D15)/48</f>
        <v/>
      </c>
      <c r="I15" s="10">
        <f>(C15+F15)/48</f>
        <v/>
      </c>
      <c r="J15" s="9">
        <f>IF(AND(G15&gt;=0.4,G15&lt;=0.6,H15&gt;=0.4,H15&lt;=0.6,I15&gt;=0.4,I15&lt;=0.6,MIN(C15:F15)&gt;=7.2),"是","否")</f>
        <v/>
      </c>
    </row>
    <row r="16">
      <c r="A16" s="9" t="inlineStr">
        <is>
          <t>i7</t>
        </is>
      </c>
      <c r="B16" s="9" t="n">
        <v>5</v>
      </c>
      <c r="C16" s="9">
        <f>COUNTIF('48组'!$AD$2:$AD$49,"A")</f>
        <v/>
      </c>
      <c r="D16" s="9">
        <f>COUNTIF('48组'!$AD$2:$AD$49,"C")</f>
        <v/>
      </c>
      <c r="E16" s="9">
        <f>COUNTIF('48组'!$AD$2:$AD$49,"G")</f>
        <v/>
      </c>
      <c r="F16" s="9">
        <f>COUNTIF('48组'!$AD$2:$AD$49,"T")</f>
        <v/>
      </c>
      <c r="G16" s="10">
        <f>(D16+E16)/48</f>
        <v/>
      </c>
      <c r="H16" s="10">
        <f>(C16+D16)/48</f>
        <v/>
      </c>
      <c r="I16" s="10">
        <f>(C16+F16)/48</f>
        <v/>
      </c>
      <c r="J16" s="9">
        <f>IF(AND(G16&gt;=0.4,G16&lt;=0.6,H16&gt;=0.4,H16&lt;=0.6,I16&gt;=0.4,I16&lt;=0.6,MIN(C16:F16)&gt;=7.2),"是","否")</f>
        <v/>
      </c>
    </row>
    <row r="17">
      <c r="A17" s="9" t="inlineStr">
        <is>
          <t>i7</t>
        </is>
      </c>
      <c r="B17" s="9" t="n">
        <v>6</v>
      </c>
      <c r="C17" s="9">
        <f>COUNTIF('48组'!$AE$2:$AE$49,"A")</f>
        <v/>
      </c>
      <c r="D17" s="9">
        <f>COUNTIF('48组'!$AE$2:$AE$49,"C")</f>
        <v/>
      </c>
      <c r="E17" s="9">
        <f>COUNTIF('48组'!$AE$2:$AE$49,"G")</f>
        <v/>
      </c>
      <c r="F17" s="9">
        <f>COUNTIF('48组'!$AE$2:$AE$49,"T")</f>
        <v/>
      </c>
      <c r="G17" s="10">
        <f>(D17+E17)/48</f>
        <v/>
      </c>
      <c r="H17" s="10">
        <f>(C17+D17)/48</f>
        <v/>
      </c>
      <c r="I17" s="10">
        <f>(C17+F17)/48</f>
        <v/>
      </c>
      <c r="J17" s="9">
        <f>IF(AND(G17&gt;=0.4,G17&lt;=0.6,H17&gt;=0.4,H17&lt;=0.6,I17&gt;=0.4,I17&lt;=0.6,MIN(C17:F17)&gt;=7.2),"是","否")</f>
        <v/>
      </c>
    </row>
    <row r="18">
      <c r="A18" s="9" t="inlineStr">
        <is>
          <t>i7</t>
        </is>
      </c>
      <c r="B18" s="9" t="n">
        <v>7</v>
      </c>
      <c r="C18" s="9">
        <f>COUNTIF('48组'!$AF$2:$AF$49,"A")</f>
        <v/>
      </c>
      <c r="D18" s="9">
        <f>COUNTIF('48组'!$AF$2:$AF$49,"C")</f>
        <v/>
      </c>
      <c r="E18" s="9">
        <f>COUNTIF('48组'!$AF$2:$AF$49,"G")</f>
        <v/>
      </c>
      <c r="F18" s="9">
        <f>COUNTIF('48组'!$AF$2:$AF$49,"T")</f>
        <v/>
      </c>
      <c r="G18" s="10">
        <f>(D18+E18)/48</f>
        <v/>
      </c>
      <c r="H18" s="10">
        <f>(C18+D18)/48</f>
        <v/>
      </c>
      <c r="I18" s="10">
        <f>(C18+F18)/48</f>
        <v/>
      </c>
      <c r="J18" s="9">
        <f>IF(AND(G18&gt;=0.4,G18&lt;=0.6,H18&gt;=0.4,H18&lt;=0.6,I18&gt;=0.4,I18&lt;=0.6,MIN(C18:F18)&gt;=7.2),"是","否")</f>
        <v/>
      </c>
    </row>
    <row r="19">
      <c r="A19" s="9" t="inlineStr">
        <is>
          <t>i7</t>
        </is>
      </c>
      <c r="B19" s="9" t="n">
        <v>8</v>
      </c>
      <c r="C19" s="9">
        <f>COUNTIF('48组'!$AG$2:$AG$49,"A")</f>
        <v/>
      </c>
      <c r="D19" s="9">
        <f>COUNTIF('48组'!$AG$2:$AG$49,"C")</f>
        <v/>
      </c>
      <c r="E19" s="9">
        <f>COUNTIF('48组'!$AG$2:$AG$49,"G")</f>
        <v/>
      </c>
      <c r="F19" s="9">
        <f>COUNTIF('48组'!$AG$2:$AG$49,"T")</f>
        <v/>
      </c>
      <c r="G19" s="10">
        <f>(D19+E19)/48</f>
        <v/>
      </c>
      <c r="H19" s="10">
        <f>(C19+D19)/48</f>
        <v/>
      </c>
      <c r="I19" s="10">
        <f>(C19+F19)/48</f>
        <v/>
      </c>
      <c r="J19" s="9">
        <f>IF(AND(G19&gt;=0.4,G19&lt;=0.6,H19&gt;=0.4,H19&lt;=0.6,I19&gt;=0.4,I19&lt;=0.6,MIN(C19:F19)&gt;=7.2),"是","否")</f>
        <v/>
      </c>
    </row>
    <row r="20">
      <c r="A20" s="9" t="inlineStr">
        <is>
          <t>i7</t>
        </is>
      </c>
      <c r="B20" s="9" t="n">
        <v>9</v>
      </c>
      <c r="C20" s="9">
        <f>COUNTIF('48组'!$AH$2:$AH$49,"A")</f>
        <v/>
      </c>
      <c r="D20" s="9">
        <f>COUNTIF('48组'!$AH$2:$AH$49,"C")</f>
        <v/>
      </c>
      <c r="E20" s="9">
        <f>COUNTIF('48组'!$AH$2:$AH$49,"G")</f>
        <v/>
      </c>
      <c r="F20" s="9">
        <f>COUNTIF('48组'!$AH$2:$AH$49,"T")</f>
        <v/>
      </c>
      <c r="G20" s="10">
        <f>(D20+E20)/48</f>
        <v/>
      </c>
      <c r="H20" s="10">
        <f>(C20+D20)/48</f>
        <v/>
      </c>
      <c r="I20" s="10">
        <f>(C20+F20)/48</f>
        <v/>
      </c>
      <c r="J20" s="9">
        <f>IF(AND(G20&gt;=0.4,G20&lt;=0.6,H20&gt;=0.4,H20&lt;=0.6,I20&gt;=0.4,I20&lt;=0.6,MIN(C20:F20)&gt;=7.2),"是","否")</f>
        <v/>
      </c>
    </row>
    <row r="21">
      <c r="A21" s="9" t="inlineStr">
        <is>
          <t>i7</t>
        </is>
      </c>
      <c r="B21" s="9" t="n">
        <v>10</v>
      </c>
      <c r="C21" s="9">
        <f>COUNTIF('48组'!$AI$2:$AI$49,"A")</f>
        <v/>
      </c>
      <c r="D21" s="9">
        <f>COUNTIF('48组'!$AI$2:$AI$49,"C")</f>
        <v/>
      </c>
      <c r="E21" s="9">
        <f>COUNTIF('48组'!$AI$2:$AI$49,"G")</f>
        <v/>
      </c>
      <c r="F21" s="9">
        <f>COUNTIF('48组'!$AI$2:$AI$49,"T")</f>
        <v/>
      </c>
      <c r="G21" s="10">
        <f>(D21+E21)/48</f>
        <v/>
      </c>
      <c r="H21" s="10">
        <f>(C21+D21)/48</f>
        <v/>
      </c>
      <c r="I21" s="10">
        <f>(C21+F21)/48</f>
        <v/>
      </c>
      <c r="J21" s="9">
        <f>IF(AND(G21&gt;=0.4,G21&lt;=0.6,H21&gt;=0.4,H21&lt;=0.6,I21&gt;=0.4,I21&lt;=0.6,MIN(C21:F21)&gt;=7.2),"是","否")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2026-10-09T11:31:36Z</dcterms:created>
  <dcterms:modified xsi:type="dcterms:W3CDTF">2026-10-09T11:31:36Z</dcterms:modified>
</cp:coreProperties>
</file>