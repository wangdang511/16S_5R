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96对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UDP：重新配对后的 96 对（前 48 对 = 核心 48 组）</t>
        </is>
      </c>
    </row>
    <row r="2">
      <c r="A2" s="2" t="inlineStr">
        <is>
          <t>做法：960 条自建序列（U001–U960，每条都可当 i5 或 i7）→ 第一阶段单个序列评估 → 第二阶段选 144 个 i5 + 144 个 i7 的候选池（编辑距离 ≥4、跨类反向互补 ≥3、每周期配色达标）→ 第三阶段对 100×100 子集算 i5×i7 的热点正向×反向相互作用 → 第四阶段在子集里选 96 对并配对（前 48 对为核心 48 组）。</t>
        </is>
      </c>
    </row>
    <row r="3">
      <c r="A3" s="2" t="inlineStr">
        <is>
          <t>分级来源：预测 96 个管；A：全局二聚体 ≥ −7 且 3′端 ≥ −4.5 kcal/mol；B：≥ −8.5 且 ≥ −5.5；C：其余（经验阈值，无尾巴基线 −5.7 / −3.8）。热点代理的预测与整管评估的一致率在 480 个固定配对管上为 99.6%。</t>
        </is>
      </c>
    </row>
    <row r="4">
      <c r="A4" s="2" t="inlineStr">
        <is>
          <t>分级结果：96 组 A 69 / B 27 / C 0；核心 48 组 A 38 / B 10 / C 0。</t>
        </is>
      </c>
    </row>
    <row r="5">
      <c r="A5" s="2" t="inlineStr">
        <is>
          <t>96 组独立验证：最小编辑距离（全部序列）=4；跨类 i5 对 rc(i7) 最小编辑距离=3；同一序列与自身反向互补最小=4；每周期全部达标=True；GC范围=(4, 6)；同聚物个数=0；序列数=192；与 Illumina 384 对相同序列数=0</t>
        </is>
      </c>
    </row>
    <row r="6">
      <c r="A6" s="2" t="inlineStr">
        <is>
          <t>核心 48 组独立验证：最小编辑距离（全部序列）=4；跨类 i5 对 rc(i7) 最小编辑距离=3；同一序列与自身反向互补最小=4；每周期全部达标=True；GC范围=(4, 6)；同聚物个数=0；序列数=96；与 Illumina 384 对相同序列数=0</t>
        </is>
      </c>
    </row>
    <row r="7">
      <c r="A7" s="2" t="inlineStr">
        <is>
          <t>命名：第 n 对的 i5 = DN5{n:03d}（放正向引物 5′端），i7 = DN7{n:03d}（放反向引物 5′端）；“U 编号”是 960 条序列的唯一编号（U001–U480 来自原 i5，U481–U960 来自原 i7，角色可以互换）。</t>
        </is>
      </c>
    </row>
    <row r="8">
      <c r="A8" s="2" t="inlineStr">
        <is>
          <t>没有评估的：真实接头；实验验证（建议同样品多条形码对照）。逻辑和代码见 docs/primer_design/udp_denovo960/ 与 python_5R/explore/udp960_*.py。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9" customWidth="1" min="4" max="4"/>
    <col width="8" customWidth="1" min="5" max="5"/>
    <col width="8" customWidth="1" min="6" max="6"/>
    <col width="14" customWidth="1" min="7" max="7"/>
    <col width="14" customWidth="1" min="8" max="8"/>
    <col width="6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10" customWidth="1" min="15" max="15"/>
    <col width="11" customWidth="1" min="16" max="16"/>
  </cols>
  <sheetData>
    <row r="1" ht="40" customHeight="1">
      <c r="A1" s="3" t="inlineStr">
        <is>
          <t>序号</t>
        </is>
      </c>
      <c r="B1" s="3" t="inlineStr">
        <is>
          <t>核心48</t>
        </is>
      </c>
      <c r="C1" s="3" t="inlineStr">
        <is>
          <t>i5 名称</t>
        </is>
      </c>
      <c r="D1" s="3" t="inlineStr">
        <is>
          <t>i7 名称</t>
        </is>
      </c>
      <c r="E1" s="3" t="inlineStr">
        <is>
          <t>i5 U编号</t>
        </is>
      </c>
      <c r="F1" s="3" t="inlineStr">
        <is>
          <t>i7 U编号</t>
        </is>
      </c>
      <c r="G1" s="3" t="inlineStr">
        <is>
          <t>i5 序列</t>
        </is>
      </c>
      <c r="H1" s="3" t="inlineStr">
        <is>
          <t>i7 序列</t>
        </is>
      </c>
      <c r="I1" s="3" t="inlineStr">
        <is>
          <t>i5 GC</t>
        </is>
      </c>
      <c r="J1" s="3" t="inlineStr">
        <is>
          <t>i7 GC</t>
        </is>
      </c>
      <c r="K1" s="3" t="inlineStr">
        <is>
          <t>分级</t>
        </is>
      </c>
      <c r="L1" s="3" t="inlineStr">
        <is>
          <t>分级来源</t>
        </is>
      </c>
      <c r="M1" s="3" t="inlineStr">
        <is>
          <t>全局二聚体最差 ΔG</t>
        </is>
      </c>
      <c r="N1" s="3" t="inlineStr">
        <is>
          <t>3′端最差 ΔG</t>
        </is>
      </c>
      <c r="O1" s="3" t="inlineStr">
        <is>
          <t>发夹最差 ΔG</t>
        </is>
      </c>
      <c r="P1" s="3" t="inlineStr">
        <is>
          <t>Olivar 总坏度</t>
        </is>
      </c>
      <c r="Q1" s="3" t="inlineStr">
        <is>
          <t>i5 第1位</t>
        </is>
      </c>
      <c r="R1" s="3" t="inlineStr">
        <is>
          <t>i5 第2位</t>
        </is>
      </c>
      <c r="S1" s="3" t="inlineStr">
        <is>
          <t>i5 第3位</t>
        </is>
      </c>
      <c r="T1" s="3" t="inlineStr">
        <is>
          <t>i5 第4位</t>
        </is>
      </c>
      <c r="U1" s="3" t="inlineStr">
        <is>
          <t>i5 第5位</t>
        </is>
      </c>
      <c r="V1" s="3" t="inlineStr">
        <is>
          <t>i5 第6位</t>
        </is>
      </c>
      <c r="W1" s="3" t="inlineStr">
        <is>
          <t>i5 第7位</t>
        </is>
      </c>
      <c r="X1" s="3" t="inlineStr">
        <is>
          <t>i5 第8位</t>
        </is>
      </c>
      <c r="Y1" s="3" t="inlineStr">
        <is>
          <t>i5 第9位</t>
        </is>
      </c>
      <c r="Z1" s="3" t="inlineStr">
        <is>
          <t>i5 第10位</t>
        </is>
      </c>
      <c r="AA1" s="3" t="inlineStr">
        <is>
          <t>i7 第1位</t>
        </is>
      </c>
      <c r="AB1" s="3" t="inlineStr">
        <is>
          <t>i7 第2位</t>
        </is>
      </c>
      <c r="AC1" s="3" t="inlineStr">
        <is>
          <t>i7 第3位</t>
        </is>
      </c>
      <c r="AD1" s="3" t="inlineStr">
        <is>
          <t>i7 第4位</t>
        </is>
      </c>
      <c r="AE1" s="3" t="inlineStr">
        <is>
          <t>i7 第5位</t>
        </is>
      </c>
      <c r="AF1" s="3" t="inlineStr">
        <is>
          <t>i7 第6位</t>
        </is>
      </c>
      <c r="AG1" s="3" t="inlineStr">
        <is>
          <t>i7 第7位</t>
        </is>
      </c>
      <c r="AH1" s="3" t="inlineStr">
        <is>
          <t>i7 第8位</t>
        </is>
      </c>
      <c r="AI1" s="3" t="inlineStr">
        <is>
          <t>i7 第9位</t>
        </is>
      </c>
      <c r="AJ1" s="3" t="inlineStr">
        <is>
          <t>i7 第10位</t>
        </is>
      </c>
    </row>
    <row r="2">
      <c r="A2" s="4" t="n">
        <v>1</v>
      </c>
      <c r="B2" s="4" t="inlineStr">
        <is>
          <t>是</t>
        </is>
      </c>
      <c r="C2" s="4" t="inlineStr">
        <is>
          <t>DN5001</t>
        </is>
      </c>
      <c r="D2" s="4" t="inlineStr">
        <is>
          <t>DN7001</t>
        </is>
      </c>
      <c r="E2" s="4" t="inlineStr">
        <is>
          <t>U898</t>
        </is>
      </c>
      <c r="F2" s="4" t="inlineStr">
        <is>
          <t>U458</t>
        </is>
      </c>
      <c r="G2" s="5" t="inlineStr">
        <is>
          <t>GTAGGAGCGA</t>
        </is>
      </c>
      <c r="H2" s="5" t="inlineStr">
        <is>
          <t>GCAGCCTCTT</t>
        </is>
      </c>
      <c r="I2" s="4">
        <f>LEN(SUBSTITUTE(SUBSTITUTE(G2,"A",""),"T",""))</f>
        <v/>
      </c>
      <c r="J2" s="4">
        <f>LEN(SUBSTITUTE(SUBSTITUTE(H2,"A",""),"T",""))</f>
        <v/>
      </c>
      <c r="K2" s="6" t="inlineStr">
        <is>
          <t>A</t>
        </is>
      </c>
      <c r="L2" s="4" t="inlineStr">
        <is>
          <t>预测</t>
        </is>
      </c>
      <c r="M2" s="4" t="n">
        <v>-6.68</v>
      </c>
      <c r="N2" s="4" t="n">
        <v>-3.46</v>
      </c>
      <c r="O2" s="4" t="n"/>
      <c r="P2" s="4" t="n"/>
      <c r="Q2">
        <f>MID($G2,1,1)</f>
        <v/>
      </c>
      <c r="R2">
        <f>MID($G2,2,1)</f>
        <v/>
      </c>
      <c r="S2">
        <f>MID($G2,3,1)</f>
        <v/>
      </c>
      <c r="T2">
        <f>MID($G2,4,1)</f>
        <v/>
      </c>
      <c r="U2">
        <f>MID($G2,5,1)</f>
        <v/>
      </c>
      <c r="V2">
        <f>MID($G2,6,1)</f>
        <v/>
      </c>
      <c r="W2">
        <f>MID($G2,7,1)</f>
        <v/>
      </c>
      <c r="X2">
        <f>MID($G2,8,1)</f>
        <v/>
      </c>
      <c r="Y2">
        <f>MID($G2,9,1)</f>
        <v/>
      </c>
      <c r="Z2">
        <f>MID($G2,10,1)</f>
        <v/>
      </c>
      <c r="AA2">
        <f>MID($H2,1,1)</f>
        <v/>
      </c>
      <c r="AB2">
        <f>MID($H2,2,1)</f>
        <v/>
      </c>
      <c r="AC2">
        <f>MID($H2,3,1)</f>
        <v/>
      </c>
      <c r="AD2">
        <f>MID($H2,4,1)</f>
        <v/>
      </c>
      <c r="AE2">
        <f>MID($H2,5,1)</f>
        <v/>
      </c>
      <c r="AF2">
        <f>MID($H2,6,1)</f>
        <v/>
      </c>
      <c r="AG2">
        <f>MID($H2,7,1)</f>
        <v/>
      </c>
      <c r="AH2">
        <f>MID($H2,8,1)</f>
        <v/>
      </c>
      <c r="AI2">
        <f>MID($H2,9,1)</f>
        <v/>
      </c>
      <c r="AJ2">
        <f>MID($H2,10,1)</f>
        <v/>
      </c>
    </row>
    <row r="3">
      <c r="A3" s="4" t="n">
        <v>2</v>
      </c>
      <c r="B3" s="4" t="inlineStr">
        <is>
          <t>是</t>
        </is>
      </c>
      <c r="C3" s="4" t="inlineStr">
        <is>
          <t>DN5002</t>
        </is>
      </c>
      <c r="D3" s="4" t="inlineStr">
        <is>
          <t>DN7002</t>
        </is>
      </c>
      <c r="E3" s="4" t="inlineStr">
        <is>
          <t>U923</t>
        </is>
      </c>
      <c r="F3" s="4" t="inlineStr">
        <is>
          <t>U257</t>
        </is>
      </c>
      <c r="G3" s="5" t="inlineStr">
        <is>
          <t>AATTCCGGTT</t>
        </is>
      </c>
      <c r="H3" s="5" t="inlineStr">
        <is>
          <t>TCTCTAATGC</t>
        </is>
      </c>
      <c r="I3" s="4">
        <f>LEN(SUBSTITUTE(SUBSTITUTE(G3,"A",""),"T",""))</f>
        <v/>
      </c>
      <c r="J3" s="4">
        <f>LEN(SUBSTITUTE(SUBSTITUTE(H3,"A",""),"T",""))</f>
        <v/>
      </c>
      <c r="K3" s="6" t="inlineStr">
        <is>
          <t>A</t>
        </is>
      </c>
      <c r="L3" s="4" t="inlineStr">
        <is>
          <t>预测</t>
        </is>
      </c>
      <c r="M3" s="4" t="n">
        <v>-5.91</v>
      </c>
      <c r="N3" s="4" t="n">
        <v>-3.79</v>
      </c>
      <c r="O3" s="4" t="n"/>
      <c r="P3" s="4" t="n"/>
      <c r="Q3">
        <f>MID($G3,1,1)</f>
        <v/>
      </c>
      <c r="R3">
        <f>MID($G3,2,1)</f>
        <v/>
      </c>
      <c r="S3">
        <f>MID($G3,3,1)</f>
        <v/>
      </c>
      <c r="T3">
        <f>MID($G3,4,1)</f>
        <v/>
      </c>
      <c r="U3">
        <f>MID($G3,5,1)</f>
        <v/>
      </c>
      <c r="V3">
        <f>MID($G3,6,1)</f>
        <v/>
      </c>
      <c r="W3">
        <f>MID($G3,7,1)</f>
        <v/>
      </c>
      <c r="X3">
        <f>MID($G3,8,1)</f>
        <v/>
      </c>
      <c r="Y3">
        <f>MID($G3,9,1)</f>
        <v/>
      </c>
      <c r="Z3">
        <f>MID($G3,10,1)</f>
        <v/>
      </c>
      <c r="AA3">
        <f>MID($H3,1,1)</f>
        <v/>
      </c>
      <c r="AB3">
        <f>MID($H3,2,1)</f>
        <v/>
      </c>
      <c r="AC3">
        <f>MID($H3,3,1)</f>
        <v/>
      </c>
      <c r="AD3">
        <f>MID($H3,4,1)</f>
        <v/>
      </c>
      <c r="AE3">
        <f>MID($H3,5,1)</f>
        <v/>
      </c>
      <c r="AF3">
        <f>MID($H3,6,1)</f>
        <v/>
      </c>
      <c r="AG3">
        <f>MID($H3,7,1)</f>
        <v/>
      </c>
      <c r="AH3">
        <f>MID($H3,8,1)</f>
        <v/>
      </c>
      <c r="AI3">
        <f>MID($H3,9,1)</f>
        <v/>
      </c>
      <c r="AJ3">
        <f>MID($H3,10,1)</f>
        <v/>
      </c>
    </row>
    <row r="4">
      <c r="A4" s="4" t="n">
        <v>3</v>
      </c>
      <c r="B4" s="4" t="inlineStr">
        <is>
          <t>是</t>
        </is>
      </c>
      <c r="C4" s="4" t="inlineStr">
        <is>
          <t>DN5003</t>
        </is>
      </c>
      <c r="D4" s="4" t="inlineStr">
        <is>
          <t>DN7003</t>
        </is>
      </c>
      <c r="E4" s="4" t="inlineStr">
        <is>
          <t>U170</t>
        </is>
      </c>
      <c r="F4" s="4" t="inlineStr">
        <is>
          <t>U573</t>
        </is>
      </c>
      <c r="G4" s="5" t="inlineStr">
        <is>
          <t>ACGCATTCAT</t>
        </is>
      </c>
      <c r="H4" s="5" t="inlineStr">
        <is>
          <t>TGTCAATTCG</t>
        </is>
      </c>
      <c r="I4" s="4">
        <f>LEN(SUBSTITUTE(SUBSTITUTE(G4,"A",""),"T",""))</f>
        <v/>
      </c>
      <c r="J4" s="4">
        <f>LEN(SUBSTITUTE(SUBSTITUTE(H4,"A",""),"T",""))</f>
        <v/>
      </c>
      <c r="K4" s="6" t="inlineStr">
        <is>
          <t>A</t>
        </is>
      </c>
      <c r="L4" s="4" t="inlineStr">
        <is>
          <t>预测</t>
        </is>
      </c>
      <c r="M4" s="4" t="n">
        <v>-5.93</v>
      </c>
      <c r="N4" s="4" t="n">
        <v>-4.17</v>
      </c>
      <c r="O4" s="4" t="n"/>
      <c r="P4" s="4" t="n"/>
      <c r="Q4">
        <f>MID($G4,1,1)</f>
        <v/>
      </c>
      <c r="R4">
        <f>MID($G4,2,1)</f>
        <v/>
      </c>
      <c r="S4">
        <f>MID($G4,3,1)</f>
        <v/>
      </c>
      <c r="T4">
        <f>MID($G4,4,1)</f>
        <v/>
      </c>
      <c r="U4">
        <f>MID($G4,5,1)</f>
        <v/>
      </c>
      <c r="V4">
        <f>MID($G4,6,1)</f>
        <v/>
      </c>
      <c r="W4">
        <f>MID($G4,7,1)</f>
        <v/>
      </c>
      <c r="X4">
        <f>MID($G4,8,1)</f>
        <v/>
      </c>
      <c r="Y4">
        <f>MID($G4,9,1)</f>
        <v/>
      </c>
      <c r="Z4">
        <f>MID($G4,10,1)</f>
        <v/>
      </c>
      <c r="AA4">
        <f>MID($H4,1,1)</f>
        <v/>
      </c>
      <c r="AB4">
        <f>MID($H4,2,1)</f>
        <v/>
      </c>
      <c r="AC4">
        <f>MID($H4,3,1)</f>
        <v/>
      </c>
      <c r="AD4">
        <f>MID($H4,4,1)</f>
        <v/>
      </c>
      <c r="AE4">
        <f>MID($H4,5,1)</f>
        <v/>
      </c>
      <c r="AF4">
        <f>MID($H4,6,1)</f>
        <v/>
      </c>
      <c r="AG4">
        <f>MID($H4,7,1)</f>
        <v/>
      </c>
      <c r="AH4">
        <f>MID($H4,8,1)</f>
        <v/>
      </c>
      <c r="AI4">
        <f>MID($H4,9,1)</f>
        <v/>
      </c>
      <c r="AJ4">
        <f>MID($H4,10,1)</f>
        <v/>
      </c>
    </row>
    <row r="5">
      <c r="A5" s="4" t="n">
        <v>4</v>
      </c>
      <c r="B5" s="4" t="inlineStr">
        <is>
          <t>是</t>
        </is>
      </c>
      <c r="C5" s="4" t="inlineStr">
        <is>
          <t>DN5004</t>
        </is>
      </c>
      <c r="D5" s="4" t="inlineStr">
        <is>
          <t>DN7004</t>
        </is>
      </c>
      <c r="E5" s="4" t="inlineStr">
        <is>
          <t>U144</t>
        </is>
      </c>
      <c r="F5" s="4" t="inlineStr">
        <is>
          <t>U505</t>
        </is>
      </c>
      <c r="G5" s="5" t="inlineStr">
        <is>
          <t>TACGGTGAGG</t>
        </is>
      </c>
      <c r="H5" s="5" t="inlineStr">
        <is>
          <t>GAAGGACGTC</t>
        </is>
      </c>
      <c r="I5" s="4">
        <f>LEN(SUBSTITUTE(SUBSTITUTE(G5,"A",""),"T",""))</f>
        <v/>
      </c>
      <c r="J5" s="4">
        <f>LEN(SUBSTITUTE(SUBSTITUTE(H5,"A",""),"T",""))</f>
        <v/>
      </c>
      <c r="K5" s="6" t="inlineStr">
        <is>
          <t>A</t>
        </is>
      </c>
      <c r="L5" s="4" t="inlineStr">
        <is>
          <t>预测</t>
        </is>
      </c>
      <c r="M5" s="4" t="n">
        <v>-6.6</v>
      </c>
      <c r="N5" s="4" t="n">
        <v>-3.96</v>
      </c>
      <c r="O5" s="4" t="n"/>
      <c r="P5" s="4" t="n"/>
      <c r="Q5">
        <f>MID($G5,1,1)</f>
        <v/>
      </c>
      <c r="R5">
        <f>MID($G5,2,1)</f>
        <v/>
      </c>
      <c r="S5">
        <f>MID($G5,3,1)</f>
        <v/>
      </c>
      <c r="T5">
        <f>MID($G5,4,1)</f>
        <v/>
      </c>
      <c r="U5">
        <f>MID($G5,5,1)</f>
        <v/>
      </c>
      <c r="V5">
        <f>MID($G5,6,1)</f>
        <v/>
      </c>
      <c r="W5">
        <f>MID($G5,7,1)</f>
        <v/>
      </c>
      <c r="X5">
        <f>MID($G5,8,1)</f>
        <v/>
      </c>
      <c r="Y5">
        <f>MID($G5,9,1)</f>
        <v/>
      </c>
      <c r="Z5">
        <f>MID($G5,10,1)</f>
        <v/>
      </c>
      <c r="AA5">
        <f>MID($H5,1,1)</f>
        <v/>
      </c>
      <c r="AB5">
        <f>MID($H5,2,1)</f>
        <v/>
      </c>
      <c r="AC5">
        <f>MID($H5,3,1)</f>
        <v/>
      </c>
      <c r="AD5">
        <f>MID($H5,4,1)</f>
        <v/>
      </c>
      <c r="AE5">
        <f>MID($H5,5,1)</f>
        <v/>
      </c>
      <c r="AF5">
        <f>MID($H5,6,1)</f>
        <v/>
      </c>
      <c r="AG5">
        <f>MID($H5,7,1)</f>
        <v/>
      </c>
      <c r="AH5">
        <f>MID($H5,8,1)</f>
        <v/>
      </c>
      <c r="AI5">
        <f>MID($H5,9,1)</f>
        <v/>
      </c>
      <c r="AJ5">
        <f>MID($H5,10,1)</f>
        <v/>
      </c>
    </row>
    <row r="6">
      <c r="A6" s="4" t="n">
        <v>5</v>
      </c>
      <c r="B6" s="4" t="inlineStr">
        <is>
          <t>是</t>
        </is>
      </c>
      <c r="C6" s="4" t="inlineStr">
        <is>
          <t>DN5005</t>
        </is>
      </c>
      <c r="D6" s="4" t="inlineStr">
        <is>
          <t>DN7005</t>
        </is>
      </c>
      <c r="E6" s="4" t="inlineStr">
        <is>
          <t>U664</t>
        </is>
      </c>
      <c r="F6" s="4" t="inlineStr">
        <is>
          <t>U491</t>
        </is>
      </c>
      <c r="G6" s="5" t="inlineStr">
        <is>
          <t>AATCTCCGAA</t>
        </is>
      </c>
      <c r="H6" s="5" t="inlineStr">
        <is>
          <t>TGGATGTCCG</t>
        </is>
      </c>
      <c r="I6" s="4">
        <f>LEN(SUBSTITUTE(SUBSTITUTE(G6,"A",""),"T",""))</f>
        <v/>
      </c>
      <c r="J6" s="4">
        <f>LEN(SUBSTITUTE(SUBSTITUTE(H6,"A",""),"T",""))</f>
        <v/>
      </c>
      <c r="K6" s="6" t="inlineStr">
        <is>
          <t>A</t>
        </is>
      </c>
      <c r="L6" s="4" t="inlineStr">
        <is>
          <t>预测</t>
        </is>
      </c>
      <c r="M6" s="4" t="n">
        <v>-6.85</v>
      </c>
      <c r="N6" s="4" t="n">
        <v>-3.31</v>
      </c>
      <c r="O6" s="4" t="n"/>
      <c r="P6" s="4" t="n"/>
      <c r="Q6">
        <f>MID($G6,1,1)</f>
        <v/>
      </c>
      <c r="R6">
        <f>MID($G6,2,1)</f>
        <v/>
      </c>
      <c r="S6">
        <f>MID($G6,3,1)</f>
        <v/>
      </c>
      <c r="T6">
        <f>MID($G6,4,1)</f>
        <v/>
      </c>
      <c r="U6">
        <f>MID($G6,5,1)</f>
        <v/>
      </c>
      <c r="V6">
        <f>MID($G6,6,1)</f>
        <v/>
      </c>
      <c r="W6">
        <f>MID($G6,7,1)</f>
        <v/>
      </c>
      <c r="X6">
        <f>MID($G6,8,1)</f>
        <v/>
      </c>
      <c r="Y6">
        <f>MID($G6,9,1)</f>
        <v/>
      </c>
      <c r="Z6">
        <f>MID($G6,10,1)</f>
        <v/>
      </c>
      <c r="AA6">
        <f>MID($H6,1,1)</f>
        <v/>
      </c>
      <c r="AB6">
        <f>MID($H6,2,1)</f>
        <v/>
      </c>
      <c r="AC6">
        <f>MID($H6,3,1)</f>
        <v/>
      </c>
      <c r="AD6">
        <f>MID($H6,4,1)</f>
        <v/>
      </c>
      <c r="AE6">
        <f>MID($H6,5,1)</f>
        <v/>
      </c>
      <c r="AF6">
        <f>MID($H6,6,1)</f>
        <v/>
      </c>
      <c r="AG6">
        <f>MID($H6,7,1)</f>
        <v/>
      </c>
      <c r="AH6">
        <f>MID($H6,8,1)</f>
        <v/>
      </c>
      <c r="AI6">
        <f>MID($H6,9,1)</f>
        <v/>
      </c>
      <c r="AJ6">
        <f>MID($H6,10,1)</f>
        <v/>
      </c>
    </row>
    <row r="7">
      <c r="A7" s="4" t="n">
        <v>6</v>
      </c>
      <c r="B7" s="4" t="inlineStr">
        <is>
          <t>是</t>
        </is>
      </c>
      <c r="C7" s="4" t="inlineStr">
        <is>
          <t>DN5006</t>
        </is>
      </c>
      <c r="D7" s="4" t="inlineStr">
        <is>
          <t>DN7006</t>
        </is>
      </c>
      <c r="E7" s="4" t="inlineStr">
        <is>
          <t>U675</t>
        </is>
      </c>
      <c r="F7" s="4" t="inlineStr">
        <is>
          <t>U290</t>
        </is>
      </c>
      <c r="G7" s="5" t="inlineStr">
        <is>
          <t>GACACTCGAG</t>
        </is>
      </c>
      <c r="H7" s="5" t="inlineStr">
        <is>
          <t>AGGTCGTCCA</t>
        </is>
      </c>
      <c r="I7" s="4">
        <f>LEN(SUBSTITUTE(SUBSTITUTE(G7,"A",""),"T",""))</f>
        <v/>
      </c>
      <c r="J7" s="4">
        <f>LEN(SUBSTITUTE(SUBSTITUTE(H7,"A",""),"T",""))</f>
        <v/>
      </c>
      <c r="K7" s="6" t="inlineStr">
        <is>
          <t>A</t>
        </is>
      </c>
      <c r="L7" s="4" t="inlineStr">
        <is>
          <t>预测</t>
        </is>
      </c>
      <c r="M7" s="4" t="n">
        <v>-6.77</v>
      </c>
      <c r="N7" s="4" t="n">
        <v>-4.47</v>
      </c>
      <c r="O7" s="4" t="n"/>
      <c r="P7" s="4" t="n"/>
      <c r="Q7">
        <f>MID($G7,1,1)</f>
        <v/>
      </c>
      <c r="R7">
        <f>MID($G7,2,1)</f>
        <v/>
      </c>
      <c r="S7">
        <f>MID($G7,3,1)</f>
        <v/>
      </c>
      <c r="T7">
        <f>MID($G7,4,1)</f>
        <v/>
      </c>
      <c r="U7">
        <f>MID($G7,5,1)</f>
        <v/>
      </c>
      <c r="V7">
        <f>MID($G7,6,1)</f>
        <v/>
      </c>
      <c r="W7">
        <f>MID($G7,7,1)</f>
        <v/>
      </c>
      <c r="X7">
        <f>MID($G7,8,1)</f>
        <v/>
      </c>
      <c r="Y7">
        <f>MID($G7,9,1)</f>
        <v/>
      </c>
      <c r="Z7">
        <f>MID($G7,10,1)</f>
        <v/>
      </c>
      <c r="AA7">
        <f>MID($H7,1,1)</f>
        <v/>
      </c>
      <c r="AB7">
        <f>MID($H7,2,1)</f>
        <v/>
      </c>
      <c r="AC7">
        <f>MID($H7,3,1)</f>
        <v/>
      </c>
      <c r="AD7">
        <f>MID($H7,4,1)</f>
        <v/>
      </c>
      <c r="AE7">
        <f>MID($H7,5,1)</f>
        <v/>
      </c>
      <c r="AF7">
        <f>MID($H7,6,1)</f>
        <v/>
      </c>
      <c r="AG7">
        <f>MID($H7,7,1)</f>
        <v/>
      </c>
      <c r="AH7">
        <f>MID($H7,8,1)</f>
        <v/>
      </c>
      <c r="AI7">
        <f>MID($H7,9,1)</f>
        <v/>
      </c>
      <c r="AJ7">
        <f>MID($H7,10,1)</f>
        <v/>
      </c>
    </row>
    <row r="8">
      <c r="A8" s="4" t="n">
        <v>7</v>
      </c>
      <c r="B8" s="4" t="inlineStr">
        <is>
          <t>是</t>
        </is>
      </c>
      <c r="C8" s="4" t="inlineStr">
        <is>
          <t>DN5007</t>
        </is>
      </c>
      <c r="D8" s="4" t="inlineStr">
        <is>
          <t>DN7007</t>
        </is>
      </c>
      <c r="E8" s="4" t="inlineStr">
        <is>
          <t>U496</t>
        </is>
      </c>
      <c r="F8" s="4" t="inlineStr">
        <is>
          <t>U134</t>
        </is>
      </c>
      <c r="G8" s="5" t="inlineStr">
        <is>
          <t>CGCATAAGGT</t>
        </is>
      </c>
      <c r="H8" s="5" t="inlineStr">
        <is>
          <t>GCCTGGTGTA</t>
        </is>
      </c>
      <c r="I8" s="4">
        <f>LEN(SUBSTITUTE(SUBSTITUTE(G8,"A",""),"T",""))</f>
        <v/>
      </c>
      <c r="J8" s="4">
        <f>LEN(SUBSTITUTE(SUBSTITUTE(H8,"A",""),"T",""))</f>
        <v/>
      </c>
      <c r="K8" s="6" t="inlineStr">
        <is>
          <t>A</t>
        </is>
      </c>
      <c r="L8" s="4" t="inlineStr">
        <is>
          <t>预测</t>
        </is>
      </c>
      <c r="M8" s="4" t="n">
        <v>-6.1</v>
      </c>
      <c r="N8" s="4" t="n">
        <v>-4.04</v>
      </c>
      <c r="O8" s="4" t="n"/>
      <c r="P8" s="4" t="n"/>
      <c r="Q8">
        <f>MID($G8,1,1)</f>
        <v/>
      </c>
      <c r="R8">
        <f>MID($G8,2,1)</f>
        <v/>
      </c>
      <c r="S8">
        <f>MID($G8,3,1)</f>
        <v/>
      </c>
      <c r="T8">
        <f>MID($G8,4,1)</f>
        <v/>
      </c>
      <c r="U8">
        <f>MID($G8,5,1)</f>
        <v/>
      </c>
      <c r="V8">
        <f>MID($G8,6,1)</f>
        <v/>
      </c>
      <c r="W8">
        <f>MID($G8,7,1)</f>
        <v/>
      </c>
      <c r="X8">
        <f>MID($G8,8,1)</f>
        <v/>
      </c>
      <c r="Y8">
        <f>MID($G8,9,1)</f>
        <v/>
      </c>
      <c r="Z8">
        <f>MID($G8,10,1)</f>
        <v/>
      </c>
      <c r="AA8">
        <f>MID($H8,1,1)</f>
        <v/>
      </c>
      <c r="AB8">
        <f>MID($H8,2,1)</f>
        <v/>
      </c>
      <c r="AC8">
        <f>MID($H8,3,1)</f>
        <v/>
      </c>
      <c r="AD8">
        <f>MID($H8,4,1)</f>
        <v/>
      </c>
      <c r="AE8">
        <f>MID($H8,5,1)</f>
        <v/>
      </c>
      <c r="AF8">
        <f>MID($H8,6,1)</f>
        <v/>
      </c>
      <c r="AG8">
        <f>MID($H8,7,1)</f>
        <v/>
      </c>
      <c r="AH8">
        <f>MID($H8,8,1)</f>
        <v/>
      </c>
      <c r="AI8">
        <f>MID($H8,9,1)</f>
        <v/>
      </c>
      <c r="AJ8">
        <f>MID($H8,10,1)</f>
        <v/>
      </c>
    </row>
    <row r="9">
      <c r="A9" s="4" t="n">
        <v>8</v>
      </c>
      <c r="B9" s="4" t="inlineStr">
        <is>
          <t>是</t>
        </is>
      </c>
      <c r="C9" s="4" t="inlineStr">
        <is>
          <t>DN5008</t>
        </is>
      </c>
      <c r="D9" s="4" t="inlineStr">
        <is>
          <t>DN7008</t>
        </is>
      </c>
      <c r="E9" s="4" t="inlineStr">
        <is>
          <t>U555</t>
        </is>
      </c>
      <c r="F9" s="4" t="inlineStr">
        <is>
          <t>U821</t>
        </is>
      </c>
      <c r="G9" s="5" t="inlineStr">
        <is>
          <t>AGCTGCGCAA</t>
        </is>
      </c>
      <c r="H9" s="5" t="inlineStr">
        <is>
          <t>CTGAGAACCA</t>
        </is>
      </c>
      <c r="I9" s="4">
        <f>LEN(SUBSTITUTE(SUBSTITUTE(G9,"A",""),"T",""))</f>
        <v/>
      </c>
      <c r="J9" s="4">
        <f>LEN(SUBSTITUTE(SUBSTITUTE(H9,"A",""),"T",""))</f>
        <v/>
      </c>
      <c r="K9" s="6" t="inlineStr">
        <is>
          <t>A</t>
        </is>
      </c>
      <c r="L9" s="4" t="inlineStr">
        <is>
          <t>预测</t>
        </is>
      </c>
      <c r="M9" s="4" t="n">
        <v>-6.64</v>
      </c>
      <c r="N9" s="4" t="n">
        <v>-3.44</v>
      </c>
      <c r="O9" s="4" t="n"/>
      <c r="P9" s="4" t="n"/>
      <c r="Q9">
        <f>MID($G9,1,1)</f>
        <v/>
      </c>
      <c r="R9">
        <f>MID($G9,2,1)</f>
        <v/>
      </c>
      <c r="S9">
        <f>MID($G9,3,1)</f>
        <v/>
      </c>
      <c r="T9">
        <f>MID($G9,4,1)</f>
        <v/>
      </c>
      <c r="U9">
        <f>MID($G9,5,1)</f>
        <v/>
      </c>
      <c r="V9">
        <f>MID($G9,6,1)</f>
        <v/>
      </c>
      <c r="W9">
        <f>MID($G9,7,1)</f>
        <v/>
      </c>
      <c r="X9">
        <f>MID($G9,8,1)</f>
        <v/>
      </c>
      <c r="Y9">
        <f>MID($G9,9,1)</f>
        <v/>
      </c>
      <c r="Z9">
        <f>MID($G9,10,1)</f>
        <v/>
      </c>
      <c r="AA9">
        <f>MID($H9,1,1)</f>
        <v/>
      </c>
      <c r="AB9">
        <f>MID($H9,2,1)</f>
        <v/>
      </c>
      <c r="AC9">
        <f>MID($H9,3,1)</f>
        <v/>
      </c>
      <c r="AD9">
        <f>MID($H9,4,1)</f>
        <v/>
      </c>
      <c r="AE9">
        <f>MID($H9,5,1)</f>
        <v/>
      </c>
      <c r="AF9">
        <f>MID($H9,6,1)</f>
        <v/>
      </c>
      <c r="AG9">
        <f>MID($H9,7,1)</f>
        <v/>
      </c>
      <c r="AH9">
        <f>MID($H9,8,1)</f>
        <v/>
      </c>
      <c r="AI9">
        <f>MID($H9,9,1)</f>
        <v/>
      </c>
      <c r="AJ9">
        <f>MID($H9,10,1)</f>
        <v/>
      </c>
    </row>
    <row r="10">
      <c r="A10" s="4" t="n">
        <v>9</v>
      </c>
      <c r="B10" s="4" t="inlineStr">
        <is>
          <t>是</t>
        </is>
      </c>
      <c r="C10" s="4" t="inlineStr">
        <is>
          <t>DN5009</t>
        </is>
      </c>
      <c r="D10" s="4" t="inlineStr">
        <is>
          <t>DN7009</t>
        </is>
      </c>
      <c r="E10" s="4" t="inlineStr">
        <is>
          <t>U798</t>
        </is>
      </c>
      <c r="F10" s="4" t="inlineStr">
        <is>
          <t>U344</t>
        </is>
      </c>
      <c r="G10" s="5" t="inlineStr">
        <is>
          <t>TCAGACGTTA</t>
        </is>
      </c>
      <c r="H10" s="5" t="inlineStr">
        <is>
          <t>CTCGATCACG</t>
        </is>
      </c>
      <c r="I10" s="4">
        <f>LEN(SUBSTITUTE(SUBSTITUTE(G10,"A",""),"T",""))</f>
        <v/>
      </c>
      <c r="J10" s="4">
        <f>LEN(SUBSTITUTE(SUBSTITUTE(H10,"A",""),"T",""))</f>
        <v/>
      </c>
      <c r="K10" s="6" t="inlineStr">
        <is>
          <t>A</t>
        </is>
      </c>
      <c r="L10" s="4" t="inlineStr">
        <is>
          <t>预测</t>
        </is>
      </c>
      <c r="M10" s="4" t="n">
        <v>-6.33</v>
      </c>
      <c r="N10" s="4" t="n">
        <v>-3.01</v>
      </c>
      <c r="O10" s="4" t="n"/>
      <c r="P10" s="4" t="n"/>
      <c r="Q10">
        <f>MID($G10,1,1)</f>
        <v/>
      </c>
      <c r="R10">
        <f>MID($G10,2,1)</f>
        <v/>
      </c>
      <c r="S10">
        <f>MID($G10,3,1)</f>
        <v/>
      </c>
      <c r="T10">
        <f>MID($G10,4,1)</f>
        <v/>
      </c>
      <c r="U10">
        <f>MID($G10,5,1)</f>
        <v/>
      </c>
      <c r="V10">
        <f>MID($G10,6,1)</f>
        <v/>
      </c>
      <c r="W10">
        <f>MID($G10,7,1)</f>
        <v/>
      </c>
      <c r="X10">
        <f>MID($G10,8,1)</f>
        <v/>
      </c>
      <c r="Y10">
        <f>MID($G10,9,1)</f>
        <v/>
      </c>
      <c r="Z10">
        <f>MID($G10,10,1)</f>
        <v/>
      </c>
      <c r="AA10">
        <f>MID($H10,1,1)</f>
        <v/>
      </c>
      <c r="AB10">
        <f>MID($H10,2,1)</f>
        <v/>
      </c>
      <c r="AC10">
        <f>MID($H10,3,1)</f>
        <v/>
      </c>
      <c r="AD10">
        <f>MID($H10,4,1)</f>
        <v/>
      </c>
      <c r="AE10">
        <f>MID($H10,5,1)</f>
        <v/>
      </c>
      <c r="AF10">
        <f>MID($H10,6,1)</f>
        <v/>
      </c>
      <c r="AG10">
        <f>MID($H10,7,1)</f>
        <v/>
      </c>
      <c r="AH10">
        <f>MID($H10,8,1)</f>
        <v/>
      </c>
      <c r="AI10">
        <f>MID($H10,9,1)</f>
        <v/>
      </c>
      <c r="AJ10">
        <f>MID($H10,10,1)</f>
        <v/>
      </c>
    </row>
    <row r="11">
      <c r="A11" s="4" t="n">
        <v>10</v>
      </c>
      <c r="B11" s="4" t="inlineStr">
        <is>
          <t>是</t>
        </is>
      </c>
      <c r="C11" s="4" t="inlineStr">
        <is>
          <t>DN5010</t>
        </is>
      </c>
      <c r="D11" s="4" t="inlineStr">
        <is>
          <t>DN7010</t>
        </is>
      </c>
      <c r="E11" s="4" t="inlineStr">
        <is>
          <t>U677</t>
        </is>
      </c>
      <c r="F11" s="4" t="inlineStr">
        <is>
          <t>U414</t>
        </is>
      </c>
      <c r="G11" s="5" t="inlineStr">
        <is>
          <t>CAAGACTCTA</t>
        </is>
      </c>
      <c r="H11" s="5" t="inlineStr">
        <is>
          <t>GAACTTACAG</t>
        </is>
      </c>
      <c r="I11" s="4">
        <f>LEN(SUBSTITUTE(SUBSTITUTE(G11,"A",""),"T",""))</f>
        <v/>
      </c>
      <c r="J11" s="4">
        <f>LEN(SUBSTITUTE(SUBSTITUTE(H11,"A",""),"T",""))</f>
        <v/>
      </c>
      <c r="K11" s="6" t="inlineStr">
        <is>
          <t>A</t>
        </is>
      </c>
      <c r="L11" s="4" t="inlineStr">
        <is>
          <t>预测</t>
        </is>
      </c>
      <c r="M11" s="4" t="n">
        <v>-6.27</v>
      </c>
      <c r="N11" s="4" t="n">
        <v>-4.05</v>
      </c>
      <c r="O11" s="4" t="n"/>
      <c r="P11" s="4" t="n"/>
      <c r="Q11">
        <f>MID($G11,1,1)</f>
        <v/>
      </c>
      <c r="R11">
        <f>MID($G11,2,1)</f>
        <v/>
      </c>
      <c r="S11">
        <f>MID($G11,3,1)</f>
        <v/>
      </c>
      <c r="T11">
        <f>MID($G11,4,1)</f>
        <v/>
      </c>
      <c r="U11">
        <f>MID($G11,5,1)</f>
        <v/>
      </c>
      <c r="V11">
        <f>MID($G11,6,1)</f>
        <v/>
      </c>
      <c r="W11">
        <f>MID($G11,7,1)</f>
        <v/>
      </c>
      <c r="X11">
        <f>MID($G11,8,1)</f>
        <v/>
      </c>
      <c r="Y11">
        <f>MID($G11,9,1)</f>
        <v/>
      </c>
      <c r="Z11">
        <f>MID($G11,10,1)</f>
        <v/>
      </c>
      <c r="AA11">
        <f>MID($H11,1,1)</f>
        <v/>
      </c>
      <c r="AB11">
        <f>MID($H11,2,1)</f>
        <v/>
      </c>
      <c r="AC11">
        <f>MID($H11,3,1)</f>
        <v/>
      </c>
      <c r="AD11">
        <f>MID($H11,4,1)</f>
        <v/>
      </c>
      <c r="AE11">
        <f>MID($H11,5,1)</f>
        <v/>
      </c>
      <c r="AF11">
        <f>MID($H11,6,1)</f>
        <v/>
      </c>
      <c r="AG11">
        <f>MID($H11,7,1)</f>
        <v/>
      </c>
      <c r="AH11">
        <f>MID($H11,8,1)</f>
        <v/>
      </c>
      <c r="AI11">
        <f>MID($H11,9,1)</f>
        <v/>
      </c>
      <c r="AJ11">
        <f>MID($H11,10,1)</f>
        <v/>
      </c>
    </row>
    <row r="12">
      <c r="A12" s="4" t="n">
        <v>11</v>
      </c>
      <c r="B12" s="4" t="inlineStr">
        <is>
          <t>是</t>
        </is>
      </c>
      <c r="C12" s="4" t="inlineStr">
        <is>
          <t>DN5011</t>
        </is>
      </c>
      <c r="D12" s="4" t="inlineStr">
        <is>
          <t>DN7011</t>
        </is>
      </c>
      <c r="E12" s="4" t="inlineStr">
        <is>
          <t>U725</t>
        </is>
      </c>
      <c r="F12" s="4" t="inlineStr">
        <is>
          <t>U341</t>
        </is>
      </c>
      <c r="G12" s="5" t="inlineStr">
        <is>
          <t>GTGCGTTACC</t>
        </is>
      </c>
      <c r="H12" s="5" t="inlineStr">
        <is>
          <t>CTTGGTGTTG</t>
        </is>
      </c>
      <c r="I12" s="4">
        <f>LEN(SUBSTITUTE(SUBSTITUTE(G12,"A",""),"T",""))</f>
        <v/>
      </c>
      <c r="J12" s="4">
        <f>LEN(SUBSTITUTE(SUBSTITUTE(H12,"A",""),"T",""))</f>
        <v/>
      </c>
      <c r="K12" s="7" t="inlineStr">
        <is>
          <t>B</t>
        </is>
      </c>
      <c r="L12" s="4" t="inlineStr">
        <is>
          <t>预测</t>
        </is>
      </c>
      <c r="M12" s="4" t="n">
        <v>-6.44</v>
      </c>
      <c r="N12" s="4" t="n">
        <v>-5.05</v>
      </c>
      <c r="O12" s="4" t="n"/>
      <c r="P12" s="4" t="n"/>
      <c r="Q12">
        <f>MID($G12,1,1)</f>
        <v/>
      </c>
      <c r="R12">
        <f>MID($G12,2,1)</f>
        <v/>
      </c>
      <c r="S12">
        <f>MID($G12,3,1)</f>
        <v/>
      </c>
      <c r="T12">
        <f>MID($G12,4,1)</f>
        <v/>
      </c>
      <c r="U12">
        <f>MID($G12,5,1)</f>
        <v/>
      </c>
      <c r="V12">
        <f>MID($G12,6,1)</f>
        <v/>
      </c>
      <c r="W12">
        <f>MID($G12,7,1)</f>
        <v/>
      </c>
      <c r="X12">
        <f>MID($G12,8,1)</f>
        <v/>
      </c>
      <c r="Y12">
        <f>MID($G12,9,1)</f>
        <v/>
      </c>
      <c r="Z12">
        <f>MID($G12,10,1)</f>
        <v/>
      </c>
      <c r="AA12">
        <f>MID($H12,1,1)</f>
        <v/>
      </c>
      <c r="AB12">
        <f>MID($H12,2,1)</f>
        <v/>
      </c>
      <c r="AC12">
        <f>MID($H12,3,1)</f>
        <v/>
      </c>
      <c r="AD12">
        <f>MID($H12,4,1)</f>
        <v/>
      </c>
      <c r="AE12">
        <f>MID($H12,5,1)</f>
        <v/>
      </c>
      <c r="AF12">
        <f>MID($H12,6,1)</f>
        <v/>
      </c>
      <c r="AG12">
        <f>MID($H12,7,1)</f>
        <v/>
      </c>
      <c r="AH12">
        <f>MID($H12,8,1)</f>
        <v/>
      </c>
      <c r="AI12">
        <f>MID($H12,9,1)</f>
        <v/>
      </c>
      <c r="AJ12">
        <f>MID($H12,10,1)</f>
        <v/>
      </c>
    </row>
    <row r="13">
      <c r="A13" s="4" t="n">
        <v>12</v>
      </c>
      <c r="B13" s="4" t="inlineStr">
        <is>
          <t>是</t>
        </is>
      </c>
      <c r="C13" s="4" t="inlineStr">
        <is>
          <t>DN5012</t>
        </is>
      </c>
      <c r="D13" s="4" t="inlineStr">
        <is>
          <t>DN7012</t>
        </is>
      </c>
      <c r="E13" s="4" t="inlineStr">
        <is>
          <t>U723</t>
        </is>
      </c>
      <c r="F13" s="4" t="inlineStr">
        <is>
          <t>U878</t>
        </is>
      </c>
      <c r="G13" s="5" t="inlineStr">
        <is>
          <t>CTCTCGCTGT</t>
        </is>
      </c>
      <c r="H13" s="5" t="inlineStr">
        <is>
          <t>TAACTGAAGC</t>
        </is>
      </c>
      <c r="I13" s="4">
        <f>LEN(SUBSTITUTE(SUBSTITUTE(G13,"A",""),"T",""))</f>
        <v/>
      </c>
      <c r="J13" s="4">
        <f>LEN(SUBSTITUTE(SUBSTITUTE(H13,"A",""),"T",""))</f>
        <v/>
      </c>
      <c r="K13" s="6" t="inlineStr">
        <is>
          <t>A</t>
        </is>
      </c>
      <c r="L13" s="4" t="inlineStr">
        <is>
          <t>预测</t>
        </is>
      </c>
      <c r="M13" s="4" t="n">
        <v>-6.06</v>
      </c>
      <c r="N13" s="4" t="n">
        <v>-3.9</v>
      </c>
      <c r="O13" s="4" t="n"/>
      <c r="P13" s="4" t="n"/>
      <c r="Q13">
        <f>MID($G13,1,1)</f>
        <v/>
      </c>
      <c r="R13">
        <f>MID($G13,2,1)</f>
        <v/>
      </c>
      <c r="S13">
        <f>MID($G13,3,1)</f>
        <v/>
      </c>
      <c r="T13">
        <f>MID($G13,4,1)</f>
        <v/>
      </c>
      <c r="U13">
        <f>MID($G13,5,1)</f>
        <v/>
      </c>
      <c r="V13">
        <f>MID($G13,6,1)</f>
        <v/>
      </c>
      <c r="W13">
        <f>MID($G13,7,1)</f>
        <v/>
      </c>
      <c r="X13">
        <f>MID($G13,8,1)</f>
        <v/>
      </c>
      <c r="Y13">
        <f>MID($G13,9,1)</f>
        <v/>
      </c>
      <c r="Z13">
        <f>MID($G13,10,1)</f>
        <v/>
      </c>
      <c r="AA13">
        <f>MID($H13,1,1)</f>
        <v/>
      </c>
      <c r="AB13">
        <f>MID($H13,2,1)</f>
        <v/>
      </c>
      <c r="AC13">
        <f>MID($H13,3,1)</f>
        <v/>
      </c>
      <c r="AD13">
        <f>MID($H13,4,1)</f>
        <v/>
      </c>
      <c r="AE13">
        <f>MID($H13,5,1)</f>
        <v/>
      </c>
      <c r="AF13">
        <f>MID($H13,6,1)</f>
        <v/>
      </c>
      <c r="AG13">
        <f>MID($H13,7,1)</f>
        <v/>
      </c>
      <c r="AH13">
        <f>MID($H13,8,1)</f>
        <v/>
      </c>
      <c r="AI13">
        <f>MID($H13,9,1)</f>
        <v/>
      </c>
      <c r="AJ13">
        <f>MID($H13,10,1)</f>
        <v/>
      </c>
    </row>
    <row r="14">
      <c r="A14" s="4" t="n">
        <v>13</v>
      </c>
      <c r="B14" s="4" t="inlineStr">
        <is>
          <t>是</t>
        </is>
      </c>
      <c r="C14" s="4" t="inlineStr">
        <is>
          <t>DN5013</t>
        </is>
      </c>
      <c r="D14" s="4" t="inlineStr">
        <is>
          <t>DN7013</t>
        </is>
      </c>
      <c r="E14" s="4" t="inlineStr">
        <is>
          <t>U715</t>
        </is>
      </c>
      <c r="F14" s="4" t="inlineStr">
        <is>
          <t>U306</t>
        </is>
      </c>
      <c r="G14" s="5" t="inlineStr">
        <is>
          <t>ACCGAATTAG</t>
        </is>
      </c>
      <c r="H14" s="5" t="inlineStr">
        <is>
          <t>GCTTGGTTCT</t>
        </is>
      </c>
      <c r="I14" s="4">
        <f>LEN(SUBSTITUTE(SUBSTITUTE(G14,"A",""),"T",""))</f>
        <v/>
      </c>
      <c r="J14" s="4">
        <f>LEN(SUBSTITUTE(SUBSTITUTE(H14,"A",""),"T",""))</f>
        <v/>
      </c>
      <c r="K14" s="6" t="inlineStr">
        <is>
          <t>A</t>
        </is>
      </c>
      <c r="L14" s="4" t="inlineStr">
        <is>
          <t>预测</t>
        </is>
      </c>
      <c r="M14" s="4" t="n">
        <v>-6.79</v>
      </c>
      <c r="N14" s="4" t="n">
        <v>-4.05</v>
      </c>
      <c r="O14" s="4" t="n"/>
      <c r="P14" s="4" t="n"/>
      <c r="Q14">
        <f>MID($G14,1,1)</f>
        <v/>
      </c>
      <c r="R14">
        <f>MID($G14,2,1)</f>
        <v/>
      </c>
      <c r="S14">
        <f>MID($G14,3,1)</f>
        <v/>
      </c>
      <c r="T14">
        <f>MID($G14,4,1)</f>
        <v/>
      </c>
      <c r="U14">
        <f>MID($G14,5,1)</f>
        <v/>
      </c>
      <c r="V14">
        <f>MID($G14,6,1)</f>
        <v/>
      </c>
      <c r="W14">
        <f>MID($G14,7,1)</f>
        <v/>
      </c>
      <c r="X14">
        <f>MID($G14,8,1)</f>
        <v/>
      </c>
      <c r="Y14">
        <f>MID($G14,9,1)</f>
        <v/>
      </c>
      <c r="Z14">
        <f>MID($G14,10,1)</f>
        <v/>
      </c>
      <c r="AA14">
        <f>MID($H14,1,1)</f>
        <v/>
      </c>
      <c r="AB14">
        <f>MID($H14,2,1)</f>
        <v/>
      </c>
      <c r="AC14">
        <f>MID($H14,3,1)</f>
        <v/>
      </c>
      <c r="AD14">
        <f>MID($H14,4,1)</f>
        <v/>
      </c>
      <c r="AE14">
        <f>MID($H14,5,1)</f>
        <v/>
      </c>
      <c r="AF14">
        <f>MID($H14,6,1)</f>
        <v/>
      </c>
      <c r="AG14">
        <f>MID($H14,7,1)</f>
        <v/>
      </c>
      <c r="AH14">
        <f>MID($H14,8,1)</f>
        <v/>
      </c>
      <c r="AI14">
        <f>MID($H14,9,1)</f>
        <v/>
      </c>
      <c r="AJ14">
        <f>MID($H14,10,1)</f>
        <v/>
      </c>
    </row>
    <row r="15">
      <c r="A15" s="4" t="n">
        <v>14</v>
      </c>
      <c r="B15" s="4" t="inlineStr">
        <is>
          <t>是</t>
        </is>
      </c>
      <c r="C15" s="4" t="inlineStr">
        <is>
          <t>DN5014</t>
        </is>
      </c>
      <c r="D15" s="4" t="inlineStr">
        <is>
          <t>DN7014</t>
        </is>
      </c>
      <c r="E15" s="4" t="inlineStr">
        <is>
          <t>U099</t>
        </is>
      </c>
      <c r="F15" s="4" t="inlineStr">
        <is>
          <t>U508</t>
        </is>
      </c>
      <c r="G15" s="5" t="inlineStr">
        <is>
          <t>TGGATCCGAC</t>
        </is>
      </c>
      <c r="H15" s="5" t="inlineStr">
        <is>
          <t>TGATGACTCT</t>
        </is>
      </c>
      <c r="I15" s="4">
        <f>LEN(SUBSTITUTE(SUBSTITUTE(G15,"A",""),"T",""))</f>
        <v/>
      </c>
      <c r="J15" s="4">
        <f>LEN(SUBSTITUTE(SUBSTITUTE(H15,"A",""),"T",""))</f>
        <v/>
      </c>
      <c r="K15" s="7" t="inlineStr">
        <is>
          <t>B</t>
        </is>
      </c>
      <c r="L15" s="4" t="inlineStr">
        <is>
          <t>预测</t>
        </is>
      </c>
      <c r="M15" s="4" t="n">
        <v>-6.93</v>
      </c>
      <c r="N15" s="4" t="n">
        <v>-4.95</v>
      </c>
      <c r="O15" s="4" t="n"/>
      <c r="P15" s="4" t="n"/>
      <c r="Q15">
        <f>MID($G15,1,1)</f>
        <v/>
      </c>
      <c r="R15">
        <f>MID($G15,2,1)</f>
        <v/>
      </c>
      <c r="S15">
        <f>MID($G15,3,1)</f>
        <v/>
      </c>
      <c r="T15">
        <f>MID($G15,4,1)</f>
        <v/>
      </c>
      <c r="U15">
        <f>MID($G15,5,1)</f>
        <v/>
      </c>
      <c r="V15">
        <f>MID($G15,6,1)</f>
        <v/>
      </c>
      <c r="W15">
        <f>MID($G15,7,1)</f>
        <v/>
      </c>
      <c r="X15">
        <f>MID($G15,8,1)</f>
        <v/>
      </c>
      <c r="Y15">
        <f>MID($G15,9,1)</f>
        <v/>
      </c>
      <c r="Z15">
        <f>MID($G15,10,1)</f>
        <v/>
      </c>
      <c r="AA15">
        <f>MID($H15,1,1)</f>
        <v/>
      </c>
      <c r="AB15">
        <f>MID($H15,2,1)</f>
        <v/>
      </c>
      <c r="AC15">
        <f>MID($H15,3,1)</f>
        <v/>
      </c>
      <c r="AD15">
        <f>MID($H15,4,1)</f>
        <v/>
      </c>
      <c r="AE15">
        <f>MID($H15,5,1)</f>
        <v/>
      </c>
      <c r="AF15">
        <f>MID($H15,6,1)</f>
        <v/>
      </c>
      <c r="AG15">
        <f>MID($H15,7,1)</f>
        <v/>
      </c>
      <c r="AH15">
        <f>MID($H15,8,1)</f>
        <v/>
      </c>
      <c r="AI15">
        <f>MID($H15,9,1)</f>
        <v/>
      </c>
      <c r="AJ15">
        <f>MID($H15,10,1)</f>
        <v/>
      </c>
    </row>
    <row r="16">
      <c r="A16" s="4" t="n">
        <v>15</v>
      </c>
      <c r="B16" s="4" t="inlineStr">
        <is>
          <t>是</t>
        </is>
      </c>
      <c r="C16" s="4" t="inlineStr">
        <is>
          <t>DN5015</t>
        </is>
      </c>
      <c r="D16" s="4" t="inlineStr">
        <is>
          <t>DN7015</t>
        </is>
      </c>
      <c r="E16" s="4" t="inlineStr">
        <is>
          <t>U302</t>
        </is>
      </c>
      <c r="F16" s="4" t="inlineStr">
        <is>
          <t>U579</t>
        </is>
      </c>
      <c r="G16" s="5" t="inlineStr">
        <is>
          <t>GACGGTTACT</t>
        </is>
      </c>
      <c r="H16" s="5" t="inlineStr">
        <is>
          <t>AAGTTGTTGC</t>
        </is>
      </c>
      <c r="I16" s="4">
        <f>LEN(SUBSTITUTE(SUBSTITUTE(G16,"A",""),"T",""))</f>
        <v/>
      </c>
      <c r="J16" s="4">
        <f>LEN(SUBSTITUTE(SUBSTITUTE(H16,"A",""),"T",""))</f>
        <v/>
      </c>
      <c r="K16" s="6" t="inlineStr">
        <is>
          <t>A</t>
        </is>
      </c>
      <c r="L16" s="4" t="inlineStr">
        <is>
          <t>预测</t>
        </is>
      </c>
      <c r="M16" s="4" t="n">
        <v>-6.27</v>
      </c>
      <c r="N16" s="4" t="n">
        <v>-3.58</v>
      </c>
      <c r="O16" s="4" t="n"/>
      <c r="P16" s="4" t="n"/>
      <c r="Q16">
        <f>MID($G16,1,1)</f>
        <v/>
      </c>
      <c r="R16">
        <f>MID($G16,2,1)</f>
        <v/>
      </c>
      <c r="S16">
        <f>MID($G16,3,1)</f>
        <v/>
      </c>
      <c r="T16">
        <f>MID($G16,4,1)</f>
        <v/>
      </c>
      <c r="U16">
        <f>MID($G16,5,1)</f>
        <v/>
      </c>
      <c r="V16">
        <f>MID($G16,6,1)</f>
        <v/>
      </c>
      <c r="W16">
        <f>MID($G16,7,1)</f>
        <v/>
      </c>
      <c r="X16">
        <f>MID($G16,8,1)</f>
        <v/>
      </c>
      <c r="Y16">
        <f>MID($G16,9,1)</f>
        <v/>
      </c>
      <c r="Z16">
        <f>MID($G16,10,1)</f>
        <v/>
      </c>
      <c r="AA16">
        <f>MID($H16,1,1)</f>
        <v/>
      </c>
      <c r="AB16">
        <f>MID($H16,2,1)</f>
        <v/>
      </c>
      <c r="AC16">
        <f>MID($H16,3,1)</f>
        <v/>
      </c>
      <c r="AD16">
        <f>MID($H16,4,1)</f>
        <v/>
      </c>
      <c r="AE16">
        <f>MID($H16,5,1)</f>
        <v/>
      </c>
      <c r="AF16">
        <f>MID($H16,6,1)</f>
        <v/>
      </c>
      <c r="AG16">
        <f>MID($H16,7,1)</f>
        <v/>
      </c>
      <c r="AH16">
        <f>MID($H16,8,1)</f>
        <v/>
      </c>
      <c r="AI16">
        <f>MID($H16,9,1)</f>
        <v/>
      </c>
      <c r="AJ16">
        <f>MID($H16,10,1)</f>
        <v/>
      </c>
    </row>
    <row r="17">
      <c r="A17" s="4" t="n">
        <v>16</v>
      </c>
      <c r="B17" s="4" t="inlineStr">
        <is>
          <t>是</t>
        </is>
      </c>
      <c r="C17" s="4" t="inlineStr">
        <is>
          <t>DN5016</t>
        </is>
      </c>
      <c r="D17" s="4" t="inlineStr">
        <is>
          <t>DN7016</t>
        </is>
      </c>
      <c r="E17" s="4" t="inlineStr">
        <is>
          <t>U222</t>
        </is>
      </c>
      <c r="F17" s="4" t="inlineStr">
        <is>
          <t>U419</t>
        </is>
      </c>
      <c r="G17" s="5" t="inlineStr">
        <is>
          <t>CTTCTCCGCT</t>
        </is>
      </c>
      <c r="H17" s="5" t="inlineStr">
        <is>
          <t>GAGCCTGGAA</t>
        </is>
      </c>
      <c r="I17" s="4">
        <f>LEN(SUBSTITUTE(SUBSTITUTE(G17,"A",""),"T",""))</f>
        <v/>
      </c>
      <c r="J17" s="4">
        <f>LEN(SUBSTITUTE(SUBSTITUTE(H17,"A",""),"T",""))</f>
        <v/>
      </c>
      <c r="K17" s="6" t="inlineStr">
        <is>
          <t>A</t>
        </is>
      </c>
      <c r="L17" s="4" t="inlineStr">
        <is>
          <t>预测</t>
        </is>
      </c>
      <c r="M17" s="4" t="n">
        <v>-6.11</v>
      </c>
      <c r="N17" s="4" t="n">
        <v>-3.58</v>
      </c>
      <c r="O17" s="4" t="n"/>
      <c r="P17" s="4" t="n"/>
      <c r="Q17">
        <f>MID($G17,1,1)</f>
        <v/>
      </c>
      <c r="R17">
        <f>MID($G17,2,1)</f>
        <v/>
      </c>
      <c r="S17">
        <f>MID($G17,3,1)</f>
        <v/>
      </c>
      <c r="T17">
        <f>MID($G17,4,1)</f>
        <v/>
      </c>
      <c r="U17">
        <f>MID($G17,5,1)</f>
        <v/>
      </c>
      <c r="V17">
        <f>MID($G17,6,1)</f>
        <v/>
      </c>
      <c r="W17">
        <f>MID($G17,7,1)</f>
        <v/>
      </c>
      <c r="X17">
        <f>MID($G17,8,1)</f>
        <v/>
      </c>
      <c r="Y17">
        <f>MID($G17,9,1)</f>
        <v/>
      </c>
      <c r="Z17">
        <f>MID($G17,10,1)</f>
        <v/>
      </c>
      <c r="AA17">
        <f>MID($H17,1,1)</f>
        <v/>
      </c>
      <c r="AB17">
        <f>MID($H17,2,1)</f>
        <v/>
      </c>
      <c r="AC17">
        <f>MID($H17,3,1)</f>
        <v/>
      </c>
      <c r="AD17">
        <f>MID($H17,4,1)</f>
        <v/>
      </c>
      <c r="AE17">
        <f>MID($H17,5,1)</f>
        <v/>
      </c>
      <c r="AF17">
        <f>MID($H17,6,1)</f>
        <v/>
      </c>
      <c r="AG17">
        <f>MID($H17,7,1)</f>
        <v/>
      </c>
      <c r="AH17">
        <f>MID($H17,8,1)</f>
        <v/>
      </c>
      <c r="AI17">
        <f>MID($H17,9,1)</f>
        <v/>
      </c>
      <c r="AJ17">
        <f>MID($H17,10,1)</f>
        <v/>
      </c>
    </row>
    <row r="18">
      <c r="A18" s="4" t="n">
        <v>17</v>
      </c>
      <c r="B18" s="4" t="inlineStr">
        <is>
          <t>是</t>
        </is>
      </c>
      <c r="C18" s="4" t="inlineStr">
        <is>
          <t>DN5017</t>
        </is>
      </c>
      <c r="D18" s="4" t="inlineStr">
        <is>
          <t>DN7017</t>
        </is>
      </c>
      <c r="E18" s="4" t="inlineStr">
        <is>
          <t>U544</t>
        </is>
      </c>
      <c r="F18" s="4" t="inlineStr">
        <is>
          <t>U489</t>
        </is>
      </c>
      <c r="G18" s="5" t="inlineStr">
        <is>
          <t>GATTCGTTGG</t>
        </is>
      </c>
      <c r="H18" s="5" t="inlineStr">
        <is>
          <t>AGGCGCCATT</t>
        </is>
      </c>
      <c r="I18" s="4">
        <f>LEN(SUBSTITUTE(SUBSTITUTE(G18,"A",""),"T",""))</f>
        <v/>
      </c>
      <c r="J18" s="4">
        <f>LEN(SUBSTITUTE(SUBSTITUTE(H18,"A",""),"T",""))</f>
        <v/>
      </c>
      <c r="K18" s="6" t="inlineStr">
        <is>
          <t>A</t>
        </is>
      </c>
      <c r="L18" s="4" t="inlineStr">
        <is>
          <t>预测</t>
        </is>
      </c>
      <c r="M18" s="4" t="n">
        <v>-6.81</v>
      </c>
      <c r="N18" s="4" t="n">
        <v>-2.94</v>
      </c>
      <c r="O18" s="4" t="n"/>
      <c r="P18" s="4" t="n"/>
      <c r="Q18">
        <f>MID($G18,1,1)</f>
        <v/>
      </c>
      <c r="R18">
        <f>MID($G18,2,1)</f>
        <v/>
      </c>
      <c r="S18">
        <f>MID($G18,3,1)</f>
        <v/>
      </c>
      <c r="T18">
        <f>MID($G18,4,1)</f>
        <v/>
      </c>
      <c r="U18">
        <f>MID($G18,5,1)</f>
        <v/>
      </c>
      <c r="V18">
        <f>MID($G18,6,1)</f>
        <v/>
      </c>
      <c r="W18">
        <f>MID($G18,7,1)</f>
        <v/>
      </c>
      <c r="X18">
        <f>MID($G18,8,1)</f>
        <v/>
      </c>
      <c r="Y18">
        <f>MID($G18,9,1)</f>
        <v/>
      </c>
      <c r="Z18">
        <f>MID($G18,10,1)</f>
        <v/>
      </c>
      <c r="AA18">
        <f>MID($H18,1,1)</f>
        <v/>
      </c>
      <c r="AB18">
        <f>MID($H18,2,1)</f>
        <v/>
      </c>
      <c r="AC18">
        <f>MID($H18,3,1)</f>
        <v/>
      </c>
      <c r="AD18">
        <f>MID($H18,4,1)</f>
        <v/>
      </c>
      <c r="AE18">
        <f>MID($H18,5,1)</f>
        <v/>
      </c>
      <c r="AF18">
        <f>MID($H18,6,1)</f>
        <v/>
      </c>
      <c r="AG18">
        <f>MID($H18,7,1)</f>
        <v/>
      </c>
      <c r="AH18">
        <f>MID($H18,8,1)</f>
        <v/>
      </c>
      <c r="AI18">
        <f>MID($H18,9,1)</f>
        <v/>
      </c>
      <c r="AJ18">
        <f>MID($H18,10,1)</f>
        <v/>
      </c>
    </row>
    <row r="19">
      <c r="A19" s="4" t="n">
        <v>18</v>
      </c>
      <c r="B19" s="4" t="inlineStr">
        <is>
          <t>是</t>
        </is>
      </c>
      <c r="C19" s="4" t="inlineStr">
        <is>
          <t>DN5018</t>
        </is>
      </c>
      <c r="D19" s="4" t="inlineStr">
        <is>
          <t>DN7018</t>
        </is>
      </c>
      <c r="E19" s="4" t="inlineStr">
        <is>
          <t>U593</t>
        </is>
      </c>
      <c r="F19" s="4" t="inlineStr">
        <is>
          <t>U654</t>
        </is>
      </c>
      <c r="G19" s="5" t="inlineStr">
        <is>
          <t>ACACCGTTGG</t>
        </is>
      </c>
      <c r="H19" s="5" t="inlineStr">
        <is>
          <t>CAGGATCGCT</t>
        </is>
      </c>
      <c r="I19" s="4">
        <f>LEN(SUBSTITUTE(SUBSTITUTE(G19,"A",""),"T",""))</f>
        <v/>
      </c>
      <c r="J19" s="4">
        <f>LEN(SUBSTITUTE(SUBSTITUTE(H19,"A",""),"T",""))</f>
        <v/>
      </c>
      <c r="K19" s="6" t="inlineStr">
        <is>
          <t>A</t>
        </is>
      </c>
      <c r="L19" s="4" t="inlineStr">
        <is>
          <t>预测</t>
        </is>
      </c>
      <c r="M19" s="4" t="n">
        <v>-6.86</v>
      </c>
      <c r="N19" s="4" t="n">
        <v>-3.35</v>
      </c>
      <c r="O19" s="4" t="n"/>
      <c r="P19" s="4" t="n"/>
      <c r="Q19">
        <f>MID($G19,1,1)</f>
        <v/>
      </c>
      <c r="R19">
        <f>MID($G19,2,1)</f>
        <v/>
      </c>
      <c r="S19">
        <f>MID($G19,3,1)</f>
        <v/>
      </c>
      <c r="T19">
        <f>MID($G19,4,1)</f>
        <v/>
      </c>
      <c r="U19">
        <f>MID($G19,5,1)</f>
        <v/>
      </c>
      <c r="V19">
        <f>MID($G19,6,1)</f>
        <v/>
      </c>
      <c r="W19">
        <f>MID($G19,7,1)</f>
        <v/>
      </c>
      <c r="X19">
        <f>MID($G19,8,1)</f>
        <v/>
      </c>
      <c r="Y19">
        <f>MID($G19,9,1)</f>
        <v/>
      </c>
      <c r="Z19">
        <f>MID($G19,10,1)</f>
        <v/>
      </c>
      <c r="AA19">
        <f>MID($H19,1,1)</f>
        <v/>
      </c>
      <c r="AB19">
        <f>MID($H19,2,1)</f>
        <v/>
      </c>
      <c r="AC19">
        <f>MID($H19,3,1)</f>
        <v/>
      </c>
      <c r="AD19">
        <f>MID($H19,4,1)</f>
        <v/>
      </c>
      <c r="AE19">
        <f>MID($H19,5,1)</f>
        <v/>
      </c>
      <c r="AF19">
        <f>MID($H19,6,1)</f>
        <v/>
      </c>
      <c r="AG19">
        <f>MID($H19,7,1)</f>
        <v/>
      </c>
      <c r="AH19">
        <f>MID($H19,8,1)</f>
        <v/>
      </c>
      <c r="AI19">
        <f>MID($H19,9,1)</f>
        <v/>
      </c>
      <c r="AJ19">
        <f>MID($H19,10,1)</f>
        <v/>
      </c>
    </row>
    <row r="20">
      <c r="A20" s="4" t="n">
        <v>19</v>
      </c>
      <c r="B20" s="4" t="inlineStr">
        <is>
          <t>是</t>
        </is>
      </c>
      <c r="C20" s="4" t="inlineStr">
        <is>
          <t>DN5019</t>
        </is>
      </c>
      <c r="D20" s="4" t="inlineStr">
        <is>
          <t>DN7019</t>
        </is>
      </c>
      <c r="E20" s="4" t="inlineStr">
        <is>
          <t>U595</t>
        </is>
      </c>
      <c r="F20" s="4" t="inlineStr">
        <is>
          <t>U181</t>
        </is>
      </c>
      <c r="G20" s="5" t="inlineStr">
        <is>
          <t>TTCAACAGGT</t>
        </is>
      </c>
      <c r="H20" s="5" t="inlineStr">
        <is>
          <t>CACCACGGTT</t>
        </is>
      </c>
      <c r="I20" s="4">
        <f>LEN(SUBSTITUTE(SUBSTITUTE(G20,"A",""),"T",""))</f>
        <v/>
      </c>
      <c r="J20" s="4">
        <f>LEN(SUBSTITUTE(SUBSTITUTE(H20,"A",""),"T",""))</f>
        <v/>
      </c>
      <c r="K20" s="6" t="inlineStr">
        <is>
          <t>A</t>
        </is>
      </c>
      <c r="L20" s="4" t="inlineStr">
        <is>
          <t>预测</t>
        </is>
      </c>
      <c r="M20" s="4" t="n">
        <v>-6.68</v>
      </c>
      <c r="N20" s="4" t="n">
        <v>-3.79</v>
      </c>
      <c r="O20" s="4" t="n"/>
      <c r="P20" s="4" t="n"/>
      <c r="Q20">
        <f>MID($G20,1,1)</f>
        <v/>
      </c>
      <c r="R20">
        <f>MID($G20,2,1)</f>
        <v/>
      </c>
      <c r="S20">
        <f>MID($G20,3,1)</f>
        <v/>
      </c>
      <c r="T20">
        <f>MID($G20,4,1)</f>
        <v/>
      </c>
      <c r="U20">
        <f>MID($G20,5,1)</f>
        <v/>
      </c>
      <c r="V20">
        <f>MID($G20,6,1)</f>
        <v/>
      </c>
      <c r="W20">
        <f>MID($G20,7,1)</f>
        <v/>
      </c>
      <c r="X20">
        <f>MID($G20,8,1)</f>
        <v/>
      </c>
      <c r="Y20">
        <f>MID($G20,9,1)</f>
        <v/>
      </c>
      <c r="Z20">
        <f>MID($G20,10,1)</f>
        <v/>
      </c>
      <c r="AA20">
        <f>MID($H20,1,1)</f>
        <v/>
      </c>
      <c r="AB20">
        <f>MID($H20,2,1)</f>
        <v/>
      </c>
      <c r="AC20">
        <f>MID($H20,3,1)</f>
        <v/>
      </c>
      <c r="AD20">
        <f>MID($H20,4,1)</f>
        <v/>
      </c>
      <c r="AE20">
        <f>MID($H20,5,1)</f>
        <v/>
      </c>
      <c r="AF20">
        <f>MID($H20,6,1)</f>
        <v/>
      </c>
      <c r="AG20">
        <f>MID($H20,7,1)</f>
        <v/>
      </c>
      <c r="AH20">
        <f>MID($H20,8,1)</f>
        <v/>
      </c>
      <c r="AI20">
        <f>MID($H20,9,1)</f>
        <v/>
      </c>
      <c r="AJ20">
        <f>MID($H20,10,1)</f>
        <v/>
      </c>
    </row>
    <row r="21">
      <c r="A21" s="4" t="n">
        <v>20</v>
      </c>
      <c r="B21" s="4" t="inlineStr">
        <is>
          <t>是</t>
        </is>
      </c>
      <c r="C21" s="4" t="inlineStr">
        <is>
          <t>DN5020</t>
        </is>
      </c>
      <c r="D21" s="4" t="inlineStr">
        <is>
          <t>DN7020</t>
        </is>
      </c>
      <c r="E21" s="4" t="inlineStr">
        <is>
          <t>U238</t>
        </is>
      </c>
      <c r="F21" s="4" t="inlineStr">
        <is>
          <t>U112</t>
        </is>
      </c>
      <c r="G21" s="5" t="inlineStr">
        <is>
          <t>CATGCGTGGT</t>
        </is>
      </c>
      <c r="H21" s="5" t="inlineStr">
        <is>
          <t>AGCGCTGAAT</t>
        </is>
      </c>
      <c r="I21" s="4">
        <f>LEN(SUBSTITUTE(SUBSTITUTE(G21,"A",""),"T",""))</f>
        <v/>
      </c>
      <c r="J21" s="4">
        <f>LEN(SUBSTITUTE(SUBSTITUTE(H21,"A",""),"T",""))</f>
        <v/>
      </c>
      <c r="K21" s="6" t="inlineStr">
        <is>
          <t>A</t>
        </is>
      </c>
      <c r="L21" s="4" t="inlineStr">
        <is>
          <t>预测</t>
        </is>
      </c>
      <c r="M21" s="4" t="n">
        <v>-6.27</v>
      </c>
      <c r="N21" s="4" t="n">
        <v>-3.79</v>
      </c>
      <c r="O21" s="4" t="n"/>
      <c r="P21" s="4" t="n"/>
      <c r="Q21">
        <f>MID($G21,1,1)</f>
        <v/>
      </c>
      <c r="R21">
        <f>MID($G21,2,1)</f>
        <v/>
      </c>
      <c r="S21">
        <f>MID($G21,3,1)</f>
        <v/>
      </c>
      <c r="T21">
        <f>MID($G21,4,1)</f>
        <v/>
      </c>
      <c r="U21">
        <f>MID($G21,5,1)</f>
        <v/>
      </c>
      <c r="V21">
        <f>MID($G21,6,1)</f>
        <v/>
      </c>
      <c r="W21">
        <f>MID($G21,7,1)</f>
        <v/>
      </c>
      <c r="X21">
        <f>MID($G21,8,1)</f>
        <v/>
      </c>
      <c r="Y21">
        <f>MID($G21,9,1)</f>
        <v/>
      </c>
      <c r="Z21">
        <f>MID($G21,10,1)</f>
        <v/>
      </c>
      <c r="AA21">
        <f>MID($H21,1,1)</f>
        <v/>
      </c>
      <c r="AB21">
        <f>MID($H21,2,1)</f>
        <v/>
      </c>
      <c r="AC21">
        <f>MID($H21,3,1)</f>
        <v/>
      </c>
      <c r="AD21">
        <f>MID($H21,4,1)</f>
        <v/>
      </c>
      <c r="AE21">
        <f>MID($H21,5,1)</f>
        <v/>
      </c>
      <c r="AF21">
        <f>MID($H21,6,1)</f>
        <v/>
      </c>
      <c r="AG21">
        <f>MID($H21,7,1)</f>
        <v/>
      </c>
      <c r="AH21">
        <f>MID($H21,8,1)</f>
        <v/>
      </c>
      <c r="AI21">
        <f>MID($H21,9,1)</f>
        <v/>
      </c>
      <c r="AJ21">
        <f>MID($H21,10,1)</f>
        <v/>
      </c>
    </row>
    <row r="22">
      <c r="A22" s="4" t="n">
        <v>21</v>
      </c>
      <c r="B22" s="4" t="inlineStr">
        <is>
          <t>是</t>
        </is>
      </c>
      <c r="C22" s="4" t="inlineStr">
        <is>
          <t>DN5021</t>
        </is>
      </c>
      <c r="D22" s="4" t="inlineStr">
        <is>
          <t>DN7021</t>
        </is>
      </c>
      <c r="E22" s="4" t="inlineStr">
        <is>
          <t>U067</t>
        </is>
      </c>
      <c r="F22" s="4" t="inlineStr">
        <is>
          <t>U957</t>
        </is>
      </c>
      <c r="G22" s="5" t="inlineStr">
        <is>
          <t>CGAATCTTCA</t>
        </is>
      </c>
      <c r="H22" s="5" t="inlineStr">
        <is>
          <t>CTTACTGGAC</t>
        </is>
      </c>
      <c r="I22" s="4">
        <f>LEN(SUBSTITUTE(SUBSTITUTE(G22,"A",""),"T",""))</f>
        <v/>
      </c>
      <c r="J22" s="4">
        <f>LEN(SUBSTITUTE(SUBSTITUTE(H22,"A",""),"T",""))</f>
        <v/>
      </c>
      <c r="K22" s="6" t="inlineStr">
        <is>
          <t>A</t>
        </is>
      </c>
      <c r="L22" s="4" t="inlineStr">
        <is>
          <t>预测</t>
        </is>
      </c>
      <c r="M22" s="4" t="n">
        <v>-6.03</v>
      </c>
      <c r="N22" s="4" t="n">
        <v>-2.45</v>
      </c>
      <c r="O22" s="4" t="n"/>
      <c r="P22" s="4" t="n"/>
      <c r="Q22">
        <f>MID($G22,1,1)</f>
        <v/>
      </c>
      <c r="R22">
        <f>MID($G22,2,1)</f>
        <v/>
      </c>
      <c r="S22">
        <f>MID($G22,3,1)</f>
        <v/>
      </c>
      <c r="T22">
        <f>MID($G22,4,1)</f>
        <v/>
      </c>
      <c r="U22">
        <f>MID($G22,5,1)</f>
        <v/>
      </c>
      <c r="V22">
        <f>MID($G22,6,1)</f>
        <v/>
      </c>
      <c r="W22">
        <f>MID($G22,7,1)</f>
        <v/>
      </c>
      <c r="X22">
        <f>MID($G22,8,1)</f>
        <v/>
      </c>
      <c r="Y22">
        <f>MID($G22,9,1)</f>
        <v/>
      </c>
      <c r="Z22">
        <f>MID($G22,10,1)</f>
        <v/>
      </c>
      <c r="AA22">
        <f>MID($H22,1,1)</f>
        <v/>
      </c>
      <c r="AB22">
        <f>MID($H22,2,1)</f>
        <v/>
      </c>
      <c r="AC22">
        <f>MID($H22,3,1)</f>
        <v/>
      </c>
      <c r="AD22">
        <f>MID($H22,4,1)</f>
        <v/>
      </c>
      <c r="AE22">
        <f>MID($H22,5,1)</f>
        <v/>
      </c>
      <c r="AF22">
        <f>MID($H22,6,1)</f>
        <v/>
      </c>
      <c r="AG22">
        <f>MID($H22,7,1)</f>
        <v/>
      </c>
      <c r="AH22">
        <f>MID($H22,8,1)</f>
        <v/>
      </c>
      <c r="AI22">
        <f>MID($H22,9,1)</f>
        <v/>
      </c>
      <c r="AJ22">
        <f>MID($H22,10,1)</f>
        <v/>
      </c>
    </row>
    <row r="23">
      <c r="A23" s="4" t="n">
        <v>22</v>
      </c>
      <c r="B23" s="4" t="inlineStr">
        <is>
          <t>是</t>
        </is>
      </c>
      <c r="C23" s="4" t="inlineStr">
        <is>
          <t>DN5022</t>
        </is>
      </c>
      <c r="D23" s="4" t="inlineStr">
        <is>
          <t>DN7022</t>
        </is>
      </c>
      <c r="E23" s="4" t="inlineStr">
        <is>
          <t>U681</t>
        </is>
      </c>
      <c r="F23" s="4" t="inlineStr">
        <is>
          <t>U079</t>
        </is>
      </c>
      <c r="G23" s="5" t="inlineStr">
        <is>
          <t>CACAACATTC</t>
        </is>
      </c>
      <c r="H23" s="5" t="inlineStr">
        <is>
          <t>CAAGTAGAGC</t>
        </is>
      </c>
      <c r="I23" s="4">
        <f>LEN(SUBSTITUTE(SUBSTITUTE(G23,"A",""),"T",""))</f>
        <v/>
      </c>
      <c r="J23" s="4">
        <f>LEN(SUBSTITUTE(SUBSTITUTE(H23,"A",""),"T",""))</f>
        <v/>
      </c>
      <c r="K23" s="7" t="inlineStr">
        <is>
          <t>B</t>
        </is>
      </c>
      <c r="L23" s="4" t="inlineStr">
        <is>
          <t>预测</t>
        </is>
      </c>
      <c r="M23" s="4" t="n">
        <v>-6.03</v>
      </c>
      <c r="N23" s="4" t="n">
        <v>-4.7</v>
      </c>
      <c r="O23" s="4" t="n"/>
      <c r="P23" s="4" t="n"/>
      <c r="Q23">
        <f>MID($G23,1,1)</f>
        <v/>
      </c>
      <c r="R23">
        <f>MID($G23,2,1)</f>
        <v/>
      </c>
      <c r="S23">
        <f>MID($G23,3,1)</f>
        <v/>
      </c>
      <c r="T23">
        <f>MID($G23,4,1)</f>
        <v/>
      </c>
      <c r="U23">
        <f>MID($G23,5,1)</f>
        <v/>
      </c>
      <c r="V23">
        <f>MID($G23,6,1)</f>
        <v/>
      </c>
      <c r="W23">
        <f>MID($G23,7,1)</f>
        <v/>
      </c>
      <c r="X23">
        <f>MID($G23,8,1)</f>
        <v/>
      </c>
      <c r="Y23">
        <f>MID($G23,9,1)</f>
        <v/>
      </c>
      <c r="Z23">
        <f>MID($G23,10,1)</f>
        <v/>
      </c>
      <c r="AA23">
        <f>MID($H23,1,1)</f>
        <v/>
      </c>
      <c r="AB23">
        <f>MID($H23,2,1)</f>
        <v/>
      </c>
      <c r="AC23">
        <f>MID($H23,3,1)</f>
        <v/>
      </c>
      <c r="AD23">
        <f>MID($H23,4,1)</f>
        <v/>
      </c>
      <c r="AE23">
        <f>MID($H23,5,1)</f>
        <v/>
      </c>
      <c r="AF23">
        <f>MID($H23,6,1)</f>
        <v/>
      </c>
      <c r="AG23">
        <f>MID($H23,7,1)</f>
        <v/>
      </c>
      <c r="AH23">
        <f>MID($H23,8,1)</f>
        <v/>
      </c>
      <c r="AI23">
        <f>MID($H23,9,1)</f>
        <v/>
      </c>
      <c r="AJ23">
        <f>MID($H23,10,1)</f>
        <v/>
      </c>
    </row>
    <row r="24">
      <c r="A24" s="4" t="n">
        <v>23</v>
      </c>
      <c r="B24" s="4" t="inlineStr">
        <is>
          <t>是</t>
        </is>
      </c>
      <c r="C24" s="4" t="inlineStr">
        <is>
          <t>DN5023</t>
        </is>
      </c>
      <c r="D24" s="4" t="inlineStr">
        <is>
          <t>DN7023</t>
        </is>
      </c>
      <c r="E24" s="4" t="inlineStr">
        <is>
          <t>U506</t>
        </is>
      </c>
      <c r="F24" s="4" t="inlineStr">
        <is>
          <t>U806</t>
        </is>
      </c>
      <c r="G24" s="5" t="inlineStr">
        <is>
          <t>TTCAAGCTCC</t>
        </is>
      </c>
      <c r="H24" s="5" t="inlineStr">
        <is>
          <t>GTCGGTAATA</t>
        </is>
      </c>
      <c r="I24" s="4">
        <f>LEN(SUBSTITUTE(SUBSTITUTE(G24,"A",""),"T",""))</f>
        <v/>
      </c>
      <c r="J24" s="4">
        <f>LEN(SUBSTITUTE(SUBSTITUTE(H24,"A",""),"T",""))</f>
        <v/>
      </c>
      <c r="K24" s="7" t="inlineStr">
        <is>
          <t>B</t>
        </is>
      </c>
      <c r="L24" s="4" t="inlineStr">
        <is>
          <t>预测</t>
        </is>
      </c>
      <c r="M24" s="4" t="n">
        <v>-6.63</v>
      </c>
      <c r="N24" s="4" t="n">
        <v>-4.54</v>
      </c>
      <c r="O24" s="4" t="n"/>
      <c r="P24" s="4" t="n"/>
      <c r="Q24">
        <f>MID($G24,1,1)</f>
        <v/>
      </c>
      <c r="R24">
        <f>MID($G24,2,1)</f>
        <v/>
      </c>
      <c r="S24">
        <f>MID($G24,3,1)</f>
        <v/>
      </c>
      <c r="T24">
        <f>MID($G24,4,1)</f>
        <v/>
      </c>
      <c r="U24">
        <f>MID($G24,5,1)</f>
        <v/>
      </c>
      <c r="V24">
        <f>MID($G24,6,1)</f>
        <v/>
      </c>
      <c r="W24">
        <f>MID($G24,7,1)</f>
        <v/>
      </c>
      <c r="X24">
        <f>MID($G24,8,1)</f>
        <v/>
      </c>
      <c r="Y24">
        <f>MID($G24,9,1)</f>
        <v/>
      </c>
      <c r="Z24">
        <f>MID($G24,10,1)</f>
        <v/>
      </c>
      <c r="AA24">
        <f>MID($H24,1,1)</f>
        <v/>
      </c>
      <c r="AB24">
        <f>MID($H24,2,1)</f>
        <v/>
      </c>
      <c r="AC24">
        <f>MID($H24,3,1)</f>
        <v/>
      </c>
      <c r="AD24">
        <f>MID($H24,4,1)</f>
        <v/>
      </c>
      <c r="AE24">
        <f>MID($H24,5,1)</f>
        <v/>
      </c>
      <c r="AF24">
        <f>MID($H24,6,1)</f>
        <v/>
      </c>
      <c r="AG24">
        <f>MID($H24,7,1)</f>
        <v/>
      </c>
      <c r="AH24">
        <f>MID($H24,8,1)</f>
        <v/>
      </c>
      <c r="AI24">
        <f>MID($H24,9,1)</f>
        <v/>
      </c>
      <c r="AJ24">
        <f>MID($H24,10,1)</f>
        <v/>
      </c>
    </row>
    <row r="25">
      <c r="A25" s="4" t="n">
        <v>24</v>
      </c>
      <c r="B25" s="4" t="inlineStr">
        <is>
          <t>是</t>
        </is>
      </c>
      <c r="C25" s="4" t="inlineStr">
        <is>
          <t>DN5024</t>
        </is>
      </c>
      <c r="D25" s="4" t="inlineStr">
        <is>
          <t>DN7024</t>
        </is>
      </c>
      <c r="E25" s="4" t="inlineStr">
        <is>
          <t>U565</t>
        </is>
      </c>
      <c r="F25" s="4" t="inlineStr">
        <is>
          <t>U606</t>
        </is>
      </c>
      <c r="G25" s="5" t="inlineStr">
        <is>
          <t>TCGACGTAGG</t>
        </is>
      </c>
      <c r="H25" s="5" t="inlineStr">
        <is>
          <t>CATTGACGCC</t>
        </is>
      </c>
      <c r="I25" s="4">
        <f>LEN(SUBSTITUTE(SUBSTITUTE(G25,"A",""),"T",""))</f>
        <v/>
      </c>
      <c r="J25" s="4">
        <f>LEN(SUBSTITUTE(SUBSTITUTE(H25,"A",""),"T",""))</f>
        <v/>
      </c>
      <c r="K25" s="6" t="inlineStr">
        <is>
          <t>A</t>
        </is>
      </c>
      <c r="L25" s="4" t="inlineStr">
        <is>
          <t>预测</t>
        </is>
      </c>
      <c r="M25" s="4" t="n">
        <v>-6.89</v>
      </c>
      <c r="N25" s="4" t="n">
        <v>-4.14</v>
      </c>
      <c r="O25" s="4" t="n"/>
      <c r="P25" s="4" t="n"/>
      <c r="Q25">
        <f>MID($G25,1,1)</f>
        <v/>
      </c>
      <c r="R25">
        <f>MID($G25,2,1)</f>
        <v/>
      </c>
      <c r="S25">
        <f>MID($G25,3,1)</f>
        <v/>
      </c>
      <c r="T25">
        <f>MID($G25,4,1)</f>
        <v/>
      </c>
      <c r="U25">
        <f>MID($G25,5,1)</f>
        <v/>
      </c>
      <c r="V25">
        <f>MID($G25,6,1)</f>
        <v/>
      </c>
      <c r="W25">
        <f>MID($G25,7,1)</f>
        <v/>
      </c>
      <c r="X25">
        <f>MID($G25,8,1)</f>
        <v/>
      </c>
      <c r="Y25">
        <f>MID($G25,9,1)</f>
        <v/>
      </c>
      <c r="Z25">
        <f>MID($G25,10,1)</f>
        <v/>
      </c>
      <c r="AA25">
        <f>MID($H25,1,1)</f>
        <v/>
      </c>
      <c r="AB25">
        <f>MID($H25,2,1)</f>
        <v/>
      </c>
      <c r="AC25">
        <f>MID($H25,3,1)</f>
        <v/>
      </c>
      <c r="AD25">
        <f>MID($H25,4,1)</f>
        <v/>
      </c>
      <c r="AE25">
        <f>MID($H25,5,1)</f>
        <v/>
      </c>
      <c r="AF25">
        <f>MID($H25,6,1)</f>
        <v/>
      </c>
      <c r="AG25">
        <f>MID($H25,7,1)</f>
        <v/>
      </c>
      <c r="AH25">
        <f>MID($H25,8,1)</f>
        <v/>
      </c>
      <c r="AI25">
        <f>MID($H25,9,1)</f>
        <v/>
      </c>
      <c r="AJ25">
        <f>MID($H25,10,1)</f>
        <v/>
      </c>
    </row>
    <row r="26">
      <c r="A26" s="4" t="n">
        <v>25</v>
      </c>
      <c r="B26" s="4" t="inlineStr">
        <is>
          <t>是</t>
        </is>
      </c>
      <c r="C26" s="4" t="inlineStr">
        <is>
          <t>DN5025</t>
        </is>
      </c>
      <c r="D26" s="4" t="inlineStr">
        <is>
          <t>DN7025</t>
        </is>
      </c>
      <c r="E26" s="4" t="inlineStr">
        <is>
          <t>U605</t>
        </is>
      </c>
      <c r="F26" s="4" t="inlineStr">
        <is>
          <t>U212</t>
        </is>
      </c>
      <c r="G26" s="5" t="inlineStr">
        <is>
          <t>CGCGCCTTAT</t>
        </is>
      </c>
      <c r="H26" s="5" t="inlineStr">
        <is>
          <t>AACTATCTGC</t>
        </is>
      </c>
      <c r="I26" s="4">
        <f>LEN(SUBSTITUTE(SUBSTITUTE(G26,"A",""),"T",""))</f>
        <v/>
      </c>
      <c r="J26" s="4">
        <f>LEN(SUBSTITUTE(SUBSTITUTE(H26,"A",""),"T",""))</f>
        <v/>
      </c>
      <c r="K26" s="6" t="inlineStr">
        <is>
          <t>A</t>
        </is>
      </c>
      <c r="L26" s="4" t="inlineStr">
        <is>
          <t>预测</t>
        </is>
      </c>
      <c r="M26" s="4" t="n">
        <v>-6.13</v>
      </c>
      <c r="N26" s="4" t="n">
        <v>-4.17</v>
      </c>
      <c r="O26" s="4" t="n"/>
      <c r="P26" s="4" t="n"/>
      <c r="Q26">
        <f>MID($G26,1,1)</f>
        <v/>
      </c>
      <c r="R26">
        <f>MID($G26,2,1)</f>
        <v/>
      </c>
      <c r="S26">
        <f>MID($G26,3,1)</f>
        <v/>
      </c>
      <c r="T26">
        <f>MID($G26,4,1)</f>
        <v/>
      </c>
      <c r="U26">
        <f>MID($G26,5,1)</f>
        <v/>
      </c>
      <c r="V26">
        <f>MID($G26,6,1)</f>
        <v/>
      </c>
      <c r="W26">
        <f>MID($G26,7,1)</f>
        <v/>
      </c>
      <c r="X26">
        <f>MID($G26,8,1)</f>
        <v/>
      </c>
      <c r="Y26">
        <f>MID($G26,9,1)</f>
        <v/>
      </c>
      <c r="Z26">
        <f>MID($G26,10,1)</f>
        <v/>
      </c>
      <c r="AA26">
        <f>MID($H26,1,1)</f>
        <v/>
      </c>
      <c r="AB26">
        <f>MID($H26,2,1)</f>
        <v/>
      </c>
      <c r="AC26">
        <f>MID($H26,3,1)</f>
        <v/>
      </c>
      <c r="AD26">
        <f>MID($H26,4,1)</f>
        <v/>
      </c>
      <c r="AE26">
        <f>MID($H26,5,1)</f>
        <v/>
      </c>
      <c r="AF26">
        <f>MID($H26,6,1)</f>
        <v/>
      </c>
      <c r="AG26">
        <f>MID($H26,7,1)</f>
        <v/>
      </c>
      <c r="AH26">
        <f>MID($H26,8,1)</f>
        <v/>
      </c>
      <c r="AI26">
        <f>MID($H26,9,1)</f>
        <v/>
      </c>
      <c r="AJ26">
        <f>MID($H26,10,1)</f>
        <v/>
      </c>
    </row>
    <row r="27">
      <c r="A27" s="4" t="n">
        <v>26</v>
      </c>
      <c r="B27" s="4" t="inlineStr">
        <is>
          <t>是</t>
        </is>
      </c>
      <c r="C27" s="4" t="inlineStr">
        <is>
          <t>DN5026</t>
        </is>
      </c>
      <c r="D27" s="4" t="inlineStr">
        <is>
          <t>DN7026</t>
        </is>
      </c>
      <c r="E27" s="4" t="inlineStr">
        <is>
          <t>U778</t>
        </is>
      </c>
      <c r="F27" s="4" t="inlineStr">
        <is>
          <t>U420</t>
        </is>
      </c>
      <c r="G27" s="5" t="inlineStr">
        <is>
          <t>CCTATGCATC</t>
        </is>
      </c>
      <c r="H27" s="5" t="inlineStr">
        <is>
          <t>TTGTATGTGC</t>
        </is>
      </c>
      <c r="I27" s="4">
        <f>LEN(SUBSTITUTE(SUBSTITUTE(G27,"A",""),"T",""))</f>
        <v/>
      </c>
      <c r="J27" s="4">
        <f>LEN(SUBSTITUTE(SUBSTITUTE(H27,"A",""),"T",""))</f>
        <v/>
      </c>
      <c r="K27" s="7" t="inlineStr">
        <is>
          <t>B</t>
        </is>
      </c>
      <c r="L27" s="4" t="inlineStr">
        <is>
          <t>预测</t>
        </is>
      </c>
      <c r="M27" s="4" t="n">
        <v>-5.97</v>
      </c>
      <c r="N27" s="4" t="n">
        <v>-4.7</v>
      </c>
      <c r="O27" s="4" t="n"/>
      <c r="P27" s="4" t="n"/>
      <c r="Q27">
        <f>MID($G27,1,1)</f>
        <v/>
      </c>
      <c r="R27">
        <f>MID($G27,2,1)</f>
        <v/>
      </c>
      <c r="S27">
        <f>MID($G27,3,1)</f>
        <v/>
      </c>
      <c r="T27">
        <f>MID($G27,4,1)</f>
        <v/>
      </c>
      <c r="U27">
        <f>MID($G27,5,1)</f>
        <v/>
      </c>
      <c r="V27">
        <f>MID($G27,6,1)</f>
        <v/>
      </c>
      <c r="W27">
        <f>MID($G27,7,1)</f>
        <v/>
      </c>
      <c r="X27">
        <f>MID($G27,8,1)</f>
        <v/>
      </c>
      <c r="Y27">
        <f>MID($G27,9,1)</f>
        <v/>
      </c>
      <c r="Z27">
        <f>MID($G27,10,1)</f>
        <v/>
      </c>
      <c r="AA27">
        <f>MID($H27,1,1)</f>
        <v/>
      </c>
      <c r="AB27">
        <f>MID($H27,2,1)</f>
        <v/>
      </c>
      <c r="AC27">
        <f>MID($H27,3,1)</f>
        <v/>
      </c>
      <c r="AD27">
        <f>MID($H27,4,1)</f>
        <v/>
      </c>
      <c r="AE27">
        <f>MID($H27,5,1)</f>
        <v/>
      </c>
      <c r="AF27">
        <f>MID($H27,6,1)</f>
        <v/>
      </c>
      <c r="AG27">
        <f>MID($H27,7,1)</f>
        <v/>
      </c>
      <c r="AH27">
        <f>MID($H27,8,1)</f>
        <v/>
      </c>
      <c r="AI27">
        <f>MID($H27,9,1)</f>
        <v/>
      </c>
      <c r="AJ27">
        <f>MID($H27,10,1)</f>
        <v/>
      </c>
    </row>
    <row r="28">
      <c r="A28" s="4" t="n">
        <v>27</v>
      </c>
      <c r="B28" s="4" t="inlineStr">
        <is>
          <t>是</t>
        </is>
      </c>
      <c r="C28" s="4" t="inlineStr">
        <is>
          <t>DN5027</t>
        </is>
      </c>
      <c r="D28" s="4" t="inlineStr">
        <is>
          <t>DN7027</t>
        </is>
      </c>
      <c r="E28" s="4" t="inlineStr">
        <is>
          <t>U750</t>
        </is>
      </c>
      <c r="F28" s="4" t="inlineStr">
        <is>
          <t>U545</t>
        </is>
      </c>
      <c r="G28" s="5" t="inlineStr">
        <is>
          <t>GTGAGCGGAA</t>
        </is>
      </c>
      <c r="H28" s="5" t="inlineStr">
        <is>
          <t>CAGAGCCGAT</t>
        </is>
      </c>
      <c r="I28" s="4">
        <f>LEN(SUBSTITUTE(SUBSTITUTE(G28,"A",""),"T",""))</f>
        <v/>
      </c>
      <c r="J28" s="4">
        <f>LEN(SUBSTITUTE(SUBSTITUTE(H28,"A",""),"T",""))</f>
        <v/>
      </c>
      <c r="K28" s="6" t="inlineStr">
        <is>
          <t>A</t>
        </is>
      </c>
      <c r="L28" s="4" t="inlineStr">
        <is>
          <t>预测</t>
        </is>
      </c>
      <c r="M28" s="4" t="n">
        <v>-6.11</v>
      </c>
      <c r="N28" s="4" t="n">
        <v>-3.54</v>
      </c>
      <c r="O28" s="4" t="n"/>
      <c r="P28" s="4" t="n"/>
      <c r="Q28">
        <f>MID($G28,1,1)</f>
        <v/>
      </c>
      <c r="R28">
        <f>MID($G28,2,1)</f>
        <v/>
      </c>
      <c r="S28">
        <f>MID($G28,3,1)</f>
        <v/>
      </c>
      <c r="T28">
        <f>MID($G28,4,1)</f>
        <v/>
      </c>
      <c r="U28">
        <f>MID($G28,5,1)</f>
        <v/>
      </c>
      <c r="V28">
        <f>MID($G28,6,1)</f>
        <v/>
      </c>
      <c r="W28">
        <f>MID($G28,7,1)</f>
        <v/>
      </c>
      <c r="X28">
        <f>MID($G28,8,1)</f>
        <v/>
      </c>
      <c r="Y28">
        <f>MID($G28,9,1)</f>
        <v/>
      </c>
      <c r="Z28">
        <f>MID($G28,10,1)</f>
        <v/>
      </c>
      <c r="AA28">
        <f>MID($H28,1,1)</f>
        <v/>
      </c>
      <c r="AB28">
        <f>MID($H28,2,1)</f>
        <v/>
      </c>
      <c r="AC28">
        <f>MID($H28,3,1)</f>
        <v/>
      </c>
      <c r="AD28">
        <f>MID($H28,4,1)</f>
        <v/>
      </c>
      <c r="AE28">
        <f>MID($H28,5,1)</f>
        <v/>
      </c>
      <c r="AF28">
        <f>MID($H28,6,1)</f>
        <v/>
      </c>
      <c r="AG28">
        <f>MID($H28,7,1)</f>
        <v/>
      </c>
      <c r="AH28">
        <f>MID($H28,8,1)</f>
        <v/>
      </c>
      <c r="AI28">
        <f>MID($H28,9,1)</f>
        <v/>
      </c>
      <c r="AJ28">
        <f>MID($H28,10,1)</f>
        <v/>
      </c>
    </row>
    <row r="29">
      <c r="A29" s="4" t="n">
        <v>28</v>
      </c>
      <c r="B29" s="4" t="inlineStr">
        <is>
          <t>是</t>
        </is>
      </c>
      <c r="C29" s="4" t="inlineStr">
        <is>
          <t>DN5028</t>
        </is>
      </c>
      <c r="D29" s="4" t="inlineStr">
        <is>
          <t>DN7028</t>
        </is>
      </c>
      <c r="E29" s="4" t="inlineStr">
        <is>
          <t>U803</t>
        </is>
      </c>
      <c r="F29" s="4" t="inlineStr">
        <is>
          <t>U615</t>
        </is>
      </c>
      <c r="G29" s="5" t="inlineStr">
        <is>
          <t>ACCTGCAGAG</t>
        </is>
      </c>
      <c r="H29" s="5" t="inlineStr">
        <is>
          <t>AAGGTACAAC</t>
        </is>
      </c>
      <c r="I29" s="4">
        <f>LEN(SUBSTITUTE(SUBSTITUTE(G29,"A",""),"T",""))</f>
        <v/>
      </c>
      <c r="J29" s="4">
        <f>LEN(SUBSTITUTE(SUBSTITUTE(H29,"A",""),"T",""))</f>
        <v/>
      </c>
      <c r="K29" s="6" t="inlineStr">
        <is>
          <t>A</t>
        </is>
      </c>
      <c r="L29" s="4" t="inlineStr">
        <is>
          <t>预测</t>
        </is>
      </c>
      <c r="M29" s="4" t="n">
        <v>-6.72</v>
      </c>
      <c r="N29" s="4" t="n">
        <v>-3.96</v>
      </c>
      <c r="O29" s="4" t="n"/>
      <c r="P29" s="4" t="n"/>
      <c r="Q29">
        <f>MID($G29,1,1)</f>
        <v/>
      </c>
      <c r="R29">
        <f>MID($G29,2,1)</f>
        <v/>
      </c>
      <c r="S29">
        <f>MID($G29,3,1)</f>
        <v/>
      </c>
      <c r="T29">
        <f>MID($G29,4,1)</f>
        <v/>
      </c>
      <c r="U29">
        <f>MID($G29,5,1)</f>
        <v/>
      </c>
      <c r="V29">
        <f>MID($G29,6,1)</f>
        <v/>
      </c>
      <c r="W29">
        <f>MID($G29,7,1)</f>
        <v/>
      </c>
      <c r="X29">
        <f>MID($G29,8,1)</f>
        <v/>
      </c>
      <c r="Y29">
        <f>MID($G29,9,1)</f>
        <v/>
      </c>
      <c r="Z29">
        <f>MID($G29,10,1)</f>
        <v/>
      </c>
      <c r="AA29">
        <f>MID($H29,1,1)</f>
        <v/>
      </c>
      <c r="AB29">
        <f>MID($H29,2,1)</f>
        <v/>
      </c>
      <c r="AC29">
        <f>MID($H29,3,1)</f>
        <v/>
      </c>
      <c r="AD29">
        <f>MID($H29,4,1)</f>
        <v/>
      </c>
      <c r="AE29">
        <f>MID($H29,5,1)</f>
        <v/>
      </c>
      <c r="AF29">
        <f>MID($H29,6,1)</f>
        <v/>
      </c>
      <c r="AG29">
        <f>MID($H29,7,1)</f>
        <v/>
      </c>
      <c r="AH29">
        <f>MID($H29,8,1)</f>
        <v/>
      </c>
      <c r="AI29">
        <f>MID($H29,9,1)</f>
        <v/>
      </c>
      <c r="AJ29">
        <f>MID($H29,10,1)</f>
        <v/>
      </c>
    </row>
    <row r="30">
      <c r="A30" s="4" t="n">
        <v>29</v>
      </c>
      <c r="B30" s="4" t="inlineStr">
        <is>
          <t>是</t>
        </is>
      </c>
      <c r="C30" s="4" t="inlineStr">
        <is>
          <t>DN5029</t>
        </is>
      </c>
      <c r="D30" s="4" t="inlineStr">
        <is>
          <t>DN7029</t>
        </is>
      </c>
      <c r="E30" s="4" t="inlineStr">
        <is>
          <t>U707</t>
        </is>
      </c>
      <c r="F30" s="4" t="inlineStr">
        <is>
          <t>U267</t>
        </is>
      </c>
      <c r="G30" s="5" t="inlineStr">
        <is>
          <t>TCATGAGGAT</t>
        </is>
      </c>
      <c r="H30" s="5" t="inlineStr">
        <is>
          <t>GAAGCAATTG</t>
        </is>
      </c>
      <c r="I30" s="4">
        <f>LEN(SUBSTITUTE(SUBSTITUTE(G30,"A",""),"T",""))</f>
        <v/>
      </c>
      <c r="J30" s="4">
        <f>LEN(SUBSTITUTE(SUBSTITUTE(H30,"A",""),"T",""))</f>
        <v/>
      </c>
      <c r="K30" s="6" t="inlineStr">
        <is>
          <t>A</t>
        </is>
      </c>
      <c r="L30" s="4" t="inlineStr">
        <is>
          <t>预测</t>
        </is>
      </c>
      <c r="M30" s="4" t="n">
        <v>-5.93</v>
      </c>
      <c r="N30" s="4" t="n">
        <v>-4.17</v>
      </c>
      <c r="O30" s="4" t="n"/>
      <c r="P30" s="4" t="n"/>
      <c r="Q30">
        <f>MID($G30,1,1)</f>
        <v/>
      </c>
      <c r="R30">
        <f>MID($G30,2,1)</f>
        <v/>
      </c>
      <c r="S30">
        <f>MID($G30,3,1)</f>
        <v/>
      </c>
      <c r="T30">
        <f>MID($G30,4,1)</f>
        <v/>
      </c>
      <c r="U30">
        <f>MID($G30,5,1)</f>
        <v/>
      </c>
      <c r="V30">
        <f>MID($G30,6,1)</f>
        <v/>
      </c>
      <c r="W30">
        <f>MID($G30,7,1)</f>
        <v/>
      </c>
      <c r="X30">
        <f>MID($G30,8,1)</f>
        <v/>
      </c>
      <c r="Y30">
        <f>MID($G30,9,1)</f>
        <v/>
      </c>
      <c r="Z30">
        <f>MID($G30,10,1)</f>
        <v/>
      </c>
      <c r="AA30">
        <f>MID($H30,1,1)</f>
        <v/>
      </c>
      <c r="AB30">
        <f>MID($H30,2,1)</f>
        <v/>
      </c>
      <c r="AC30">
        <f>MID($H30,3,1)</f>
        <v/>
      </c>
      <c r="AD30">
        <f>MID($H30,4,1)</f>
        <v/>
      </c>
      <c r="AE30">
        <f>MID($H30,5,1)</f>
        <v/>
      </c>
      <c r="AF30">
        <f>MID($H30,6,1)</f>
        <v/>
      </c>
      <c r="AG30">
        <f>MID($H30,7,1)</f>
        <v/>
      </c>
      <c r="AH30">
        <f>MID($H30,8,1)</f>
        <v/>
      </c>
      <c r="AI30">
        <f>MID($H30,9,1)</f>
        <v/>
      </c>
      <c r="AJ30">
        <f>MID($H30,10,1)</f>
        <v/>
      </c>
    </row>
    <row r="31">
      <c r="A31" s="4" t="n">
        <v>30</v>
      </c>
      <c r="B31" s="4" t="inlineStr">
        <is>
          <t>是</t>
        </is>
      </c>
      <c r="C31" s="4" t="inlineStr">
        <is>
          <t>DN5030</t>
        </is>
      </c>
      <c r="D31" s="4" t="inlineStr">
        <is>
          <t>DN7030</t>
        </is>
      </c>
      <c r="E31" s="4" t="inlineStr">
        <is>
          <t>U425</t>
        </is>
      </c>
      <c r="F31" s="4" t="inlineStr">
        <is>
          <t>U770</t>
        </is>
      </c>
      <c r="G31" s="5" t="inlineStr">
        <is>
          <t>GTCGCGCTAA</t>
        </is>
      </c>
      <c r="H31" s="5" t="inlineStr">
        <is>
          <t>GCGCCTAACA</t>
        </is>
      </c>
      <c r="I31" s="4">
        <f>LEN(SUBSTITUTE(SUBSTITUTE(G31,"A",""),"T",""))</f>
        <v/>
      </c>
      <c r="J31" s="4">
        <f>LEN(SUBSTITUTE(SUBSTITUTE(H31,"A",""),"T",""))</f>
        <v/>
      </c>
      <c r="K31" s="6" t="inlineStr">
        <is>
          <t>A</t>
        </is>
      </c>
      <c r="L31" s="4" t="inlineStr">
        <is>
          <t>预测</t>
        </is>
      </c>
      <c r="M31" s="4" t="n">
        <v>-6.44</v>
      </c>
      <c r="N31" s="4" t="n">
        <v>-3.15</v>
      </c>
      <c r="O31" s="4" t="n"/>
      <c r="P31" s="4" t="n"/>
      <c r="Q31">
        <f>MID($G31,1,1)</f>
        <v/>
      </c>
      <c r="R31">
        <f>MID($G31,2,1)</f>
        <v/>
      </c>
      <c r="S31">
        <f>MID($G31,3,1)</f>
        <v/>
      </c>
      <c r="T31">
        <f>MID($G31,4,1)</f>
        <v/>
      </c>
      <c r="U31">
        <f>MID($G31,5,1)</f>
        <v/>
      </c>
      <c r="V31">
        <f>MID($G31,6,1)</f>
        <v/>
      </c>
      <c r="W31">
        <f>MID($G31,7,1)</f>
        <v/>
      </c>
      <c r="X31">
        <f>MID($G31,8,1)</f>
        <v/>
      </c>
      <c r="Y31">
        <f>MID($G31,9,1)</f>
        <v/>
      </c>
      <c r="Z31">
        <f>MID($G31,10,1)</f>
        <v/>
      </c>
      <c r="AA31">
        <f>MID($H31,1,1)</f>
        <v/>
      </c>
      <c r="AB31">
        <f>MID($H31,2,1)</f>
        <v/>
      </c>
      <c r="AC31">
        <f>MID($H31,3,1)</f>
        <v/>
      </c>
      <c r="AD31">
        <f>MID($H31,4,1)</f>
        <v/>
      </c>
      <c r="AE31">
        <f>MID($H31,5,1)</f>
        <v/>
      </c>
      <c r="AF31">
        <f>MID($H31,6,1)</f>
        <v/>
      </c>
      <c r="AG31">
        <f>MID($H31,7,1)</f>
        <v/>
      </c>
      <c r="AH31">
        <f>MID($H31,8,1)</f>
        <v/>
      </c>
      <c r="AI31">
        <f>MID($H31,9,1)</f>
        <v/>
      </c>
      <c r="AJ31">
        <f>MID($H31,10,1)</f>
        <v/>
      </c>
    </row>
    <row r="32">
      <c r="A32" s="4" t="n">
        <v>31</v>
      </c>
      <c r="B32" s="4" t="inlineStr">
        <is>
          <t>是</t>
        </is>
      </c>
      <c r="C32" s="4" t="inlineStr">
        <is>
          <t>DN5031</t>
        </is>
      </c>
      <c r="D32" s="4" t="inlineStr">
        <is>
          <t>DN7031</t>
        </is>
      </c>
      <c r="E32" s="4" t="inlineStr">
        <is>
          <t>U701</t>
        </is>
      </c>
      <c r="F32" s="4" t="inlineStr">
        <is>
          <t>U457</t>
        </is>
      </c>
      <c r="G32" s="5" t="inlineStr">
        <is>
          <t>CCACAATGTT</t>
        </is>
      </c>
      <c r="H32" s="5" t="inlineStr">
        <is>
          <t>GCCAATGAAT</t>
        </is>
      </c>
      <c r="I32" s="4">
        <f>LEN(SUBSTITUTE(SUBSTITUTE(G32,"A",""),"T",""))</f>
        <v/>
      </c>
      <c r="J32" s="4">
        <f>LEN(SUBSTITUTE(SUBSTITUTE(H32,"A",""),"T",""))</f>
        <v/>
      </c>
      <c r="K32" s="6" t="inlineStr">
        <is>
          <t>A</t>
        </is>
      </c>
      <c r="L32" s="4" t="inlineStr">
        <is>
          <t>预测</t>
        </is>
      </c>
      <c r="M32" s="4" t="n">
        <v>-6.44</v>
      </c>
      <c r="N32" s="4" t="n">
        <v>-3.79</v>
      </c>
      <c r="O32" s="4" t="n"/>
      <c r="P32" s="4" t="n"/>
      <c r="Q32">
        <f>MID($G32,1,1)</f>
        <v/>
      </c>
      <c r="R32">
        <f>MID($G32,2,1)</f>
        <v/>
      </c>
      <c r="S32">
        <f>MID($G32,3,1)</f>
        <v/>
      </c>
      <c r="T32">
        <f>MID($G32,4,1)</f>
        <v/>
      </c>
      <c r="U32">
        <f>MID($G32,5,1)</f>
        <v/>
      </c>
      <c r="V32">
        <f>MID($G32,6,1)</f>
        <v/>
      </c>
      <c r="W32">
        <f>MID($G32,7,1)</f>
        <v/>
      </c>
      <c r="X32">
        <f>MID($G32,8,1)</f>
        <v/>
      </c>
      <c r="Y32">
        <f>MID($G32,9,1)</f>
        <v/>
      </c>
      <c r="Z32">
        <f>MID($G32,10,1)</f>
        <v/>
      </c>
      <c r="AA32">
        <f>MID($H32,1,1)</f>
        <v/>
      </c>
      <c r="AB32">
        <f>MID($H32,2,1)</f>
        <v/>
      </c>
      <c r="AC32">
        <f>MID($H32,3,1)</f>
        <v/>
      </c>
      <c r="AD32">
        <f>MID($H32,4,1)</f>
        <v/>
      </c>
      <c r="AE32">
        <f>MID($H32,5,1)</f>
        <v/>
      </c>
      <c r="AF32">
        <f>MID($H32,6,1)</f>
        <v/>
      </c>
      <c r="AG32">
        <f>MID($H32,7,1)</f>
        <v/>
      </c>
      <c r="AH32">
        <f>MID($H32,8,1)</f>
        <v/>
      </c>
      <c r="AI32">
        <f>MID($H32,9,1)</f>
        <v/>
      </c>
      <c r="AJ32">
        <f>MID($H32,10,1)</f>
        <v/>
      </c>
    </row>
    <row r="33">
      <c r="A33" s="4" t="n">
        <v>32</v>
      </c>
      <c r="B33" s="4" t="inlineStr">
        <is>
          <t>是</t>
        </is>
      </c>
      <c r="C33" s="4" t="inlineStr">
        <is>
          <t>DN5032</t>
        </is>
      </c>
      <c r="D33" s="4" t="inlineStr">
        <is>
          <t>DN7032</t>
        </is>
      </c>
      <c r="E33" s="4" t="inlineStr">
        <is>
          <t>U655</t>
        </is>
      </c>
      <c r="F33" s="4" t="inlineStr">
        <is>
          <t>U757</t>
        </is>
      </c>
      <c r="G33" s="5" t="inlineStr">
        <is>
          <t>TGGATGCATA</t>
        </is>
      </c>
      <c r="H33" s="5" t="inlineStr">
        <is>
          <t>AGACGATAGC</t>
        </is>
      </c>
      <c r="I33" s="4">
        <f>LEN(SUBSTITUTE(SUBSTITUTE(G33,"A",""),"T",""))</f>
        <v/>
      </c>
      <c r="J33" s="4">
        <f>LEN(SUBSTITUTE(SUBSTITUTE(H33,"A",""),"T",""))</f>
        <v/>
      </c>
      <c r="K33" s="6" t="inlineStr">
        <is>
          <t>A</t>
        </is>
      </c>
      <c r="L33" s="4" t="inlineStr">
        <is>
          <t>预测</t>
        </is>
      </c>
      <c r="M33" s="4" t="n">
        <v>-6.03</v>
      </c>
      <c r="N33" s="4" t="n">
        <v>-3.21</v>
      </c>
      <c r="O33" s="4" t="n"/>
      <c r="P33" s="4" t="n"/>
      <c r="Q33">
        <f>MID($G33,1,1)</f>
        <v/>
      </c>
      <c r="R33">
        <f>MID($G33,2,1)</f>
        <v/>
      </c>
      <c r="S33">
        <f>MID($G33,3,1)</f>
        <v/>
      </c>
      <c r="T33">
        <f>MID($G33,4,1)</f>
        <v/>
      </c>
      <c r="U33">
        <f>MID($G33,5,1)</f>
        <v/>
      </c>
      <c r="V33">
        <f>MID($G33,6,1)</f>
        <v/>
      </c>
      <c r="W33">
        <f>MID($G33,7,1)</f>
        <v/>
      </c>
      <c r="X33">
        <f>MID($G33,8,1)</f>
        <v/>
      </c>
      <c r="Y33">
        <f>MID($G33,9,1)</f>
        <v/>
      </c>
      <c r="Z33">
        <f>MID($G33,10,1)</f>
        <v/>
      </c>
      <c r="AA33">
        <f>MID($H33,1,1)</f>
        <v/>
      </c>
      <c r="AB33">
        <f>MID($H33,2,1)</f>
        <v/>
      </c>
      <c r="AC33">
        <f>MID($H33,3,1)</f>
        <v/>
      </c>
      <c r="AD33">
        <f>MID($H33,4,1)</f>
        <v/>
      </c>
      <c r="AE33">
        <f>MID($H33,5,1)</f>
        <v/>
      </c>
      <c r="AF33">
        <f>MID($H33,6,1)</f>
        <v/>
      </c>
      <c r="AG33">
        <f>MID($H33,7,1)</f>
        <v/>
      </c>
      <c r="AH33">
        <f>MID($H33,8,1)</f>
        <v/>
      </c>
      <c r="AI33">
        <f>MID($H33,9,1)</f>
        <v/>
      </c>
      <c r="AJ33">
        <f>MID($H33,10,1)</f>
        <v/>
      </c>
    </row>
    <row r="34">
      <c r="A34" s="4" t="n">
        <v>33</v>
      </c>
      <c r="B34" s="4" t="inlineStr">
        <is>
          <t>是</t>
        </is>
      </c>
      <c r="C34" s="4" t="inlineStr">
        <is>
          <t>DN5033</t>
        </is>
      </c>
      <c r="D34" s="4" t="inlineStr">
        <is>
          <t>DN7033</t>
        </is>
      </c>
      <c r="E34" s="4" t="inlineStr">
        <is>
          <t>U080</t>
        </is>
      </c>
      <c r="F34" s="4" t="inlineStr">
        <is>
          <t>U733</t>
        </is>
      </c>
      <c r="G34" s="5" t="inlineStr">
        <is>
          <t>CAGTAACGAG</t>
        </is>
      </c>
      <c r="H34" s="5" t="inlineStr">
        <is>
          <t>TGAATAGCAC</t>
        </is>
      </c>
      <c r="I34" s="4">
        <f>LEN(SUBSTITUTE(SUBSTITUTE(G34,"A",""),"T",""))</f>
        <v/>
      </c>
      <c r="J34" s="4">
        <f>LEN(SUBSTITUTE(SUBSTITUTE(H34,"A",""),"T",""))</f>
        <v/>
      </c>
      <c r="K34" s="6" t="inlineStr">
        <is>
          <t>A</t>
        </is>
      </c>
      <c r="L34" s="4" t="inlineStr">
        <is>
          <t>预测</t>
        </is>
      </c>
      <c r="M34" s="4" t="n">
        <v>-6.91</v>
      </c>
      <c r="N34" s="4" t="n">
        <v>-3.96</v>
      </c>
      <c r="O34" s="4" t="n"/>
      <c r="P34" s="4" t="n"/>
      <c r="Q34">
        <f>MID($G34,1,1)</f>
        <v/>
      </c>
      <c r="R34">
        <f>MID($G34,2,1)</f>
        <v/>
      </c>
      <c r="S34">
        <f>MID($G34,3,1)</f>
        <v/>
      </c>
      <c r="T34">
        <f>MID($G34,4,1)</f>
        <v/>
      </c>
      <c r="U34">
        <f>MID($G34,5,1)</f>
        <v/>
      </c>
      <c r="V34">
        <f>MID($G34,6,1)</f>
        <v/>
      </c>
      <c r="W34">
        <f>MID($G34,7,1)</f>
        <v/>
      </c>
      <c r="X34">
        <f>MID($G34,8,1)</f>
        <v/>
      </c>
      <c r="Y34">
        <f>MID($G34,9,1)</f>
        <v/>
      </c>
      <c r="Z34">
        <f>MID($G34,10,1)</f>
        <v/>
      </c>
      <c r="AA34">
        <f>MID($H34,1,1)</f>
        <v/>
      </c>
      <c r="AB34">
        <f>MID($H34,2,1)</f>
        <v/>
      </c>
      <c r="AC34">
        <f>MID($H34,3,1)</f>
        <v/>
      </c>
      <c r="AD34">
        <f>MID($H34,4,1)</f>
        <v/>
      </c>
      <c r="AE34">
        <f>MID($H34,5,1)</f>
        <v/>
      </c>
      <c r="AF34">
        <f>MID($H34,6,1)</f>
        <v/>
      </c>
      <c r="AG34">
        <f>MID($H34,7,1)</f>
        <v/>
      </c>
      <c r="AH34">
        <f>MID($H34,8,1)</f>
        <v/>
      </c>
      <c r="AI34">
        <f>MID($H34,9,1)</f>
        <v/>
      </c>
      <c r="AJ34">
        <f>MID($H34,10,1)</f>
        <v/>
      </c>
    </row>
    <row r="35">
      <c r="A35" s="4" t="n">
        <v>34</v>
      </c>
      <c r="B35" s="4" t="inlineStr">
        <is>
          <t>是</t>
        </is>
      </c>
      <c r="C35" s="4" t="inlineStr">
        <is>
          <t>DN5034</t>
        </is>
      </c>
      <c r="D35" s="4" t="inlineStr">
        <is>
          <t>DN7034</t>
        </is>
      </c>
      <c r="E35" s="4" t="inlineStr">
        <is>
          <t>U397</t>
        </is>
      </c>
      <c r="F35" s="4" t="inlineStr">
        <is>
          <t>U401</t>
        </is>
      </c>
      <c r="G35" s="5" t="inlineStr">
        <is>
          <t>AGAATTGAGG</t>
        </is>
      </c>
      <c r="H35" s="5" t="inlineStr">
        <is>
          <t>TCTACCATCT</t>
        </is>
      </c>
      <c r="I35" s="4">
        <f>LEN(SUBSTITUTE(SUBSTITUTE(G35,"A",""),"T",""))</f>
        <v/>
      </c>
      <c r="J35" s="4">
        <f>LEN(SUBSTITUTE(SUBSTITUTE(H35,"A",""),"T",""))</f>
        <v/>
      </c>
      <c r="K35" s="6" t="inlineStr">
        <is>
          <t>A</t>
        </is>
      </c>
      <c r="L35" s="4" t="inlineStr">
        <is>
          <t>预测</t>
        </is>
      </c>
      <c r="M35" s="4" t="n">
        <v>-6.32</v>
      </c>
      <c r="N35" s="4" t="n">
        <v>-4.32</v>
      </c>
      <c r="O35" s="4" t="n"/>
      <c r="P35" s="4" t="n"/>
      <c r="Q35">
        <f>MID($G35,1,1)</f>
        <v/>
      </c>
      <c r="R35">
        <f>MID($G35,2,1)</f>
        <v/>
      </c>
      <c r="S35">
        <f>MID($G35,3,1)</f>
        <v/>
      </c>
      <c r="T35">
        <f>MID($G35,4,1)</f>
        <v/>
      </c>
      <c r="U35">
        <f>MID($G35,5,1)</f>
        <v/>
      </c>
      <c r="V35">
        <f>MID($G35,6,1)</f>
        <v/>
      </c>
      <c r="W35">
        <f>MID($G35,7,1)</f>
        <v/>
      </c>
      <c r="X35">
        <f>MID($G35,8,1)</f>
        <v/>
      </c>
      <c r="Y35">
        <f>MID($G35,9,1)</f>
        <v/>
      </c>
      <c r="Z35">
        <f>MID($G35,10,1)</f>
        <v/>
      </c>
      <c r="AA35">
        <f>MID($H35,1,1)</f>
        <v/>
      </c>
      <c r="AB35">
        <f>MID($H35,2,1)</f>
        <v/>
      </c>
      <c r="AC35">
        <f>MID($H35,3,1)</f>
        <v/>
      </c>
      <c r="AD35">
        <f>MID($H35,4,1)</f>
        <v/>
      </c>
      <c r="AE35">
        <f>MID($H35,5,1)</f>
        <v/>
      </c>
      <c r="AF35">
        <f>MID($H35,6,1)</f>
        <v/>
      </c>
      <c r="AG35">
        <f>MID($H35,7,1)</f>
        <v/>
      </c>
      <c r="AH35">
        <f>MID($H35,8,1)</f>
        <v/>
      </c>
      <c r="AI35">
        <f>MID($H35,9,1)</f>
        <v/>
      </c>
      <c r="AJ35">
        <f>MID($H35,10,1)</f>
        <v/>
      </c>
    </row>
    <row r="36">
      <c r="A36" s="4" t="n">
        <v>35</v>
      </c>
      <c r="B36" s="4" t="inlineStr">
        <is>
          <t>是</t>
        </is>
      </c>
      <c r="C36" s="4" t="inlineStr">
        <is>
          <t>DN5035</t>
        </is>
      </c>
      <c r="D36" s="4" t="inlineStr">
        <is>
          <t>DN7035</t>
        </is>
      </c>
      <c r="E36" s="4" t="inlineStr">
        <is>
          <t>U538</t>
        </is>
      </c>
      <c r="F36" s="4" t="inlineStr">
        <is>
          <t>U194</t>
        </is>
      </c>
      <c r="G36" s="5" t="inlineStr">
        <is>
          <t>GTACAATAGG</t>
        </is>
      </c>
      <c r="H36" s="5" t="inlineStr">
        <is>
          <t>TATCTGGTTC</t>
        </is>
      </c>
      <c r="I36" s="4">
        <f>LEN(SUBSTITUTE(SUBSTITUTE(G36,"A",""),"T",""))</f>
        <v/>
      </c>
      <c r="J36" s="4">
        <f>LEN(SUBSTITUTE(SUBSTITUTE(H36,"A",""),"T",""))</f>
        <v/>
      </c>
      <c r="K36" s="6" t="inlineStr">
        <is>
          <t>A</t>
        </is>
      </c>
      <c r="L36" s="4" t="inlineStr">
        <is>
          <t>预测</t>
        </is>
      </c>
      <c r="M36" s="4" t="n">
        <v>-6.76</v>
      </c>
      <c r="N36" s="4" t="n">
        <v>-3.64</v>
      </c>
      <c r="O36" s="4" t="n"/>
      <c r="P36" s="4" t="n"/>
      <c r="Q36">
        <f>MID($G36,1,1)</f>
        <v/>
      </c>
      <c r="R36">
        <f>MID($G36,2,1)</f>
        <v/>
      </c>
      <c r="S36">
        <f>MID($G36,3,1)</f>
        <v/>
      </c>
      <c r="T36">
        <f>MID($G36,4,1)</f>
        <v/>
      </c>
      <c r="U36">
        <f>MID($G36,5,1)</f>
        <v/>
      </c>
      <c r="V36">
        <f>MID($G36,6,1)</f>
        <v/>
      </c>
      <c r="W36">
        <f>MID($G36,7,1)</f>
        <v/>
      </c>
      <c r="X36">
        <f>MID($G36,8,1)</f>
        <v/>
      </c>
      <c r="Y36">
        <f>MID($G36,9,1)</f>
        <v/>
      </c>
      <c r="Z36">
        <f>MID($G36,10,1)</f>
        <v/>
      </c>
      <c r="AA36">
        <f>MID($H36,1,1)</f>
        <v/>
      </c>
      <c r="AB36">
        <f>MID($H36,2,1)</f>
        <v/>
      </c>
      <c r="AC36">
        <f>MID($H36,3,1)</f>
        <v/>
      </c>
      <c r="AD36">
        <f>MID($H36,4,1)</f>
        <v/>
      </c>
      <c r="AE36">
        <f>MID($H36,5,1)</f>
        <v/>
      </c>
      <c r="AF36">
        <f>MID($H36,6,1)</f>
        <v/>
      </c>
      <c r="AG36">
        <f>MID($H36,7,1)</f>
        <v/>
      </c>
      <c r="AH36">
        <f>MID($H36,8,1)</f>
        <v/>
      </c>
      <c r="AI36">
        <f>MID($H36,9,1)</f>
        <v/>
      </c>
      <c r="AJ36">
        <f>MID($H36,10,1)</f>
        <v/>
      </c>
    </row>
    <row r="37">
      <c r="A37" s="4" t="n">
        <v>36</v>
      </c>
      <c r="B37" s="4" t="inlineStr">
        <is>
          <t>是</t>
        </is>
      </c>
      <c r="C37" s="4" t="inlineStr">
        <is>
          <t>DN5036</t>
        </is>
      </c>
      <c r="D37" s="4" t="inlineStr">
        <is>
          <t>DN7036</t>
        </is>
      </c>
      <c r="E37" s="4" t="inlineStr">
        <is>
          <t>U638</t>
        </is>
      </c>
      <c r="F37" s="4" t="inlineStr">
        <is>
          <t>U760</t>
        </is>
      </c>
      <c r="G37" s="5" t="inlineStr">
        <is>
          <t>GCGTAAGCGA</t>
        </is>
      </c>
      <c r="H37" s="5" t="inlineStr">
        <is>
          <t>GTAACTCCAA</t>
        </is>
      </c>
      <c r="I37" s="4">
        <f>LEN(SUBSTITUTE(SUBSTITUTE(G37,"A",""),"T",""))</f>
        <v/>
      </c>
      <c r="J37" s="4">
        <f>LEN(SUBSTITUTE(SUBSTITUTE(H37,"A",""),"T",""))</f>
        <v/>
      </c>
      <c r="K37" s="6" t="inlineStr">
        <is>
          <t>A</t>
        </is>
      </c>
      <c r="L37" s="4" t="inlineStr">
        <is>
          <t>预测</t>
        </is>
      </c>
      <c r="M37" s="4" t="n">
        <v>-6.93</v>
      </c>
      <c r="N37" s="4" t="n">
        <v>-2.89</v>
      </c>
      <c r="O37" s="4" t="n"/>
      <c r="P37" s="4" t="n"/>
      <c r="Q37">
        <f>MID($G37,1,1)</f>
        <v/>
      </c>
      <c r="R37">
        <f>MID($G37,2,1)</f>
        <v/>
      </c>
      <c r="S37">
        <f>MID($G37,3,1)</f>
        <v/>
      </c>
      <c r="T37">
        <f>MID($G37,4,1)</f>
        <v/>
      </c>
      <c r="U37">
        <f>MID($G37,5,1)</f>
        <v/>
      </c>
      <c r="V37">
        <f>MID($G37,6,1)</f>
        <v/>
      </c>
      <c r="W37">
        <f>MID($G37,7,1)</f>
        <v/>
      </c>
      <c r="X37">
        <f>MID($G37,8,1)</f>
        <v/>
      </c>
      <c r="Y37">
        <f>MID($G37,9,1)</f>
        <v/>
      </c>
      <c r="Z37">
        <f>MID($G37,10,1)</f>
        <v/>
      </c>
      <c r="AA37">
        <f>MID($H37,1,1)</f>
        <v/>
      </c>
      <c r="AB37">
        <f>MID($H37,2,1)</f>
        <v/>
      </c>
      <c r="AC37">
        <f>MID($H37,3,1)</f>
        <v/>
      </c>
      <c r="AD37">
        <f>MID($H37,4,1)</f>
        <v/>
      </c>
      <c r="AE37">
        <f>MID($H37,5,1)</f>
        <v/>
      </c>
      <c r="AF37">
        <f>MID($H37,6,1)</f>
        <v/>
      </c>
      <c r="AG37">
        <f>MID($H37,7,1)</f>
        <v/>
      </c>
      <c r="AH37">
        <f>MID($H37,8,1)</f>
        <v/>
      </c>
      <c r="AI37">
        <f>MID($H37,9,1)</f>
        <v/>
      </c>
      <c r="AJ37">
        <f>MID($H37,10,1)</f>
        <v/>
      </c>
    </row>
    <row r="38">
      <c r="A38" s="4" t="n">
        <v>37</v>
      </c>
      <c r="B38" s="4" t="inlineStr">
        <is>
          <t>是</t>
        </is>
      </c>
      <c r="C38" s="4" t="inlineStr">
        <is>
          <t>DN5037</t>
        </is>
      </c>
      <c r="D38" s="4" t="inlineStr">
        <is>
          <t>DN7037</t>
        </is>
      </c>
      <c r="E38" s="4" t="inlineStr">
        <is>
          <t>U237</t>
        </is>
      </c>
      <c r="F38" s="4" t="inlineStr">
        <is>
          <t>U383</t>
        </is>
      </c>
      <c r="G38" s="5" t="inlineStr">
        <is>
          <t>CGGTATCGTC</t>
        </is>
      </c>
      <c r="H38" s="5" t="inlineStr">
        <is>
          <t>CGAATGTGAT</t>
        </is>
      </c>
      <c r="I38" s="4">
        <f>LEN(SUBSTITUTE(SUBSTITUTE(G38,"A",""),"T",""))</f>
        <v/>
      </c>
      <c r="J38" s="4">
        <f>LEN(SUBSTITUTE(SUBSTITUTE(H38,"A",""),"T",""))</f>
        <v/>
      </c>
      <c r="K38" s="7" t="inlineStr">
        <is>
          <t>B</t>
        </is>
      </c>
      <c r="L38" s="4" t="inlineStr">
        <is>
          <t>预测</t>
        </is>
      </c>
      <c r="M38" s="4" t="n">
        <v>-6.45</v>
      </c>
      <c r="N38" s="4" t="n">
        <v>-4.7</v>
      </c>
      <c r="O38" s="4" t="n"/>
      <c r="P38" s="4" t="n"/>
      <c r="Q38">
        <f>MID($G38,1,1)</f>
        <v/>
      </c>
      <c r="R38">
        <f>MID($G38,2,1)</f>
        <v/>
      </c>
      <c r="S38">
        <f>MID($G38,3,1)</f>
        <v/>
      </c>
      <c r="T38">
        <f>MID($G38,4,1)</f>
        <v/>
      </c>
      <c r="U38">
        <f>MID($G38,5,1)</f>
        <v/>
      </c>
      <c r="V38">
        <f>MID($G38,6,1)</f>
        <v/>
      </c>
      <c r="W38">
        <f>MID($G38,7,1)</f>
        <v/>
      </c>
      <c r="X38">
        <f>MID($G38,8,1)</f>
        <v/>
      </c>
      <c r="Y38">
        <f>MID($G38,9,1)</f>
        <v/>
      </c>
      <c r="Z38">
        <f>MID($G38,10,1)</f>
        <v/>
      </c>
      <c r="AA38">
        <f>MID($H38,1,1)</f>
        <v/>
      </c>
      <c r="AB38">
        <f>MID($H38,2,1)</f>
        <v/>
      </c>
      <c r="AC38">
        <f>MID($H38,3,1)</f>
        <v/>
      </c>
      <c r="AD38">
        <f>MID($H38,4,1)</f>
        <v/>
      </c>
      <c r="AE38">
        <f>MID($H38,5,1)</f>
        <v/>
      </c>
      <c r="AF38">
        <f>MID($H38,6,1)</f>
        <v/>
      </c>
      <c r="AG38">
        <f>MID($H38,7,1)</f>
        <v/>
      </c>
      <c r="AH38">
        <f>MID($H38,8,1)</f>
        <v/>
      </c>
      <c r="AI38">
        <f>MID($H38,9,1)</f>
        <v/>
      </c>
      <c r="AJ38">
        <f>MID($H38,10,1)</f>
        <v/>
      </c>
    </row>
    <row r="39">
      <c r="A39" s="4" t="n">
        <v>38</v>
      </c>
      <c r="B39" s="4" t="inlineStr">
        <is>
          <t>是</t>
        </is>
      </c>
      <c r="C39" s="4" t="inlineStr">
        <is>
          <t>DN5038</t>
        </is>
      </c>
      <c r="D39" s="4" t="inlineStr">
        <is>
          <t>DN7038</t>
        </is>
      </c>
      <c r="E39" s="4" t="inlineStr">
        <is>
          <t>U542</t>
        </is>
      </c>
      <c r="F39" s="4" t="inlineStr">
        <is>
          <t>U859</t>
        </is>
      </c>
      <c r="G39" s="5" t="inlineStr">
        <is>
          <t>AGGAAGCCGA</t>
        </is>
      </c>
      <c r="H39" s="5" t="inlineStr">
        <is>
          <t>GTGACATCCG</t>
        </is>
      </c>
      <c r="I39" s="4">
        <f>LEN(SUBSTITUTE(SUBSTITUTE(G39,"A",""),"T",""))</f>
        <v/>
      </c>
      <c r="J39" s="4">
        <f>LEN(SUBSTITUTE(SUBSTITUTE(H39,"A",""),"T",""))</f>
        <v/>
      </c>
      <c r="K39" s="6" t="inlineStr">
        <is>
          <t>A</t>
        </is>
      </c>
      <c r="L39" s="4" t="inlineStr">
        <is>
          <t>预测</t>
        </is>
      </c>
      <c r="M39" s="4" t="n">
        <v>-6.94</v>
      </c>
      <c r="N39" s="4" t="n">
        <v>-3.83</v>
      </c>
      <c r="O39" s="4" t="n"/>
      <c r="P39" s="4" t="n"/>
      <c r="Q39">
        <f>MID($G39,1,1)</f>
        <v/>
      </c>
      <c r="R39">
        <f>MID($G39,2,1)</f>
        <v/>
      </c>
      <c r="S39">
        <f>MID($G39,3,1)</f>
        <v/>
      </c>
      <c r="T39">
        <f>MID($G39,4,1)</f>
        <v/>
      </c>
      <c r="U39">
        <f>MID($G39,5,1)</f>
        <v/>
      </c>
      <c r="V39">
        <f>MID($G39,6,1)</f>
        <v/>
      </c>
      <c r="W39">
        <f>MID($G39,7,1)</f>
        <v/>
      </c>
      <c r="X39">
        <f>MID($G39,8,1)</f>
        <v/>
      </c>
      <c r="Y39">
        <f>MID($G39,9,1)</f>
        <v/>
      </c>
      <c r="Z39">
        <f>MID($G39,10,1)</f>
        <v/>
      </c>
      <c r="AA39">
        <f>MID($H39,1,1)</f>
        <v/>
      </c>
      <c r="AB39">
        <f>MID($H39,2,1)</f>
        <v/>
      </c>
      <c r="AC39">
        <f>MID($H39,3,1)</f>
        <v/>
      </c>
      <c r="AD39">
        <f>MID($H39,4,1)</f>
        <v/>
      </c>
      <c r="AE39">
        <f>MID($H39,5,1)</f>
        <v/>
      </c>
      <c r="AF39">
        <f>MID($H39,6,1)</f>
        <v/>
      </c>
      <c r="AG39">
        <f>MID($H39,7,1)</f>
        <v/>
      </c>
      <c r="AH39">
        <f>MID($H39,8,1)</f>
        <v/>
      </c>
      <c r="AI39">
        <f>MID($H39,9,1)</f>
        <v/>
      </c>
      <c r="AJ39">
        <f>MID($H39,10,1)</f>
        <v/>
      </c>
    </row>
    <row r="40">
      <c r="A40" s="4" t="n">
        <v>39</v>
      </c>
      <c r="B40" s="4" t="inlineStr">
        <is>
          <t>是</t>
        </is>
      </c>
      <c r="C40" s="4" t="inlineStr">
        <is>
          <t>DN5039</t>
        </is>
      </c>
      <c r="D40" s="4" t="inlineStr">
        <is>
          <t>DN7039</t>
        </is>
      </c>
      <c r="E40" s="4" t="inlineStr">
        <is>
          <t>U853</t>
        </is>
      </c>
      <c r="F40" s="4" t="inlineStr">
        <is>
          <t>U364</t>
        </is>
      </c>
      <c r="G40" s="5" t="inlineStr">
        <is>
          <t>TAGTTAGTCC</t>
        </is>
      </c>
      <c r="H40" s="5" t="inlineStr">
        <is>
          <t>AACCTCATTG</t>
        </is>
      </c>
      <c r="I40" s="4">
        <f>LEN(SUBSTITUTE(SUBSTITUTE(G40,"A",""),"T",""))</f>
        <v/>
      </c>
      <c r="J40" s="4">
        <f>LEN(SUBSTITUTE(SUBSTITUTE(H40,"A",""),"T",""))</f>
        <v/>
      </c>
      <c r="K40" s="7" t="inlineStr">
        <is>
          <t>B</t>
        </is>
      </c>
      <c r="L40" s="4" t="inlineStr">
        <is>
          <t>预测</t>
        </is>
      </c>
      <c r="M40" s="4" t="n">
        <v>-5.86</v>
      </c>
      <c r="N40" s="4" t="n">
        <v>-4.54</v>
      </c>
      <c r="O40" s="4" t="n"/>
      <c r="P40" s="4" t="n"/>
      <c r="Q40">
        <f>MID($G40,1,1)</f>
        <v/>
      </c>
      <c r="R40">
        <f>MID($G40,2,1)</f>
        <v/>
      </c>
      <c r="S40">
        <f>MID($G40,3,1)</f>
        <v/>
      </c>
      <c r="T40">
        <f>MID($G40,4,1)</f>
        <v/>
      </c>
      <c r="U40">
        <f>MID($G40,5,1)</f>
        <v/>
      </c>
      <c r="V40">
        <f>MID($G40,6,1)</f>
        <v/>
      </c>
      <c r="W40">
        <f>MID($G40,7,1)</f>
        <v/>
      </c>
      <c r="X40">
        <f>MID($G40,8,1)</f>
        <v/>
      </c>
      <c r="Y40">
        <f>MID($G40,9,1)</f>
        <v/>
      </c>
      <c r="Z40">
        <f>MID($G40,10,1)</f>
        <v/>
      </c>
      <c r="AA40">
        <f>MID($H40,1,1)</f>
        <v/>
      </c>
      <c r="AB40">
        <f>MID($H40,2,1)</f>
        <v/>
      </c>
      <c r="AC40">
        <f>MID($H40,3,1)</f>
        <v/>
      </c>
      <c r="AD40">
        <f>MID($H40,4,1)</f>
        <v/>
      </c>
      <c r="AE40">
        <f>MID($H40,5,1)</f>
        <v/>
      </c>
      <c r="AF40">
        <f>MID($H40,6,1)</f>
        <v/>
      </c>
      <c r="AG40">
        <f>MID($H40,7,1)</f>
        <v/>
      </c>
      <c r="AH40">
        <f>MID($H40,8,1)</f>
        <v/>
      </c>
      <c r="AI40">
        <f>MID($H40,9,1)</f>
        <v/>
      </c>
      <c r="AJ40">
        <f>MID($H40,10,1)</f>
        <v/>
      </c>
    </row>
    <row r="41">
      <c r="A41" s="4" t="n">
        <v>40</v>
      </c>
      <c r="B41" s="4" t="inlineStr">
        <is>
          <t>是</t>
        </is>
      </c>
      <c r="C41" s="4" t="inlineStr">
        <is>
          <t>DN5040</t>
        </is>
      </c>
      <c r="D41" s="4" t="inlineStr">
        <is>
          <t>DN7040</t>
        </is>
      </c>
      <c r="E41" s="4" t="inlineStr">
        <is>
          <t>U063</t>
        </is>
      </c>
      <c r="F41" s="4" t="inlineStr">
        <is>
          <t>U275</t>
        </is>
      </c>
      <c r="G41" s="5" t="inlineStr">
        <is>
          <t>TTGGTCAGGA</t>
        </is>
      </c>
      <c r="H41" s="5" t="inlineStr">
        <is>
          <t>ACCAGAGGAC</t>
        </is>
      </c>
      <c r="I41" s="4">
        <f>LEN(SUBSTITUTE(SUBSTITUTE(G41,"A",""),"T",""))</f>
        <v/>
      </c>
      <c r="J41" s="4">
        <f>LEN(SUBSTITUTE(SUBSTITUTE(H41,"A",""),"T",""))</f>
        <v/>
      </c>
      <c r="K41" s="6" t="inlineStr">
        <is>
          <t>A</t>
        </is>
      </c>
      <c r="L41" s="4" t="inlineStr">
        <is>
          <t>预测</t>
        </is>
      </c>
      <c r="M41" s="4" t="n">
        <v>-6.03</v>
      </c>
      <c r="N41" s="4" t="n">
        <v>-3.6</v>
      </c>
      <c r="O41" s="4" t="n"/>
      <c r="P41" s="4" t="n"/>
      <c r="Q41">
        <f>MID($G41,1,1)</f>
        <v/>
      </c>
      <c r="R41">
        <f>MID($G41,2,1)</f>
        <v/>
      </c>
      <c r="S41">
        <f>MID($G41,3,1)</f>
        <v/>
      </c>
      <c r="T41">
        <f>MID($G41,4,1)</f>
        <v/>
      </c>
      <c r="U41">
        <f>MID($G41,5,1)</f>
        <v/>
      </c>
      <c r="V41">
        <f>MID($G41,6,1)</f>
        <v/>
      </c>
      <c r="W41">
        <f>MID($G41,7,1)</f>
        <v/>
      </c>
      <c r="X41">
        <f>MID($G41,8,1)</f>
        <v/>
      </c>
      <c r="Y41">
        <f>MID($G41,9,1)</f>
        <v/>
      </c>
      <c r="Z41">
        <f>MID($G41,10,1)</f>
        <v/>
      </c>
      <c r="AA41">
        <f>MID($H41,1,1)</f>
        <v/>
      </c>
      <c r="AB41">
        <f>MID($H41,2,1)</f>
        <v/>
      </c>
      <c r="AC41">
        <f>MID($H41,3,1)</f>
        <v/>
      </c>
      <c r="AD41">
        <f>MID($H41,4,1)</f>
        <v/>
      </c>
      <c r="AE41">
        <f>MID($H41,5,1)</f>
        <v/>
      </c>
      <c r="AF41">
        <f>MID($H41,6,1)</f>
        <v/>
      </c>
      <c r="AG41">
        <f>MID($H41,7,1)</f>
        <v/>
      </c>
      <c r="AH41">
        <f>MID($H41,8,1)</f>
        <v/>
      </c>
      <c r="AI41">
        <f>MID($H41,9,1)</f>
        <v/>
      </c>
      <c r="AJ41">
        <f>MID($H41,10,1)</f>
        <v/>
      </c>
    </row>
    <row r="42">
      <c r="A42" s="4" t="n">
        <v>41</v>
      </c>
      <c r="B42" s="4" t="inlineStr">
        <is>
          <t>是</t>
        </is>
      </c>
      <c r="C42" s="4" t="inlineStr">
        <is>
          <t>DN5041</t>
        </is>
      </c>
      <c r="D42" s="4" t="inlineStr">
        <is>
          <t>DN7041</t>
        </is>
      </c>
      <c r="E42" s="4" t="inlineStr">
        <is>
          <t>U520</t>
        </is>
      </c>
      <c r="F42" s="4" t="inlineStr">
        <is>
          <t>U160</t>
        </is>
      </c>
      <c r="G42" s="5" t="inlineStr">
        <is>
          <t>CGACCTGAGT</t>
        </is>
      </c>
      <c r="H42" s="5" t="inlineStr">
        <is>
          <t>ACAACCGATT</t>
        </is>
      </c>
      <c r="I42" s="4">
        <f>LEN(SUBSTITUTE(SUBSTITUTE(G42,"A",""),"T",""))</f>
        <v/>
      </c>
      <c r="J42" s="4">
        <f>LEN(SUBSTITUTE(SUBSTITUTE(H42,"A",""),"T",""))</f>
        <v/>
      </c>
      <c r="K42" s="6" t="inlineStr">
        <is>
          <t>A</t>
        </is>
      </c>
      <c r="L42" s="4" t="inlineStr">
        <is>
          <t>预测</t>
        </is>
      </c>
      <c r="M42" s="4" t="n">
        <v>-5.9</v>
      </c>
      <c r="N42" s="4" t="n">
        <v>-3.79</v>
      </c>
      <c r="O42" s="4" t="n"/>
      <c r="P42" s="4" t="n"/>
      <c r="Q42">
        <f>MID($G42,1,1)</f>
        <v/>
      </c>
      <c r="R42">
        <f>MID($G42,2,1)</f>
        <v/>
      </c>
      <c r="S42">
        <f>MID($G42,3,1)</f>
        <v/>
      </c>
      <c r="T42">
        <f>MID($G42,4,1)</f>
        <v/>
      </c>
      <c r="U42">
        <f>MID($G42,5,1)</f>
        <v/>
      </c>
      <c r="V42">
        <f>MID($G42,6,1)</f>
        <v/>
      </c>
      <c r="W42">
        <f>MID($G42,7,1)</f>
        <v/>
      </c>
      <c r="X42">
        <f>MID($G42,8,1)</f>
        <v/>
      </c>
      <c r="Y42">
        <f>MID($G42,9,1)</f>
        <v/>
      </c>
      <c r="Z42">
        <f>MID($G42,10,1)</f>
        <v/>
      </c>
      <c r="AA42">
        <f>MID($H42,1,1)</f>
        <v/>
      </c>
      <c r="AB42">
        <f>MID($H42,2,1)</f>
        <v/>
      </c>
      <c r="AC42">
        <f>MID($H42,3,1)</f>
        <v/>
      </c>
      <c r="AD42">
        <f>MID($H42,4,1)</f>
        <v/>
      </c>
      <c r="AE42">
        <f>MID($H42,5,1)</f>
        <v/>
      </c>
      <c r="AF42">
        <f>MID($H42,6,1)</f>
        <v/>
      </c>
      <c r="AG42">
        <f>MID($H42,7,1)</f>
        <v/>
      </c>
      <c r="AH42">
        <f>MID($H42,8,1)</f>
        <v/>
      </c>
      <c r="AI42">
        <f>MID($H42,9,1)</f>
        <v/>
      </c>
      <c r="AJ42">
        <f>MID($H42,10,1)</f>
        <v/>
      </c>
    </row>
    <row r="43">
      <c r="A43" s="4" t="n">
        <v>42</v>
      </c>
      <c r="B43" s="4" t="inlineStr">
        <is>
          <t>是</t>
        </is>
      </c>
      <c r="C43" s="4" t="inlineStr">
        <is>
          <t>DN5042</t>
        </is>
      </c>
      <c r="D43" s="4" t="inlineStr">
        <is>
          <t>DN7042</t>
        </is>
      </c>
      <c r="E43" s="4" t="inlineStr">
        <is>
          <t>U418</t>
        </is>
      </c>
      <c r="F43" s="4" t="inlineStr">
        <is>
          <t>U252</t>
        </is>
      </c>
      <c r="G43" s="5" t="inlineStr">
        <is>
          <t>GCACGGCTTA</t>
        </is>
      </c>
      <c r="H43" s="5" t="inlineStr">
        <is>
          <t>TGTCAGCGAG</t>
        </is>
      </c>
      <c r="I43" s="4">
        <f>LEN(SUBSTITUTE(SUBSTITUTE(G43,"A",""),"T",""))</f>
        <v/>
      </c>
      <c r="J43" s="4">
        <f>LEN(SUBSTITUTE(SUBSTITUTE(H43,"A",""),"T",""))</f>
        <v/>
      </c>
      <c r="K43" s="6" t="inlineStr">
        <is>
          <t>A</t>
        </is>
      </c>
      <c r="L43" s="4" t="inlineStr">
        <is>
          <t>预测</t>
        </is>
      </c>
      <c r="M43" s="4" t="n">
        <v>-6.78</v>
      </c>
      <c r="N43" s="4" t="n">
        <v>-4.27</v>
      </c>
      <c r="O43" s="4" t="n"/>
      <c r="P43" s="4" t="n"/>
      <c r="Q43">
        <f>MID($G43,1,1)</f>
        <v/>
      </c>
      <c r="R43">
        <f>MID($G43,2,1)</f>
        <v/>
      </c>
      <c r="S43">
        <f>MID($G43,3,1)</f>
        <v/>
      </c>
      <c r="T43">
        <f>MID($G43,4,1)</f>
        <v/>
      </c>
      <c r="U43">
        <f>MID($G43,5,1)</f>
        <v/>
      </c>
      <c r="V43">
        <f>MID($G43,6,1)</f>
        <v/>
      </c>
      <c r="W43">
        <f>MID($G43,7,1)</f>
        <v/>
      </c>
      <c r="X43">
        <f>MID($G43,8,1)</f>
        <v/>
      </c>
      <c r="Y43">
        <f>MID($G43,9,1)</f>
        <v/>
      </c>
      <c r="Z43">
        <f>MID($G43,10,1)</f>
        <v/>
      </c>
      <c r="AA43">
        <f>MID($H43,1,1)</f>
        <v/>
      </c>
      <c r="AB43">
        <f>MID($H43,2,1)</f>
        <v/>
      </c>
      <c r="AC43">
        <f>MID($H43,3,1)</f>
        <v/>
      </c>
      <c r="AD43">
        <f>MID($H43,4,1)</f>
        <v/>
      </c>
      <c r="AE43">
        <f>MID($H43,5,1)</f>
        <v/>
      </c>
      <c r="AF43">
        <f>MID($H43,6,1)</f>
        <v/>
      </c>
      <c r="AG43">
        <f>MID($H43,7,1)</f>
        <v/>
      </c>
      <c r="AH43">
        <f>MID($H43,8,1)</f>
        <v/>
      </c>
      <c r="AI43">
        <f>MID($H43,9,1)</f>
        <v/>
      </c>
      <c r="AJ43">
        <f>MID($H43,10,1)</f>
        <v/>
      </c>
    </row>
    <row r="44">
      <c r="A44" s="4" t="n">
        <v>43</v>
      </c>
      <c r="B44" s="4" t="inlineStr">
        <is>
          <t>是</t>
        </is>
      </c>
      <c r="C44" s="4" t="inlineStr">
        <is>
          <t>DN5043</t>
        </is>
      </c>
      <c r="D44" s="4" t="inlineStr">
        <is>
          <t>DN7043</t>
        </is>
      </c>
      <c r="E44" s="4" t="inlineStr">
        <is>
          <t>U901</t>
        </is>
      </c>
      <c r="F44" s="4" t="inlineStr">
        <is>
          <t>U179</t>
        </is>
      </c>
      <c r="G44" s="5" t="inlineStr">
        <is>
          <t>AATCTTCACC</t>
        </is>
      </c>
      <c r="H44" s="5" t="inlineStr">
        <is>
          <t>TCAACCTTGC</t>
        </is>
      </c>
      <c r="I44" s="4">
        <f>LEN(SUBSTITUTE(SUBSTITUTE(G44,"A",""),"T",""))</f>
        <v/>
      </c>
      <c r="J44" s="4">
        <f>LEN(SUBSTITUTE(SUBSTITUTE(H44,"A",""),"T",""))</f>
        <v/>
      </c>
      <c r="K44" s="7" t="inlineStr">
        <is>
          <t>B</t>
        </is>
      </c>
      <c r="L44" s="4" t="inlineStr">
        <is>
          <t>预测</t>
        </is>
      </c>
      <c r="M44" s="4" t="n">
        <v>-5.97</v>
      </c>
      <c r="N44" s="4" t="n">
        <v>-4.54</v>
      </c>
      <c r="O44" s="4" t="n"/>
      <c r="P44" s="4" t="n"/>
      <c r="Q44">
        <f>MID($G44,1,1)</f>
        <v/>
      </c>
      <c r="R44">
        <f>MID($G44,2,1)</f>
        <v/>
      </c>
      <c r="S44">
        <f>MID($G44,3,1)</f>
        <v/>
      </c>
      <c r="T44">
        <f>MID($G44,4,1)</f>
        <v/>
      </c>
      <c r="U44">
        <f>MID($G44,5,1)</f>
        <v/>
      </c>
      <c r="V44">
        <f>MID($G44,6,1)</f>
        <v/>
      </c>
      <c r="W44">
        <f>MID($G44,7,1)</f>
        <v/>
      </c>
      <c r="X44">
        <f>MID($G44,8,1)</f>
        <v/>
      </c>
      <c r="Y44">
        <f>MID($G44,9,1)</f>
        <v/>
      </c>
      <c r="Z44">
        <f>MID($G44,10,1)</f>
        <v/>
      </c>
      <c r="AA44">
        <f>MID($H44,1,1)</f>
        <v/>
      </c>
      <c r="AB44">
        <f>MID($H44,2,1)</f>
        <v/>
      </c>
      <c r="AC44">
        <f>MID($H44,3,1)</f>
        <v/>
      </c>
      <c r="AD44">
        <f>MID($H44,4,1)</f>
        <v/>
      </c>
      <c r="AE44">
        <f>MID($H44,5,1)</f>
        <v/>
      </c>
      <c r="AF44">
        <f>MID($H44,6,1)</f>
        <v/>
      </c>
      <c r="AG44">
        <f>MID($H44,7,1)</f>
        <v/>
      </c>
      <c r="AH44">
        <f>MID($H44,8,1)</f>
        <v/>
      </c>
      <c r="AI44">
        <f>MID($H44,9,1)</f>
        <v/>
      </c>
      <c r="AJ44">
        <f>MID($H44,10,1)</f>
        <v/>
      </c>
    </row>
    <row r="45">
      <c r="A45" s="4" t="n">
        <v>44</v>
      </c>
      <c r="B45" s="4" t="inlineStr">
        <is>
          <t>是</t>
        </is>
      </c>
      <c r="C45" s="4" t="inlineStr">
        <is>
          <t>DN5044</t>
        </is>
      </c>
      <c r="D45" s="4" t="inlineStr">
        <is>
          <t>DN7044</t>
        </is>
      </c>
      <c r="E45" s="4" t="inlineStr">
        <is>
          <t>U768</t>
        </is>
      </c>
      <c r="F45" s="4" t="inlineStr">
        <is>
          <t>U514</t>
        </is>
      </c>
      <c r="G45" s="5" t="inlineStr">
        <is>
          <t>CCAGCTAACC</t>
        </is>
      </c>
      <c r="H45" s="5" t="inlineStr">
        <is>
          <t>AAGGCTGAGC</t>
        </is>
      </c>
      <c r="I45" s="4">
        <f>LEN(SUBSTITUTE(SUBSTITUTE(G45,"A",""),"T",""))</f>
        <v/>
      </c>
      <c r="J45" s="4">
        <f>LEN(SUBSTITUTE(SUBSTITUTE(H45,"A",""),"T",""))</f>
        <v/>
      </c>
      <c r="K45" s="7" t="inlineStr">
        <is>
          <t>B</t>
        </is>
      </c>
      <c r="L45" s="4" t="inlineStr">
        <is>
          <t>预测</t>
        </is>
      </c>
      <c r="M45" s="4" t="n">
        <v>-6.03</v>
      </c>
      <c r="N45" s="4" t="n">
        <v>-4.54</v>
      </c>
      <c r="O45" s="4" t="n"/>
      <c r="P45" s="4" t="n"/>
      <c r="Q45">
        <f>MID($G45,1,1)</f>
        <v/>
      </c>
      <c r="R45">
        <f>MID($G45,2,1)</f>
        <v/>
      </c>
      <c r="S45">
        <f>MID($G45,3,1)</f>
        <v/>
      </c>
      <c r="T45">
        <f>MID($G45,4,1)</f>
        <v/>
      </c>
      <c r="U45">
        <f>MID($G45,5,1)</f>
        <v/>
      </c>
      <c r="V45">
        <f>MID($G45,6,1)</f>
        <v/>
      </c>
      <c r="W45">
        <f>MID($G45,7,1)</f>
        <v/>
      </c>
      <c r="X45">
        <f>MID($G45,8,1)</f>
        <v/>
      </c>
      <c r="Y45">
        <f>MID($G45,9,1)</f>
        <v/>
      </c>
      <c r="Z45">
        <f>MID($G45,10,1)</f>
        <v/>
      </c>
      <c r="AA45">
        <f>MID($H45,1,1)</f>
        <v/>
      </c>
      <c r="AB45">
        <f>MID($H45,2,1)</f>
        <v/>
      </c>
      <c r="AC45">
        <f>MID($H45,3,1)</f>
        <v/>
      </c>
      <c r="AD45">
        <f>MID($H45,4,1)</f>
        <v/>
      </c>
      <c r="AE45">
        <f>MID($H45,5,1)</f>
        <v/>
      </c>
      <c r="AF45">
        <f>MID($H45,6,1)</f>
        <v/>
      </c>
      <c r="AG45">
        <f>MID($H45,7,1)</f>
        <v/>
      </c>
      <c r="AH45">
        <f>MID($H45,8,1)</f>
        <v/>
      </c>
      <c r="AI45">
        <f>MID($H45,9,1)</f>
        <v/>
      </c>
      <c r="AJ45">
        <f>MID($H45,10,1)</f>
        <v/>
      </c>
    </row>
    <row r="46">
      <c r="A46" s="4" t="n">
        <v>45</v>
      </c>
      <c r="B46" s="4" t="inlineStr">
        <is>
          <t>是</t>
        </is>
      </c>
      <c r="C46" s="4" t="inlineStr">
        <is>
          <t>DN5045</t>
        </is>
      </c>
      <c r="D46" s="4" t="inlineStr">
        <is>
          <t>DN7045</t>
        </is>
      </c>
      <c r="E46" s="4" t="inlineStr">
        <is>
          <t>U711</t>
        </is>
      </c>
      <c r="F46" s="4" t="inlineStr">
        <is>
          <t>U429</t>
        </is>
      </c>
      <c r="G46" s="5" t="inlineStr">
        <is>
          <t>ACCACAACAA</t>
        </is>
      </c>
      <c r="H46" s="5" t="inlineStr">
        <is>
          <t>CTGACGCGTT</t>
        </is>
      </c>
      <c r="I46" s="4">
        <f>LEN(SUBSTITUTE(SUBSTITUTE(G46,"A",""),"T",""))</f>
        <v/>
      </c>
      <c r="J46" s="4">
        <f>LEN(SUBSTITUTE(SUBSTITUTE(H46,"A",""),"T",""))</f>
        <v/>
      </c>
      <c r="K46" s="6" t="inlineStr">
        <is>
          <t>A</t>
        </is>
      </c>
      <c r="L46" s="4" t="inlineStr">
        <is>
          <t>预测</t>
        </is>
      </c>
      <c r="M46" s="4" t="n">
        <v>-6.51</v>
      </c>
      <c r="N46" s="4" t="n">
        <v>-2.92</v>
      </c>
      <c r="O46" s="4" t="n"/>
      <c r="P46" s="4" t="n"/>
      <c r="Q46">
        <f>MID($G46,1,1)</f>
        <v/>
      </c>
      <c r="R46">
        <f>MID($G46,2,1)</f>
        <v/>
      </c>
      <c r="S46">
        <f>MID($G46,3,1)</f>
        <v/>
      </c>
      <c r="T46">
        <f>MID($G46,4,1)</f>
        <v/>
      </c>
      <c r="U46">
        <f>MID($G46,5,1)</f>
        <v/>
      </c>
      <c r="V46">
        <f>MID($G46,6,1)</f>
        <v/>
      </c>
      <c r="W46">
        <f>MID($G46,7,1)</f>
        <v/>
      </c>
      <c r="X46">
        <f>MID($G46,8,1)</f>
        <v/>
      </c>
      <c r="Y46">
        <f>MID($G46,9,1)</f>
        <v/>
      </c>
      <c r="Z46">
        <f>MID($G46,10,1)</f>
        <v/>
      </c>
      <c r="AA46">
        <f>MID($H46,1,1)</f>
        <v/>
      </c>
      <c r="AB46">
        <f>MID($H46,2,1)</f>
        <v/>
      </c>
      <c r="AC46">
        <f>MID($H46,3,1)</f>
        <v/>
      </c>
      <c r="AD46">
        <f>MID($H46,4,1)</f>
        <v/>
      </c>
      <c r="AE46">
        <f>MID($H46,5,1)</f>
        <v/>
      </c>
      <c r="AF46">
        <f>MID($H46,6,1)</f>
        <v/>
      </c>
      <c r="AG46">
        <f>MID($H46,7,1)</f>
        <v/>
      </c>
      <c r="AH46">
        <f>MID($H46,8,1)</f>
        <v/>
      </c>
      <c r="AI46">
        <f>MID($H46,9,1)</f>
        <v/>
      </c>
      <c r="AJ46">
        <f>MID($H46,10,1)</f>
        <v/>
      </c>
    </row>
    <row r="47">
      <c r="A47" s="4" t="n">
        <v>46</v>
      </c>
      <c r="B47" s="4" t="inlineStr">
        <is>
          <t>是</t>
        </is>
      </c>
      <c r="C47" s="4" t="inlineStr">
        <is>
          <t>DN5046</t>
        </is>
      </c>
      <c r="D47" s="4" t="inlineStr">
        <is>
          <t>DN7046</t>
        </is>
      </c>
      <c r="E47" s="4" t="inlineStr">
        <is>
          <t>U851</t>
        </is>
      </c>
      <c r="F47" s="4" t="inlineStr">
        <is>
          <t>U119</t>
        </is>
      </c>
      <c r="G47" s="5" t="inlineStr">
        <is>
          <t>ATCAGGTCAA</t>
        </is>
      </c>
      <c r="H47" s="5" t="inlineStr">
        <is>
          <t>TCAGAATCAC</t>
        </is>
      </c>
      <c r="I47" s="4">
        <f>LEN(SUBSTITUTE(SUBSTITUTE(G47,"A",""),"T",""))</f>
        <v/>
      </c>
      <c r="J47" s="4">
        <f>LEN(SUBSTITUTE(SUBSTITUTE(H47,"A",""),"T",""))</f>
        <v/>
      </c>
      <c r="K47" s="6" t="inlineStr">
        <is>
          <t>A</t>
        </is>
      </c>
      <c r="L47" s="4" t="inlineStr">
        <is>
          <t>预测</t>
        </is>
      </c>
      <c r="M47" s="4" t="n">
        <v>-6.03</v>
      </c>
      <c r="N47" s="4" t="n">
        <v>-4.36</v>
      </c>
      <c r="O47" s="4" t="n"/>
      <c r="P47" s="4" t="n"/>
      <c r="Q47">
        <f>MID($G47,1,1)</f>
        <v/>
      </c>
      <c r="R47">
        <f>MID($G47,2,1)</f>
        <v/>
      </c>
      <c r="S47">
        <f>MID($G47,3,1)</f>
        <v/>
      </c>
      <c r="T47">
        <f>MID($G47,4,1)</f>
        <v/>
      </c>
      <c r="U47">
        <f>MID($G47,5,1)</f>
        <v/>
      </c>
      <c r="V47">
        <f>MID($G47,6,1)</f>
        <v/>
      </c>
      <c r="W47">
        <f>MID($G47,7,1)</f>
        <v/>
      </c>
      <c r="X47">
        <f>MID($G47,8,1)</f>
        <v/>
      </c>
      <c r="Y47">
        <f>MID($G47,9,1)</f>
        <v/>
      </c>
      <c r="Z47">
        <f>MID($G47,10,1)</f>
        <v/>
      </c>
      <c r="AA47">
        <f>MID($H47,1,1)</f>
        <v/>
      </c>
      <c r="AB47">
        <f>MID($H47,2,1)</f>
        <v/>
      </c>
      <c r="AC47">
        <f>MID($H47,3,1)</f>
        <v/>
      </c>
      <c r="AD47">
        <f>MID($H47,4,1)</f>
        <v/>
      </c>
      <c r="AE47">
        <f>MID($H47,5,1)</f>
        <v/>
      </c>
      <c r="AF47">
        <f>MID($H47,6,1)</f>
        <v/>
      </c>
      <c r="AG47">
        <f>MID($H47,7,1)</f>
        <v/>
      </c>
      <c r="AH47">
        <f>MID($H47,8,1)</f>
        <v/>
      </c>
      <c r="AI47">
        <f>MID($H47,9,1)</f>
        <v/>
      </c>
      <c r="AJ47">
        <f>MID($H47,10,1)</f>
        <v/>
      </c>
    </row>
    <row r="48">
      <c r="A48" s="4" t="n">
        <v>47</v>
      </c>
      <c r="B48" s="4" t="inlineStr">
        <is>
          <t>是</t>
        </is>
      </c>
      <c r="C48" s="4" t="inlineStr">
        <is>
          <t>DN5047</t>
        </is>
      </c>
      <c r="D48" s="4" t="inlineStr">
        <is>
          <t>DN7047</t>
        </is>
      </c>
      <c r="E48" s="4" t="inlineStr">
        <is>
          <t>U641</t>
        </is>
      </c>
      <c r="F48" s="4" t="inlineStr">
        <is>
          <t>U083</t>
        </is>
      </c>
      <c r="G48" s="5" t="inlineStr">
        <is>
          <t>GTTGTGGAAT</t>
        </is>
      </c>
      <c r="H48" s="5" t="inlineStr">
        <is>
          <t>AAGATGCTCA</t>
        </is>
      </c>
      <c r="I48" s="4">
        <f>LEN(SUBSTITUTE(SUBSTITUTE(G48,"A",""),"T",""))</f>
        <v/>
      </c>
      <c r="J48" s="4">
        <f>LEN(SUBSTITUTE(SUBSTITUTE(H48,"A",""),"T",""))</f>
        <v/>
      </c>
      <c r="K48" s="6" t="inlineStr">
        <is>
          <t>A</t>
        </is>
      </c>
      <c r="L48" s="4" t="inlineStr">
        <is>
          <t>预测</t>
        </is>
      </c>
      <c r="M48" s="4" t="n">
        <v>-6.1</v>
      </c>
      <c r="N48" s="4" t="n">
        <v>-4.17</v>
      </c>
      <c r="O48" s="4" t="n"/>
      <c r="P48" s="4" t="n"/>
      <c r="Q48">
        <f>MID($G48,1,1)</f>
        <v/>
      </c>
      <c r="R48">
        <f>MID($G48,2,1)</f>
        <v/>
      </c>
      <c r="S48">
        <f>MID($G48,3,1)</f>
        <v/>
      </c>
      <c r="T48">
        <f>MID($G48,4,1)</f>
        <v/>
      </c>
      <c r="U48">
        <f>MID($G48,5,1)</f>
        <v/>
      </c>
      <c r="V48">
        <f>MID($G48,6,1)</f>
        <v/>
      </c>
      <c r="W48">
        <f>MID($G48,7,1)</f>
        <v/>
      </c>
      <c r="X48">
        <f>MID($G48,8,1)</f>
        <v/>
      </c>
      <c r="Y48">
        <f>MID($G48,9,1)</f>
        <v/>
      </c>
      <c r="Z48">
        <f>MID($G48,10,1)</f>
        <v/>
      </c>
      <c r="AA48">
        <f>MID($H48,1,1)</f>
        <v/>
      </c>
      <c r="AB48">
        <f>MID($H48,2,1)</f>
        <v/>
      </c>
      <c r="AC48">
        <f>MID($H48,3,1)</f>
        <v/>
      </c>
      <c r="AD48">
        <f>MID($H48,4,1)</f>
        <v/>
      </c>
      <c r="AE48">
        <f>MID($H48,5,1)</f>
        <v/>
      </c>
      <c r="AF48">
        <f>MID($H48,6,1)</f>
        <v/>
      </c>
      <c r="AG48">
        <f>MID($H48,7,1)</f>
        <v/>
      </c>
      <c r="AH48">
        <f>MID($H48,8,1)</f>
        <v/>
      </c>
      <c r="AI48">
        <f>MID($H48,9,1)</f>
        <v/>
      </c>
      <c r="AJ48">
        <f>MID($H48,10,1)</f>
        <v/>
      </c>
    </row>
    <row r="49">
      <c r="A49" s="4" t="n">
        <v>48</v>
      </c>
      <c r="B49" s="4" t="inlineStr">
        <is>
          <t>是</t>
        </is>
      </c>
      <c r="C49" s="4" t="inlineStr">
        <is>
          <t>DN5048</t>
        </is>
      </c>
      <c r="D49" s="4" t="inlineStr">
        <is>
          <t>DN7048</t>
        </is>
      </c>
      <c r="E49" s="4" t="inlineStr">
        <is>
          <t>U353</t>
        </is>
      </c>
      <c r="F49" s="4" t="inlineStr">
        <is>
          <t>U245</t>
        </is>
      </c>
      <c r="G49" s="5" t="inlineStr">
        <is>
          <t>GCCTGAACTC</t>
        </is>
      </c>
      <c r="H49" s="5" t="inlineStr">
        <is>
          <t>CTTGCCAACT</t>
        </is>
      </c>
      <c r="I49" s="4">
        <f>LEN(SUBSTITUTE(SUBSTITUTE(G49,"A",""),"T",""))</f>
        <v/>
      </c>
      <c r="J49" s="4">
        <f>LEN(SUBSTITUTE(SUBSTITUTE(H49,"A",""),"T",""))</f>
        <v/>
      </c>
      <c r="K49" s="7" t="inlineStr">
        <is>
          <t>B</t>
        </is>
      </c>
      <c r="L49" s="4" t="inlineStr">
        <is>
          <t>预测</t>
        </is>
      </c>
      <c r="M49" s="4" t="n">
        <v>-6.73</v>
      </c>
      <c r="N49" s="4" t="n">
        <v>-4.7</v>
      </c>
      <c r="O49" s="4" t="n"/>
      <c r="P49" s="4" t="n"/>
      <c r="Q49">
        <f>MID($G49,1,1)</f>
        <v/>
      </c>
      <c r="R49">
        <f>MID($G49,2,1)</f>
        <v/>
      </c>
      <c r="S49">
        <f>MID($G49,3,1)</f>
        <v/>
      </c>
      <c r="T49">
        <f>MID($G49,4,1)</f>
        <v/>
      </c>
      <c r="U49">
        <f>MID($G49,5,1)</f>
        <v/>
      </c>
      <c r="V49">
        <f>MID($G49,6,1)</f>
        <v/>
      </c>
      <c r="W49">
        <f>MID($G49,7,1)</f>
        <v/>
      </c>
      <c r="X49">
        <f>MID($G49,8,1)</f>
        <v/>
      </c>
      <c r="Y49">
        <f>MID($G49,9,1)</f>
        <v/>
      </c>
      <c r="Z49">
        <f>MID($G49,10,1)</f>
        <v/>
      </c>
      <c r="AA49">
        <f>MID($H49,1,1)</f>
        <v/>
      </c>
      <c r="AB49">
        <f>MID($H49,2,1)</f>
        <v/>
      </c>
      <c r="AC49">
        <f>MID($H49,3,1)</f>
        <v/>
      </c>
      <c r="AD49">
        <f>MID($H49,4,1)</f>
        <v/>
      </c>
      <c r="AE49">
        <f>MID($H49,5,1)</f>
        <v/>
      </c>
      <c r="AF49">
        <f>MID($H49,6,1)</f>
        <v/>
      </c>
      <c r="AG49">
        <f>MID($H49,7,1)</f>
        <v/>
      </c>
      <c r="AH49">
        <f>MID($H49,8,1)</f>
        <v/>
      </c>
      <c r="AI49">
        <f>MID($H49,9,1)</f>
        <v/>
      </c>
      <c r="AJ49">
        <f>MID($H49,10,1)</f>
        <v/>
      </c>
    </row>
    <row r="50">
      <c r="A50" s="4" t="n">
        <v>49</v>
      </c>
      <c r="B50" s="4" t="inlineStr"/>
      <c r="C50" s="4" t="inlineStr">
        <is>
          <t>DN5049</t>
        </is>
      </c>
      <c r="D50" s="4" t="inlineStr">
        <is>
          <t>DN7049</t>
        </is>
      </c>
      <c r="E50" s="4" t="inlineStr">
        <is>
          <t>U852</t>
        </is>
      </c>
      <c r="F50" s="4" t="inlineStr">
        <is>
          <t>U308</t>
        </is>
      </c>
      <c r="G50" s="5" t="inlineStr">
        <is>
          <t>AATCCGACAA</t>
        </is>
      </c>
      <c r="H50" s="5" t="inlineStr">
        <is>
          <t>CCAGGAGATG</t>
        </is>
      </c>
      <c r="I50" s="4">
        <f>LEN(SUBSTITUTE(SUBSTITUTE(G50,"A",""),"T",""))</f>
        <v/>
      </c>
      <c r="J50" s="4">
        <f>LEN(SUBSTITUTE(SUBSTITUTE(H50,"A",""),"T",""))</f>
        <v/>
      </c>
      <c r="K50" s="6" t="inlineStr">
        <is>
          <t>A</t>
        </is>
      </c>
      <c r="L50" s="4" t="inlineStr">
        <is>
          <t>预测</t>
        </is>
      </c>
      <c r="M50" s="4" t="n">
        <v>-6.93</v>
      </c>
      <c r="N50" s="4" t="n">
        <v>-3.8</v>
      </c>
      <c r="O50" s="4" t="n"/>
      <c r="P50" s="4" t="n"/>
      <c r="Q50">
        <f>MID($G50,1,1)</f>
        <v/>
      </c>
      <c r="R50">
        <f>MID($G50,2,1)</f>
        <v/>
      </c>
      <c r="S50">
        <f>MID($G50,3,1)</f>
        <v/>
      </c>
      <c r="T50">
        <f>MID($G50,4,1)</f>
        <v/>
      </c>
      <c r="U50">
        <f>MID($G50,5,1)</f>
        <v/>
      </c>
      <c r="V50">
        <f>MID($G50,6,1)</f>
        <v/>
      </c>
      <c r="W50">
        <f>MID($G50,7,1)</f>
        <v/>
      </c>
      <c r="X50">
        <f>MID($G50,8,1)</f>
        <v/>
      </c>
      <c r="Y50">
        <f>MID($G50,9,1)</f>
        <v/>
      </c>
      <c r="Z50">
        <f>MID($G50,10,1)</f>
        <v/>
      </c>
      <c r="AA50">
        <f>MID($H50,1,1)</f>
        <v/>
      </c>
      <c r="AB50">
        <f>MID($H50,2,1)</f>
        <v/>
      </c>
      <c r="AC50">
        <f>MID($H50,3,1)</f>
        <v/>
      </c>
      <c r="AD50">
        <f>MID($H50,4,1)</f>
        <v/>
      </c>
      <c r="AE50">
        <f>MID($H50,5,1)</f>
        <v/>
      </c>
      <c r="AF50">
        <f>MID($H50,6,1)</f>
        <v/>
      </c>
      <c r="AG50">
        <f>MID($H50,7,1)</f>
        <v/>
      </c>
      <c r="AH50">
        <f>MID($H50,8,1)</f>
        <v/>
      </c>
      <c r="AI50">
        <f>MID($H50,9,1)</f>
        <v/>
      </c>
      <c r="AJ50">
        <f>MID($H50,10,1)</f>
        <v/>
      </c>
    </row>
    <row r="51">
      <c r="A51" s="4" t="n">
        <v>50</v>
      </c>
      <c r="B51" s="4" t="inlineStr"/>
      <c r="C51" s="4" t="inlineStr">
        <is>
          <t>DN5050</t>
        </is>
      </c>
      <c r="D51" s="4" t="inlineStr">
        <is>
          <t>DN7050</t>
        </is>
      </c>
      <c r="E51" s="4" t="inlineStr">
        <is>
          <t>U089</t>
        </is>
      </c>
      <c r="F51" s="4" t="inlineStr">
        <is>
          <t>U594</t>
        </is>
      </c>
      <c r="G51" s="5" t="inlineStr">
        <is>
          <t>CTCTGTCGGA</t>
        </is>
      </c>
      <c r="H51" s="5" t="inlineStr">
        <is>
          <t>CGCAGGACTT</t>
        </is>
      </c>
      <c r="I51" s="4">
        <f>LEN(SUBSTITUTE(SUBSTITUTE(G51,"A",""),"T",""))</f>
        <v/>
      </c>
      <c r="J51" s="4">
        <f>LEN(SUBSTITUTE(SUBSTITUTE(H51,"A",""),"T",""))</f>
        <v/>
      </c>
      <c r="K51" s="6" t="inlineStr">
        <is>
          <t>A</t>
        </is>
      </c>
      <c r="L51" s="4" t="inlineStr">
        <is>
          <t>预测</t>
        </is>
      </c>
      <c r="M51" s="4" t="n">
        <v>-5.74</v>
      </c>
      <c r="N51" s="4" t="n">
        <v>-3.32</v>
      </c>
      <c r="O51" s="4" t="n"/>
      <c r="P51" s="4" t="n"/>
      <c r="Q51">
        <f>MID($G51,1,1)</f>
        <v/>
      </c>
      <c r="R51">
        <f>MID($G51,2,1)</f>
        <v/>
      </c>
      <c r="S51">
        <f>MID($G51,3,1)</f>
        <v/>
      </c>
      <c r="T51">
        <f>MID($G51,4,1)</f>
        <v/>
      </c>
      <c r="U51">
        <f>MID($G51,5,1)</f>
        <v/>
      </c>
      <c r="V51">
        <f>MID($G51,6,1)</f>
        <v/>
      </c>
      <c r="W51">
        <f>MID($G51,7,1)</f>
        <v/>
      </c>
      <c r="X51">
        <f>MID($G51,8,1)</f>
        <v/>
      </c>
      <c r="Y51">
        <f>MID($G51,9,1)</f>
        <v/>
      </c>
      <c r="Z51">
        <f>MID($G51,10,1)</f>
        <v/>
      </c>
      <c r="AA51">
        <f>MID($H51,1,1)</f>
        <v/>
      </c>
      <c r="AB51">
        <f>MID($H51,2,1)</f>
        <v/>
      </c>
      <c r="AC51">
        <f>MID($H51,3,1)</f>
        <v/>
      </c>
      <c r="AD51">
        <f>MID($H51,4,1)</f>
        <v/>
      </c>
      <c r="AE51">
        <f>MID($H51,5,1)</f>
        <v/>
      </c>
      <c r="AF51">
        <f>MID($H51,6,1)</f>
        <v/>
      </c>
      <c r="AG51">
        <f>MID($H51,7,1)</f>
        <v/>
      </c>
      <c r="AH51">
        <f>MID($H51,8,1)</f>
        <v/>
      </c>
      <c r="AI51">
        <f>MID($H51,9,1)</f>
        <v/>
      </c>
      <c r="AJ51">
        <f>MID($H51,10,1)</f>
        <v/>
      </c>
    </row>
    <row r="52">
      <c r="A52" s="4" t="n">
        <v>51</v>
      </c>
      <c r="B52" s="4" t="inlineStr"/>
      <c r="C52" s="4" t="inlineStr">
        <is>
          <t>DN5051</t>
        </is>
      </c>
      <c r="D52" s="4" t="inlineStr">
        <is>
          <t>DN7051</t>
        </is>
      </c>
      <c r="E52" s="4" t="inlineStr">
        <is>
          <t>U666</t>
        </is>
      </c>
      <c r="F52" s="4" t="inlineStr">
        <is>
          <t>U190</t>
        </is>
      </c>
      <c r="G52" s="5" t="inlineStr">
        <is>
          <t>CTTACACCTC</t>
        </is>
      </c>
      <c r="H52" s="5" t="inlineStr">
        <is>
          <t>GCAAGCCAAC</t>
        </is>
      </c>
      <c r="I52" s="4">
        <f>LEN(SUBSTITUTE(SUBSTITUTE(G52,"A",""),"T",""))</f>
        <v/>
      </c>
      <c r="J52" s="4">
        <f>LEN(SUBSTITUTE(SUBSTITUTE(H52,"A",""),"T",""))</f>
        <v/>
      </c>
      <c r="K52" s="7" t="inlineStr">
        <is>
          <t>B</t>
        </is>
      </c>
      <c r="L52" s="4" t="inlineStr">
        <is>
          <t>预测</t>
        </is>
      </c>
      <c r="M52" s="4" t="n">
        <v>-5.74</v>
      </c>
      <c r="N52" s="4" t="n">
        <v>-4.7</v>
      </c>
      <c r="O52" s="4" t="n"/>
      <c r="P52" s="4" t="n"/>
      <c r="Q52">
        <f>MID($G52,1,1)</f>
        <v/>
      </c>
      <c r="R52">
        <f>MID($G52,2,1)</f>
        <v/>
      </c>
      <c r="S52">
        <f>MID($G52,3,1)</f>
        <v/>
      </c>
      <c r="T52">
        <f>MID($G52,4,1)</f>
        <v/>
      </c>
      <c r="U52">
        <f>MID($G52,5,1)</f>
        <v/>
      </c>
      <c r="V52">
        <f>MID($G52,6,1)</f>
        <v/>
      </c>
      <c r="W52">
        <f>MID($G52,7,1)</f>
        <v/>
      </c>
      <c r="X52">
        <f>MID($G52,8,1)</f>
        <v/>
      </c>
      <c r="Y52">
        <f>MID($G52,9,1)</f>
        <v/>
      </c>
      <c r="Z52">
        <f>MID($G52,10,1)</f>
        <v/>
      </c>
      <c r="AA52">
        <f>MID($H52,1,1)</f>
        <v/>
      </c>
      <c r="AB52">
        <f>MID($H52,2,1)</f>
        <v/>
      </c>
      <c r="AC52">
        <f>MID($H52,3,1)</f>
        <v/>
      </c>
      <c r="AD52">
        <f>MID($H52,4,1)</f>
        <v/>
      </c>
      <c r="AE52">
        <f>MID($H52,5,1)</f>
        <v/>
      </c>
      <c r="AF52">
        <f>MID($H52,6,1)</f>
        <v/>
      </c>
      <c r="AG52">
        <f>MID($H52,7,1)</f>
        <v/>
      </c>
      <c r="AH52">
        <f>MID($H52,8,1)</f>
        <v/>
      </c>
      <c r="AI52">
        <f>MID($H52,9,1)</f>
        <v/>
      </c>
      <c r="AJ52">
        <f>MID($H52,10,1)</f>
        <v/>
      </c>
    </row>
    <row r="53">
      <c r="A53" s="4" t="n">
        <v>52</v>
      </c>
      <c r="B53" s="4" t="inlineStr"/>
      <c r="C53" s="4" t="inlineStr">
        <is>
          <t>DN5052</t>
        </is>
      </c>
      <c r="D53" s="4" t="inlineStr">
        <is>
          <t>DN7052</t>
        </is>
      </c>
      <c r="E53" s="4" t="inlineStr">
        <is>
          <t>U094</t>
        </is>
      </c>
      <c r="F53" s="4" t="inlineStr">
        <is>
          <t>U185</t>
        </is>
      </c>
      <c r="G53" s="5" t="inlineStr">
        <is>
          <t>AGTCAAGAGT</t>
        </is>
      </c>
      <c r="H53" s="5" t="inlineStr">
        <is>
          <t>GACGACCTCA</t>
        </is>
      </c>
      <c r="I53" s="4">
        <f>LEN(SUBSTITUTE(SUBSTITUTE(G53,"A",""),"T",""))</f>
        <v/>
      </c>
      <c r="J53" s="4">
        <f>LEN(SUBSTITUTE(SUBSTITUTE(H53,"A",""),"T",""))</f>
        <v/>
      </c>
      <c r="K53" s="6" t="inlineStr">
        <is>
          <t>A</t>
        </is>
      </c>
      <c r="L53" s="4" t="inlineStr">
        <is>
          <t>预测</t>
        </is>
      </c>
      <c r="M53" s="4" t="n">
        <v>-6.1</v>
      </c>
      <c r="N53" s="4" t="n">
        <v>-3.79</v>
      </c>
      <c r="O53" s="4" t="n"/>
      <c r="P53" s="4" t="n"/>
      <c r="Q53">
        <f>MID($G53,1,1)</f>
        <v/>
      </c>
      <c r="R53">
        <f>MID($G53,2,1)</f>
        <v/>
      </c>
      <c r="S53">
        <f>MID($G53,3,1)</f>
        <v/>
      </c>
      <c r="T53">
        <f>MID($G53,4,1)</f>
        <v/>
      </c>
      <c r="U53">
        <f>MID($G53,5,1)</f>
        <v/>
      </c>
      <c r="V53">
        <f>MID($G53,6,1)</f>
        <v/>
      </c>
      <c r="W53">
        <f>MID($G53,7,1)</f>
        <v/>
      </c>
      <c r="X53">
        <f>MID($G53,8,1)</f>
        <v/>
      </c>
      <c r="Y53">
        <f>MID($G53,9,1)</f>
        <v/>
      </c>
      <c r="Z53">
        <f>MID($G53,10,1)</f>
        <v/>
      </c>
      <c r="AA53">
        <f>MID($H53,1,1)</f>
        <v/>
      </c>
      <c r="AB53">
        <f>MID($H53,2,1)</f>
        <v/>
      </c>
      <c r="AC53">
        <f>MID($H53,3,1)</f>
        <v/>
      </c>
      <c r="AD53">
        <f>MID($H53,4,1)</f>
        <v/>
      </c>
      <c r="AE53">
        <f>MID($H53,5,1)</f>
        <v/>
      </c>
      <c r="AF53">
        <f>MID($H53,6,1)</f>
        <v/>
      </c>
      <c r="AG53">
        <f>MID($H53,7,1)</f>
        <v/>
      </c>
      <c r="AH53">
        <f>MID($H53,8,1)</f>
        <v/>
      </c>
      <c r="AI53">
        <f>MID($H53,9,1)</f>
        <v/>
      </c>
      <c r="AJ53">
        <f>MID($H53,10,1)</f>
        <v/>
      </c>
    </row>
    <row r="54">
      <c r="A54" s="4" t="n">
        <v>53</v>
      </c>
      <c r="B54" s="4" t="inlineStr"/>
      <c r="C54" s="4" t="inlineStr">
        <is>
          <t>DN5053</t>
        </is>
      </c>
      <c r="D54" s="4" t="inlineStr">
        <is>
          <t>DN7053</t>
        </is>
      </c>
      <c r="E54" s="4" t="inlineStr">
        <is>
          <t>U752</t>
        </is>
      </c>
      <c r="F54" s="4" t="inlineStr">
        <is>
          <t>U727</t>
        </is>
      </c>
      <c r="G54" s="5" t="inlineStr">
        <is>
          <t>CAGGAGGCAA</t>
        </is>
      </c>
      <c r="H54" s="5" t="inlineStr">
        <is>
          <t>GTGTCCGTTG</t>
        </is>
      </c>
      <c r="I54" s="4">
        <f>LEN(SUBSTITUTE(SUBSTITUTE(G54,"A",""),"T",""))</f>
        <v/>
      </c>
      <c r="J54" s="4">
        <f>LEN(SUBSTITUTE(SUBSTITUTE(H54,"A",""),"T",""))</f>
        <v/>
      </c>
      <c r="K54" s="6" t="inlineStr">
        <is>
          <t>A</t>
        </is>
      </c>
      <c r="L54" s="4" t="inlineStr">
        <is>
          <t>预测</t>
        </is>
      </c>
      <c r="M54" s="4" t="n">
        <v>-6.27</v>
      </c>
      <c r="N54" s="4" t="n">
        <v>-4.26</v>
      </c>
      <c r="O54" s="4" t="n"/>
      <c r="P54" s="4" t="n"/>
      <c r="Q54">
        <f>MID($G54,1,1)</f>
        <v/>
      </c>
      <c r="R54">
        <f>MID($G54,2,1)</f>
        <v/>
      </c>
      <c r="S54">
        <f>MID($G54,3,1)</f>
        <v/>
      </c>
      <c r="T54">
        <f>MID($G54,4,1)</f>
        <v/>
      </c>
      <c r="U54">
        <f>MID($G54,5,1)</f>
        <v/>
      </c>
      <c r="V54">
        <f>MID($G54,6,1)</f>
        <v/>
      </c>
      <c r="W54">
        <f>MID($G54,7,1)</f>
        <v/>
      </c>
      <c r="X54">
        <f>MID($G54,8,1)</f>
        <v/>
      </c>
      <c r="Y54">
        <f>MID($G54,9,1)</f>
        <v/>
      </c>
      <c r="Z54">
        <f>MID($G54,10,1)</f>
        <v/>
      </c>
      <c r="AA54">
        <f>MID($H54,1,1)</f>
        <v/>
      </c>
      <c r="AB54">
        <f>MID($H54,2,1)</f>
        <v/>
      </c>
      <c r="AC54">
        <f>MID($H54,3,1)</f>
        <v/>
      </c>
      <c r="AD54">
        <f>MID($H54,4,1)</f>
        <v/>
      </c>
      <c r="AE54">
        <f>MID($H54,5,1)</f>
        <v/>
      </c>
      <c r="AF54">
        <f>MID($H54,6,1)</f>
        <v/>
      </c>
      <c r="AG54">
        <f>MID($H54,7,1)</f>
        <v/>
      </c>
      <c r="AH54">
        <f>MID($H54,8,1)</f>
        <v/>
      </c>
      <c r="AI54">
        <f>MID($H54,9,1)</f>
        <v/>
      </c>
      <c r="AJ54">
        <f>MID($H54,10,1)</f>
        <v/>
      </c>
    </row>
    <row r="55">
      <c r="A55" s="4" t="n">
        <v>54</v>
      </c>
      <c r="B55" s="4" t="inlineStr"/>
      <c r="C55" s="4" t="inlineStr">
        <is>
          <t>DN5054</t>
        </is>
      </c>
      <c r="D55" s="4" t="inlineStr">
        <is>
          <t>DN7054</t>
        </is>
      </c>
      <c r="E55" s="4" t="inlineStr">
        <is>
          <t>U157</t>
        </is>
      </c>
      <c r="F55" s="4" t="inlineStr">
        <is>
          <t>U122</t>
        </is>
      </c>
      <c r="G55" s="5" t="inlineStr">
        <is>
          <t>TGGCATTAGA</t>
        </is>
      </c>
      <c r="H55" s="5" t="inlineStr">
        <is>
          <t>GCTAACCTCC</t>
        </is>
      </c>
      <c r="I55" s="4">
        <f>LEN(SUBSTITUTE(SUBSTITUTE(G55,"A",""),"T",""))</f>
        <v/>
      </c>
      <c r="J55" s="4">
        <f>LEN(SUBSTITUTE(SUBSTITUTE(H55,"A",""),"T",""))</f>
        <v/>
      </c>
      <c r="K55" s="6" t="inlineStr">
        <is>
          <t>A</t>
        </is>
      </c>
      <c r="L55" s="4" t="inlineStr">
        <is>
          <t>预测</t>
        </is>
      </c>
      <c r="M55" s="4" t="n">
        <v>-6.03</v>
      </c>
      <c r="N55" s="4" t="n">
        <v>-2.37</v>
      </c>
      <c r="O55" s="4" t="n"/>
      <c r="P55" s="4" t="n"/>
      <c r="Q55">
        <f>MID($G55,1,1)</f>
        <v/>
      </c>
      <c r="R55">
        <f>MID($G55,2,1)</f>
        <v/>
      </c>
      <c r="S55">
        <f>MID($G55,3,1)</f>
        <v/>
      </c>
      <c r="T55">
        <f>MID($G55,4,1)</f>
        <v/>
      </c>
      <c r="U55">
        <f>MID($G55,5,1)</f>
        <v/>
      </c>
      <c r="V55">
        <f>MID($G55,6,1)</f>
        <v/>
      </c>
      <c r="W55">
        <f>MID($G55,7,1)</f>
        <v/>
      </c>
      <c r="X55">
        <f>MID($G55,8,1)</f>
        <v/>
      </c>
      <c r="Y55">
        <f>MID($G55,9,1)</f>
        <v/>
      </c>
      <c r="Z55">
        <f>MID($G55,10,1)</f>
        <v/>
      </c>
      <c r="AA55">
        <f>MID($H55,1,1)</f>
        <v/>
      </c>
      <c r="AB55">
        <f>MID($H55,2,1)</f>
        <v/>
      </c>
      <c r="AC55">
        <f>MID($H55,3,1)</f>
        <v/>
      </c>
      <c r="AD55">
        <f>MID($H55,4,1)</f>
        <v/>
      </c>
      <c r="AE55">
        <f>MID($H55,5,1)</f>
        <v/>
      </c>
      <c r="AF55">
        <f>MID($H55,6,1)</f>
        <v/>
      </c>
      <c r="AG55">
        <f>MID($H55,7,1)</f>
        <v/>
      </c>
      <c r="AH55">
        <f>MID($H55,8,1)</f>
        <v/>
      </c>
      <c r="AI55">
        <f>MID($H55,9,1)</f>
        <v/>
      </c>
      <c r="AJ55">
        <f>MID($H55,10,1)</f>
        <v/>
      </c>
    </row>
    <row r="56">
      <c r="A56" s="4" t="n">
        <v>55</v>
      </c>
      <c r="B56" s="4" t="inlineStr"/>
      <c r="C56" s="4" t="inlineStr">
        <is>
          <t>DN5055</t>
        </is>
      </c>
      <c r="D56" s="4" t="inlineStr">
        <is>
          <t>DN7055</t>
        </is>
      </c>
      <c r="E56" s="4" t="inlineStr">
        <is>
          <t>U743</t>
        </is>
      </c>
      <c r="F56" s="4" t="inlineStr">
        <is>
          <t>U078</t>
        </is>
      </c>
      <c r="G56" s="5" t="inlineStr">
        <is>
          <t>ATCAGACATG</t>
        </is>
      </c>
      <c r="H56" s="5" t="inlineStr">
        <is>
          <t>AGGACACCAC</t>
        </is>
      </c>
      <c r="I56" s="4">
        <f>LEN(SUBSTITUTE(SUBSTITUTE(G56,"A",""),"T",""))</f>
        <v/>
      </c>
      <c r="J56" s="4">
        <f>LEN(SUBSTITUTE(SUBSTITUTE(H56,"A",""),"T",""))</f>
        <v/>
      </c>
      <c r="K56" s="7" t="inlineStr">
        <is>
          <t>B</t>
        </is>
      </c>
      <c r="L56" s="4" t="inlineStr">
        <is>
          <t>预测</t>
        </is>
      </c>
      <c r="M56" s="4" t="n">
        <v>-8.16</v>
      </c>
      <c r="N56" s="4" t="n">
        <v>-3.51</v>
      </c>
      <c r="O56" s="4" t="n"/>
      <c r="P56" s="4" t="n"/>
      <c r="Q56">
        <f>MID($G56,1,1)</f>
        <v/>
      </c>
      <c r="R56">
        <f>MID($G56,2,1)</f>
        <v/>
      </c>
      <c r="S56">
        <f>MID($G56,3,1)</f>
        <v/>
      </c>
      <c r="T56">
        <f>MID($G56,4,1)</f>
        <v/>
      </c>
      <c r="U56">
        <f>MID($G56,5,1)</f>
        <v/>
      </c>
      <c r="V56">
        <f>MID($G56,6,1)</f>
        <v/>
      </c>
      <c r="W56">
        <f>MID($G56,7,1)</f>
        <v/>
      </c>
      <c r="X56">
        <f>MID($G56,8,1)</f>
        <v/>
      </c>
      <c r="Y56">
        <f>MID($G56,9,1)</f>
        <v/>
      </c>
      <c r="Z56">
        <f>MID($G56,10,1)</f>
        <v/>
      </c>
      <c r="AA56">
        <f>MID($H56,1,1)</f>
        <v/>
      </c>
      <c r="AB56">
        <f>MID($H56,2,1)</f>
        <v/>
      </c>
      <c r="AC56">
        <f>MID($H56,3,1)</f>
        <v/>
      </c>
      <c r="AD56">
        <f>MID($H56,4,1)</f>
        <v/>
      </c>
      <c r="AE56">
        <f>MID($H56,5,1)</f>
        <v/>
      </c>
      <c r="AF56">
        <f>MID($H56,6,1)</f>
        <v/>
      </c>
      <c r="AG56">
        <f>MID($H56,7,1)</f>
        <v/>
      </c>
      <c r="AH56">
        <f>MID($H56,8,1)</f>
        <v/>
      </c>
      <c r="AI56">
        <f>MID($H56,9,1)</f>
        <v/>
      </c>
      <c r="AJ56">
        <f>MID($H56,10,1)</f>
        <v/>
      </c>
    </row>
    <row r="57">
      <c r="A57" s="4" t="n">
        <v>56</v>
      </c>
      <c r="B57" s="4" t="inlineStr"/>
      <c r="C57" s="4" t="inlineStr">
        <is>
          <t>DN5056</t>
        </is>
      </c>
      <c r="D57" s="4" t="inlineStr">
        <is>
          <t>DN7056</t>
        </is>
      </c>
      <c r="E57" s="4" t="inlineStr">
        <is>
          <t>U669</t>
        </is>
      </c>
      <c r="F57" s="4" t="inlineStr">
        <is>
          <t>U930</t>
        </is>
      </c>
      <c r="G57" s="5" t="inlineStr">
        <is>
          <t>ATTAGCCTGA</t>
        </is>
      </c>
      <c r="H57" s="5" t="inlineStr">
        <is>
          <t>AGGATTACTC</t>
        </is>
      </c>
      <c r="I57" s="4">
        <f>LEN(SUBSTITUTE(SUBSTITUTE(G57,"A",""),"T",""))</f>
        <v/>
      </c>
      <c r="J57" s="4">
        <f>LEN(SUBSTITUTE(SUBSTITUTE(H57,"A",""),"T",""))</f>
        <v/>
      </c>
      <c r="K57" s="6" t="inlineStr">
        <is>
          <t>A</t>
        </is>
      </c>
      <c r="L57" s="4" t="inlineStr">
        <is>
          <t>预测</t>
        </is>
      </c>
      <c r="M57" s="4" t="n">
        <v>-6.85</v>
      </c>
      <c r="N57" s="4" t="n">
        <v>-3.8</v>
      </c>
      <c r="O57" s="4" t="n"/>
      <c r="P57" s="4" t="n"/>
      <c r="Q57">
        <f>MID($G57,1,1)</f>
        <v/>
      </c>
      <c r="R57">
        <f>MID($G57,2,1)</f>
        <v/>
      </c>
      <c r="S57">
        <f>MID($G57,3,1)</f>
        <v/>
      </c>
      <c r="T57">
        <f>MID($G57,4,1)</f>
        <v/>
      </c>
      <c r="U57">
        <f>MID($G57,5,1)</f>
        <v/>
      </c>
      <c r="V57">
        <f>MID($G57,6,1)</f>
        <v/>
      </c>
      <c r="W57">
        <f>MID($G57,7,1)</f>
        <v/>
      </c>
      <c r="X57">
        <f>MID($G57,8,1)</f>
        <v/>
      </c>
      <c r="Y57">
        <f>MID($G57,9,1)</f>
        <v/>
      </c>
      <c r="Z57">
        <f>MID($G57,10,1)</f>
        <v/>
      </c>
      <c r="AA57">
        <f>MID($H57,1,1)</f>
        <v/>
      </c>
      <c r="AB57">
        <f>MID($H57,2,1)</f>
        <v/>
      </c>
      <c r="AC57">
        <f>MID($H57,3,1)</f>
        <v/>
      </c>
      <c r="AD57">
        <f>MID($H57,4,1)</f>
        <v/>
      </c>
      <c r="AE57">
        <f>MID($H57,5,1)</f>
        <v/>
      </c>
      <c r="AF57">
        <f>MID($H57,6,1)</f>
        <v/>
      </c>
      <c r="AG57">
        <f>MID($H57,7,1)</f>
        <v/>
      </c>
      <c r="AH57">
        <f>MID($H57,8,1)</f>
        <v/>
      </c>
      <c r="AI57">
        <f>MID($H57,9,1)</f>
        <v/>
      </c>
      <c r="AJ57">
        <f>MID($H57,10,1)</f>
        <v/>
      </c>
    </row>
    <row r="58">
      <c r="A58" s="4" t="n">
        <v>57</v>
      </c>
      <c r="B58" s="4" t="inlineStr"/>
      <c r="C58" s="4" t="inlineStr">
        <is>
          <t>DN5057</t>
        </is>
      </c>
      <c r="D58" s="4" t="inlineStr">
        <is>
          <t>DN7057</t>
        </is>
      </c>
      <c r="E58" s="4" t="inlineStr">
        <is>
          <t>U953</t>
        </is>
      </c>
      <c r="F58" s="4" t="inlineStr">
        <is>
          <t>U337</t>
        </is>
      </c>
      <c r="G58" s="5" t="inlineStr">
        <is>
          <t>ATTCTGTTCC</t>
        </is>
      </c>
      <c r="H58" s="5" t="inlineStr">
        <is>
          <t>GCTCCATAAG</t>
        </is>
      </c>
      <c r="I58" s="4">
        <f>LEN(SUBSTITUTE(SUBSTITUTE(G58,"A",""),"T",""))</f>
        <v/>
      </c>
      <c r="J58" s="4">
        <f>LEN(SUBSTITUTE(SUBSTITUTE(H58,"A",""),"T",""))</f>
        <v/>
      </c>
      <c r="K58" s="7" t="inlineStr">
        <is>
          <t>B</t>
        </is>
      </c>
      <c r="L58" s="4" t="inlineStr">
        <is>
          <t>预测</t>
        </is>
      </c>
      <c r="M58" s="4" t="n">
        <v>-5.86</v>
      </c>
      <c r="N58" s="4" t="n">
        <v>-4.54</v>
      </c>
      <c r="O58" s="4" t="n"/>
      <c r="P58" s="4" t="n"/>
      <c r="Q58">
        <f>MID($G58,1,1)</f>
        <v/>
      </c>
      <c r="R58">
        <f>MID($G58,2,1)</f>
        <v/>
      </c>
      <c r="S58">
        <f>MID($G58,3,1)</f>
        <v/>
      </c>
      <c r="T58">
        <f>MID($G58,4,1)</f>
        <v/>
      </c>
      <c r="U58">
        <f>MID($G58,5,1)</f>
        <v/>
      </c>
      <c r="V58">
        <f>MID($G58,6,1)</f>
        <v/>
      </c>
      <c r="W58">
        <f>MID($G58,7,1)</f>
        <v/>
      </c>
      <c r="X58">
        <f>MID($G58,8,1)</f>
        <v/>
      </c>
      <c r="Y58">
        <f>MID($G58,9,1)</f>
        <v/>
      </c>
      <c r="Z58">
        <f>MID($G58,10,1)</f>
        <v/>
      </c>
      <c r="AA58">
        <f>MID($H58,1,1)</f>
        <v/>
      </c>
      <c r="AB58">
        <f>MID($H58,2,1)</f>
        <v/>
      </c>
      <c r="AC58">
        <f>MID($H58,3,1)</f>
        <v/>
      </c>
      <c r="AD58">
        <f>MID($H58,4,1)</f>
        <v/>
      </c>
      <c r="AE58">
        <f>MID($H58,5,1)</f>
        <v/>
      </c>
      <c r="AF58">
        <f>MID($H58,6,1)</f>
        <v/>
      </c>
      <c r="AG58">
        <f>MID($H58,7,1)</f>
        <v/>
      </c>
      <c r="AH58">
        <f>MID($H58,8,1)</f>
        <v/>
      </c>
      <c r="AI58">
        <f>MID($H58,9,1)</f>
        <v/>
      </c>
      <c r="AJ58">
        <f>MID($H58,10,1)</f>
        <v/>
      </c>
    </row>
    <row r="59">
      <c r="A59" s="4" t="n">
        <v>58</v>
      </c>
      <c r="B59" s="4" t="inlineStr"/>
      <c r="C59" s="4" t="inlineStr">
        <is>
          <t>DN5058</t>
        </is>
      </c>
      <c r="D59" s="4" t="inlineStr">
        <is>
          <t>DN7058</t>
        </is>
      </c>
      <c r="E59" s="4" t="inlineStr">
        <is>
          <t>U467</t>
        </is>
      </c>
      <c r="F59" s="4" t="inlineStr">
        <is>
          <t>U934</t>
        </is>
      </c>
      <c r="G59" s="5" t="inlineStr">
        <is>
          <t>GAGCAACGGT</t>
        </is>
      </c>
      <c r="H59" s="5" t="inlineStr">
        <is>
          <t>ACATTCTAGC</t>
        </is>
      </c>
      <c r="I59" s="4">
        <f>LEN(SUBSTITUTE(SUBSTITUTE(G59,"A",""),"T",""))</f>
        <v/>
      </c>
      <c r="J59" s="4">
        <f>LEN(SUBSTITUTE(SUBSTITUTE(H59,"A",""),"T",""))</f>
        <v/>
      </c>
      <c r="K59" s="6" t="inlineStr">
        <is>
          <t>A</t>
        </is>
      </c>
      <c r="L59" s="4" t="inlineStr">
        <is>
          <t>预测</t>
        </is>
      </c>
      <c r="M59" s="4" t="n">
        <v>-6.06</v>
      </c>
      <c r="N59" s="4" t="n">
        <v>-3.79</v>
      </c>
      <c r="O59" s="4" t="n"/>
      <c r="P59" s="4" t="n"/>
      <c r="Q59">
        <f>MID($G59,1,1)</f>
        <v/>
      </c>
      <c r="R59">
        <f>MID($G59,2,1)</f>
        <v/>
      </c>
      <c r="S59">
        <f>MID($G59,3,1)</f>
        <v/>
      </c>
      <c r="T59">
        <f>MID($G59,4,1)</f>
        <v/>
      </c>
      <c r="U59">
        <f>MID($G59,5,1)</f>
        <v/>
      </c>
      <c r="V59">
        <f>MID($G59,6,1)</f>
        <v/>
      </c>
      <c r="W59">
        <f>MID($G59,7,1)</f>
        <v/>
      </c>
      <c r="X59">
        <f>MID($G59,8,1)</f>
        <v/>
      </c>
      <c r="Y59">
        <f>MID($G59,9,1)</f>
        <v/>
      </c>
      <c r="Z59">
        <f>MID($G59,10,1)</f>
        <v/>
      </c>
      <c r="AA59">
        <f>MID($H59,1,1)</f>
        <v/>
      </c>
      <c r="AB59">
        <f>MID($H59,2,1)</f>
        <v/>
      </c>
      <c r="AC59">
        <f>MID($H59,3,1)</f>
        <v/>
      </c>
      <c r="AD59">
        <f>MID($H59,4,1)</f>
        <v/>
      </c>
      <c r="AE59">
        <f>MID($H59,5,1)</f>
        <v/>
      </c>
      <c r="AF59">
        <f>MID($H59,6,1)</f>
        <v/>
      </c>
      <c r="AG59">
        <f>MID($H59,7,1)</f>
        <v/>
      </c>
      <c r="AH59">
        <f>MID($H59,8,1)</f>
        <v/>
      </c>
      <c r="AI59">
        <f>MID($H59,9,1)</f>
        <v/>
      </c>
      <c r="AJ59">
        <f>MID($H59,10,1)</f>
        <v/>
      </c>
    </row>
    <row r="60">
      <c r="A60" s="4" t="n">
        <v>59</v>
      </c>
      <c r="B60" s="4" t="inlineStr"/>
      <c r="C60" s="4" t="inlineStr">
        <is>
          <t>DN5059</t>
        </is>
      </c>
      <c r="D60" s="4" t="inlineStr">
        <is>
          <t>DN7059</t>
        </is>
      </c>
      <c r="E60" s="4" t="inlineStr">
        <is>
          <t>U084</t>
        </is>
      </c>
      <c r="F60" s="4" t="inlineStr">
        <is>
          <t>U095</t>
        </is>
      </c>
      <c r="G60" s="5" t="inlineStr">
        <is>
          <t>CCACCACTAT</t>
        </is>
      </c>
      <c r="H60" s="5" t="inlineStr">
        <is>
          <t>TCGCGTGAAC</t>
        </is>
      </c>
      <c r="I60" s="4">
        <f>LEN(SUBSTITUTE(SUBSTITUTE(G60,"A",""),"T",""))</f>
        <v/>
      </c>
      <c r="J60" s="4">
        <f>LEN(SUBSTITUTE(SUBSTITUTE(H60,"A",""),"T",""))</f>
        <v/>
      </c>
      <c r="K60" s="6" t="inlineStr">
        <is>
          <t>A</t>
        </is>
      </c>
      <c r="L60" s="4" t="inlineStr">
        <is>
          <t>预测</t>
        </is>
      </c>
      <c r="M60" s="4" t="n">
        <v>-5.74</v>
      </c>
      <c r="N60" s="4" t="n">
        <v>-4.17</v>
      </c>
      <c r="O60" s="4" t="n"/>
      <c r="P60" s="4" t="n"/>
      <c r="Q60">
        <f>MID($G60,1,1)</f>
        <v/>
      </c>
      <c r="R60">
        <f>MID($G60,2,1)</f>
        <v/>
      </c>
      <c r="S60">
        <f>MID($G60,3,1)</f>
        <v/>
      </c>
      <c r="T60">
        <f>MID($G60,4,1)</f>
        <v/>
      </c>
      <c r="U60">
        <f>MID($G60,5,1)</f>
        <v/>
      </c>
      <c r="V60">
        <f>MID($G60,6,1)</f>
        <v/>
      </c>
      <c r="W60">
        <f>MID($G60,7,1)</f>
        <v/>
      </c>
      <c r="X60">
        <f>MID($G60,8,1)</f>
        <v/>
      </c>
      <c r="Y60">
        <f>MID($G60,9,1)</f>
        <v/>
      </c>
      <c r="Z60">
        <f>MID($G60,10,1)</f>
        <v/>
      </c>
      <c r="AA60">
        <f>MID($H60,1,1)</f>
        <v/>
      </c>
      <c r="AB60">
        <f>MID($H60,2,1)</f>
        <v/>
      </c>
      <c r="AC60">
        <f>MID($H60,3,1)</f>
        <v/>
      </c>
      <c r="AD60">
        <f>MID($H60,4,1)</f>
        <v/>
      </c>
      <c r="AE60">
        <f>MID($H60,5,1)</f>
        <v/>
      </c>
      <c r="AF60">
        <f>MID($H60,6,1)</f>
        <v/>
      </c>
      <c r="AG60">
        <f>MID($H60,7,1)</f>
        <v/>
      </c>
      <c r="AH60">
        <f>MID($H60,8,1)</f>
        <v/>
      </c>
      <c r="AI60">
        <f>MID($H60,9,1)</f>
        <v/>
      </c>
      <c r="AJ60">
        <f>MID($H60,10,1)</f>
        <v/>
      </c>
    </row>
    <row r="61">
      <c r="A61" s="4" t="n">
        <v>60</v>
      </c>
      <c r="B61" s="4" t="inlineStr"/>
      <c r="C61" s="4" t="inlineStr">
        <is>
          <t>DN5060</t>
        </is>
      </c>
      <c r="D61" s="4" t="inlineStr">
        <is>
          <t>DN7060</t>
        </is>
      </c>
      <c r="E61" s="4" t="inlineStr">
        <is>
          <t>U370</t>
        </is>
      </c>
      <c r="F61" s="4" t="inlineStr">
        <is>
          <t>U706</t>
        </is>
      </c>
      <c r="G61" s="5" t="inlineStr">
        <is>
          <t>CCAGCGCATA</t>
        </is>
      </c>
      <c r="H61" s="5" t="inlineStr">
        <is>
          <t>AGTTCCAACA</t>
        </is>
      </c>
      <c r="I61" s="4">
        <f>LEN(SUBSTITUTE(SUBSTITUTE(G61,"A",""),"T",""))</f>
        <v/>
      </c>
      <c r="J61" s="4">
        <f>LEN(SUBSTITUTE(SUBSTITUTE(H61,"A",""),"T",""))</f>
        <v/>
      </c>
      <c r="K61" s="6" t="inlineStr">
        <is>
          <t>A</t>
        </is>
      </c>
      <c r="L61" s="4" t="inlineStr">
        <is>
          <t>预测</t>
        </is>
      </c>
      <c r="M61" s="4" t="n">
        <v>-6.44</v>
      </c>
      <c r="N61" s="4" t="n">
        <v>-3.66</v>
      </c>
      <c r="O61" s="4" t="n"/>
      <c r="P61" s="4" t="n"/>
      <c r="Q61">
        <f>MID($G61,1,1)</f>
        <v/>
      </c>
      <c r="R61">
        <f>MID($G61,2,1)</f>
        <v/>
      </c>
      <c r="S61">
        <f>MID($G61,3,1)</f>
        <v/>
      </c>
      <c r="T61">
        <f>MID($G61,4,1)</f>
        <v/>
      </c>
      <c r="U61">
        <f>MID($G61,5,1)</f>
        <v/>
      </c>
      <c r="V61">
        <f>MID($G61,6,1)</f>
        <v/>
      </c>
      <c r="W61">
        <f>MID($G61,7,1)</f>
        <v/>
      </c>
      <c r="X61">
        <f>MID($G61,8,1)</f>
        <v/>
      </c>
      <c r="Y61">
        <f>MID($G61,9,1)</f>
        <v/>
      </c>
      <c r="Z61">
        <f>MID($G61,10,1)</f>
        <v/>
      </c>
      <c r="AA61">
        <f>MID($H61,1,1)</f>
        <v/>
      </c>
      <c r="AB61">
        <f>MID($H61,2,1)</f>
        <v/>
      </c>
      <c r="AC61">
        <f>MID($H61,3,1)</f>
        <v/>
      </c>
      <c r="AD61">
        <f>MID($H61,4,1)</f>
        <v/>
      </c>
      <c r="AE61">
        <f>MID($H61,5,1)</f>
        <v/>
      </c>
      <c r="AF61">
        <f>MID($H61,6,1)</f>
        <v/>
      </c>
      <c r="AG61">
        <f>MID($H61,7,1)</f>
        <v/>
      </c>
      <c r="AH61">
        <f>MID($H61,8,1)</f>
        <v/>
      </c>
      <c r="AI61">
        <f>MID($H61,9,1)</f>
        <v/>
      </c>
      <c r="AJ61">
        <f>MID($H61,10,1)</f>
        <v/>
      </c>
    </row>
    <row r="62">
      <c r="A62" s="4" t="n">
        <v>61</v>
      </c>
      <c r="B62" s="4" t="inlineStr"/>
      <c r="C62" s="4" t="inlineStr">
        <is>
          <t>DN5061</t>
        </is>
      </c>
      <c r="D62" s="4" t="inlineStr">
        <is>
          <t>DN7061</t>
        </is>
      </c>
      <c r="E62" s="4" t="inlineStr">
        <is>
          <t>U523</t>
        </is>
      </c>
      <c r="F62" s="4" t="inlineStr">
        <is>
          <t>U497</t>
        </is>
      </c>
      <c r="G62" s="5" t="inlineStr">
        <is>
          <t>TCCGACAATC</t>
        </is>
      </c>
      <c r="H62" s="5" t="inlineStr">
        <is>
          <t>CGGACCTATA</t>
        </is>
      </c>
      <c r="I62" s="4">
        <f>LEN(SUBSTITUTE(SUBSTITUTE(G62,"A",""),"T",""))</f>
        <v/>
      </c>
      <c r="J62" s="4">
        <f>LEN(SUBSTITUTE(SUBSTITUTE(H62,"A",""),"T",""))</f>
        <v/>
      </c>
      <c r="K62" s="7" t="inlineStr">
        <is>
          <t>B</t>
        </is>
      </c>
      <c r="L62" s="4" t="inlineStr">
        <is>
          <t>预测</t>
        </is>
      </c>
      <c r="M62" s="4" t="n">
        <v>-6.86</v>
      </c>
      <c r="N62" s="4" t="n">
        <v>-4.7</v>
      </c>
      <c r="O62" s="4" t="n"/>
      <c r="P62" s="4" t="n"/>
      <c r="Q62">
        <f>MID($G62,1,1)</f>
        <v/>
      </c>
      <c r="R62">
        <f>MID($G62,2,1)</f>
        <v/>
      </c>
      <c r="S62">
        <f>MID($G62,3,1)</f>
        <v/>
      </c>
      <c r="T62">
        <f>MID($G62,4,1)</f>
        <v/>
      </c>
      <c r="U62">
        <f>MID($G62,5,1)</f>
        <v/>
      </c>
      <c r="V62">
        <f>MID($G62,6,1)</f>
        <v/>
      </c>
      <c r="W62">
        <f>MID($G62,7,1)</f>
        <v/>
      </c>
      <c r="X62">
        <f>MID($G62,8,1)</f>
        <v/>
      </c>
      <c r="Y62">
        <f>MID($G62,9,1)</f>
        <v/>
      </c>
      <c r="Z62">
        <f>MID($G62,10,1)</f>
        <v/>
      </c>
      <c r="AA62">
        <f>MID($H62,1,1)</f>
        <v/>
      </c>
      <c r="AB62">
        <f>MID($H62,2,1)</f>
        <v/>
      </c>
      <c r="AC62">
        <f>MID($H62,3,1)</f>
        <v/>
      </c>
      <c r="AD62">
        <f>MID($H62,4,1)</f>
        <v/>
      </c>
      <c r="AE62">
        <f>MID($H62,5,1)</f>
        <v/>
      </c>
      <c r="AF62">
        <f>MID($H62,6,1)</f>
        <v/>
      </c>
      <c r="AG62">
        <f>MID($H62,7,1)</f>
        <v/>
      </c>
      <c r="AH62">
        <f>MID($H62,8,1)</f>
        <v/>
      </c>
      <c r="AI62">
        <f>MID($H62,9,1)</f>
        <v/>
      </c>
      <c r="AJ62">
        <f>MID($H62,10,1)</f>
        <v/>
      </c>
    </row>
    <row r="63">
      <c r="A63" s="4" t="n">
        <v>62</v>
      </c>
      <c r="B63" s="4" t="inlineStr"/>
      <c r="C63" s="4" t="inlineStr">
        <is>
          <t>DN5062</t>
        </is>
      </c>
      <c r="D63" s="4" t="inlineStr">
        <is>
          <t>DN7062</t>
        </is>
      </c>
      <c r="E63" s="4" t="inlineStr">
        <is>
          <t>U779</t>
        </is>
      </c>
      <c r="F63" s="4" t="inlineStr">
        <is>
          <t>U490</t>
        </is>
      </c>
      <c r="G63" s="5" t="inlineStr">
        <is>
          <t>CATTGGAGAT</t>
        </is>
      </c>
      <c r="H63" s="5" t="inlineStr">
        <is>
          <t>AACTTGAGCT</t>
        </is>
      </c>
      <c r="I63" s="4">
        <f>LEN(SUBSTITUTE(SUBSTITUTE(G63,"A",""),"T",""))</f>
        <v/>
      </c>
      <c r="J63" s="4">
        <f>LEN(SUBSTITUTE(SUBSTITUTE(H63,"A",""),"T",""))</f>
        <v/>
      </c>
      <c r="K63" s="6" t="inlineStr">
        <is>
          <t>A</t>
        </is>
      </c>
      <c r="L63" s="4" t="inlineStr">
        <is>
          <t>预测</t>
        </is>
      </c>
      <c r="M63" s="4" t="n">
        <v>-6.63</v>
      </c>
      <c r="N63" s="4" t="n">
        <v>-4.17</v>
      </c>
      <c r="O63" s="4" t="n"/>
      <c r="P63" s="4" t="n"/>
      <c r="Q63">
        <f>MID($G63,1,1)</f>
        <v/>
      </c>
      <c r="R63">
        <f>MID($G63,2,1)</f>
        <v/>
      </c>
      <c r="S63">
        <f>MID($G63,3,1)</f>
        <v/>
      </c>
      <c r="T63">
        <f>MID($G63,4,1)</f>
        <v/>
      </c>
      <c r="U63">
        <f>MID($G63,5,1)</f>
        <v/>
      </c>
      <c r="V63">
        <f>MID($G63,6,1)</f>
        <v/>
      </c>
      <c r="W63">
        <f>MID($G63,7,1)</f>
        <v/>
      </c>
      <c r="X63">
        <f>MID($G63,8,1)</f>
        <v/>
      </c>
      <c r="Y63">
        <f>MID($G63,9,1)</f>
        <v/>
      </c>
      <c r="Z63">
        <f>MID($G63,10,1)</f>
        <v/>
      </c>
      <c r="AA63">
        <f>MID($H63,1,1)</f>
        <v/>
      </c>
      <c r="AB63">
        <f>MID($H63,2,1)</f>
        <v/>
      </c>
      <c r="AC63">
        <f>MID($H63,3,1)</f>
        <v/>
      </c>
      <c r="AD63">
        <f>MID($H63,4,1)</f>
        <v/>
      </c>
      <c r="AE63">
        <f>MID($H63,5,1)</f>
        <v/>
      </c>
      <c r="AF63">
        <f>MID($H63,6,1)</f>
        <v/>
      </c>
      <c r="AG63">
        <f>MID($H63,7,1)</f>
        <v/>
      </c>
      <c r="AH63">
        <f>MID($H63,8,1)</f>
        <v/>
      </c>
      <c r="AI63">
        <f>MID($H63,9,1)</f>
        <v/>
      </c>
      <c r="AJ63">
        <f>MID($H63,10,1)</f>
        <v/>
      </c>
    </row>
    <row r="64">
      <c r="A64" s="4" t="n">
        <v>63</v>
      </c>
      <c r="B64" s="4" t="inlineStr"/>
      <c r="C64" s="4" t="inlineStr">
        <is>
          <t>DN5063</t>
        </is>
      </c>
      <c r="D64" s="4" t="inlineStr">
        <is>
          <t>DN7063</t>
        </is>
      </c>
      <c r="E64" s="4" t="inlineStr">
        <is>
          <t>U023</t>
        </is>
      </c>
      <c r="F64" s="4" t="inlineStr">
        <is>
          <t>U793</t>
        </is>
      </c>
      <c r="G64" s="5" t="inlineStr">
        <is>
          <t>AGTTCAGTGA</t>
        </is>
      </c>
      <c r="H64" s="5" t="inlineStr">
        <is>
          <t>GATGGCCTAT</t>
        </is>
      </c>
      <c r="I64" s="4">
        <f>LEN(SUBSTITUTE(SUBSTITUTE(G64,"A",""),"T",""))</f>
        <v/>
      </c>
      <c r="J64" s="4">
        <f>LEN(SUBSTITUTE(SUBSTITUTE(H64,"A",""),"T",""))</f>
        <v/>
      </c>
      <c r="K64" s="6" t="inlineStr">
        <is>
          <t>A</t>
        </is>
      </c>
      <c r="L64" s="4" t="inlineStr">
        <is>
          <t>预测</t>
        </is>
      </c>
      <c r="M64" s="4" t="n">
        <v>-6.26</v>
      </c>
      <c r="N64" s="4" t="n">
        <v>-2.89</v>
      </c>
      <c r="O64" s="4" t="n"/>
      <c r="P64" s="4" t="n"/>
      <c r="Q64">
        <f>MID($G64,1,1)</f>
        <v/>
      </c>
      <c r="R64">
        <f>MID($G64,2,1)</f>
        <v/>
      </c>
      <c r="S64">
        <f>MID($G64,3,1)</f>
        <v/>
      </c>
      <c r="T64">
        <f>MID($G64,4,1)</f>
        <v/>
      </c>
      <c r="U64">
        <f>MID($G64,5,1)</f>
        <v/>
      </c>
      <c r="V64">
        <f>MID($G64,6,1)</f>
        <v/>
      </c>
      <c r="W64">
        <f>MID($G64,7,1)</f>
        <v/>
      </c>
      <c r="X64">
        <f>MID($G64,8,1)</f>
        <v/>
      </c>
      <c r="Y64">
        <f>MID($G64,9,1)</f>
        <v/>
      </c>
      <c r="Z64">
        <f>MID($G64,10,1)</f>
        <v/>
      </c>
      <c r="AA64">
        <f>MID($H64,1,1)</f>
        <v/>
      </c>
      <c r="AB64">
        <f>MID($H64,2,1)</f>
        <v/>
      </c>
      <c r="AC64">
        <f>MID($H64,3,1)</f>
        <v/>
      </c>
      <c r="AD64">
        <f>MID($H64,4,1)</f>
        <v/>
      </c>
      <c r="AE64">
        <f>MID($H64,5,1)</f>
        <v/>
      </c>
      <c r="AF64">
        <f>MID($H64,6,1)</f>
        <v/>
      </c>
      <c r="AG64">
        <f>MID($H64,7,1)</f>
        <v/>
      </c>
      <c r="AH64">
        <f>MID($H64,8,1)</f>
        <v/>
      </c>
      <c r="AI64">
        <f>MID($H64,9,1)</f>
        <v/>
      </c>
      <c r="AJ64">
        <f>MID($H64,10,1)</f>
        <v/>
      </c>
    </row>
    <row r="65">
      <c r="A65" s="4" t="n">
        <v>64</v>
      </c>
      <c r="B65" s="4" t="inlineStr"/>
      <c r="C65" s="4" t="inlineStr">
        <is>
          <t>DN5064</t>
        </is>
      </c>
      <c r="D65" s="4" t="inlineStr">
        <is>
          <t>DN7064</t>
        </is>
      </c>
      <c r="E65" s="4" t="inlineStr">
        <is>
          <t>U672</t>
        </is>
      </c>
      <c r="F65" s="4" t="inlineStr">
        <is>
          <t>U180</t>
        </is>
      </c>
      <c r="G65" s="5" t="inlineStr">
        <is>
          <t>CAACCTGCAC</t>
        </is>
      </c>
      <c r="H65" s="5" t="inlineStr">
        <is>
          <t>CGCGAGTATG</t>
        </is>
      </c>
      <c r="I65" s="4">
        <f>LEN(SUBSTITUTE(SUBSTITUTE(G65,"A",""),"T",""))</f>
        <v/>
      </c>
      <c r="J65" s="4">
        <f>LEN(SUBSTITUTE(SUBSTITUTE(H65,"A",""),"T",""))</f>
        <v/>
      </c>
      <c r="K65" s="7" t="inlineStr">
        <is>
          <t>B</t>
        </is>
      </c>
      <c r="L65" s="4" t="inlineStr">
        <is>
          <t>预测</t>
        </is>
      </c>
      <c r="M65" s="4" t="n">
        <v>-6.58</v>
      </c>
      <c r="N65" s="4" t="n">
        <v>-4.95</v>
      </c>
      <c r="O65" s="4" t="n"/>
      <c r="P65" s="4" t="n"/>
      <c r="Q65">
        <f>MID($G65,1,1)</f>
        <v/>
      </c>
      <c r="R65">
        <f>MID($G65,2,1)</f>
        <v/>
      </c>
      <c r="S65">
        <f>MID($G65,3,1)</f>
        <v/>
      </c>
      <c r="T65">
        <f>MID($G65,4,1)</f>
        <v/>
      </c>
      <c r="U65">
        <f>MID($G65,5,1)</f>
        <v/>
      </c>
      <c r="V65">
        <f>MID($G65,6,1)</f>
        <v/>
      </c>
      <c r="W65">
        <f>MID($G65,7,1)</f>
        <v/>
      </c>
      <c r="X65">
        <f>MID($G65,8,1)</f>
        <v/>
      </c>
      <c r="Y65">
        <f>MID($G65,9,1)</f>
        <v/>
      </c>
      <c r="Z65">
        <f>MID($G65,10,1)</f>
        <v/>
      </c>
      <c r="AA65">
        <f>MID($H65,1,1)</f>
        <v/>
      </c>
      <c r="AB65">
        <f>MID($H65,2,1)</f>
        <v/>
      </c>
      <c r="AC65">
        <f>MID($H65,3,1)</f>
        <v/>
      </c>
      <c r="AD65">
        <f>MID($H65,4,1)</f>
        <v/>
      </c>
      <c r="AE65">
        <f>MID($H65,5,1)</f>
        <v/>
      </c>
      <c r="AF65">
        <f>MID($H65,6,1)</f>
        <v/>
      </c>
      <c r="AG65">
        <f>MID($H65,7,1)</f>
        <v/>
      </c>
      <c r="AH65">
        <f>MID($H65,8,1)</f>
        <v/>
      </c>
      <c r="AI65">
        <f>MID($H65,9,1)</f>
        <v/>
      </c>
      <c r="AJ65">
        <f>MID($H65,10,1)</f>
        <v/>
      </c>
    </row>
    <row r="66">
      <c r="A66" s="4" t="n">
        <v>65</v>
      </c>
      <c r="B66" s="4" t="inlineStr"/>
      <c r="C66" s="4" t="inlineStr">
        <is>
          <t>DN5065</t>
        </is>
      </c>
      <c r="D66" s="4" t="inlineStr">
        <is>
          <t>DN7065</t>
        </is>
      </c>
      <c r="E66" s="4" t="inlineStr">
        <is>
          <t>U938</t>
        </is>
      </c>
      <c r="F66" s="4" t="inlineStr">
        <is>
          <t>U033</t>
        </is>
      </c>
      <c r="G66" s="5" t="inlineStr">
        <is>
          <t>CGAACGGTAG</t>
        </is>
      </c>
      <c r="H66" s="5" t="inlineStr">
        <is>
          <t>GTATGGTAGC</t>
        </is>
      </c>
      <c r="I66" s="4">
        <f>LEN(SUBSTITUTE(SUBSTITUTE(G66,"A",""),"T",""))</f>
        <v/>
      </c>
      <c r="J66" s="4">
        <f>LEN(SUBSTITUTE(SUBSTITUTE(H66,"A",""),"T",""))</f>
        <v/>
      </c>
      <c r="K66" s="6" t="inlineStr">
        <is>
          <t>A</t>
        </is>
      </c>
      <c r="L66" s="4" t="inlineStr">
        <is>
          <t>预测</t>
        </is>
      </c>
      <c r="M66" s="4" t="n">
        <v>-6.43</v>
      </c>
      <c r="N66" s="4" t="n">
        <v>-3.7</v>
      </c>
      <c r="O66" s="4" t="n"/>
      <c r="P66" s="4" t="n"/>
      <c r="Q66">
        <f>MID($G66,1,1)</f>
        <v/>
      </c>
      <c r="R66">
        <f>MID($G66,2,1)</f>
        <v/>
      </c>
      <c r="S66">
        <f>MID($G66,3,1)</f>
        <v/>
      </c>
      <c r="T66">
        <f>MID($G66,4,1)</f>
        <v/>
      </c>
      <c r="U66">
        <f>MID($G66,5,1)</f>
        <v/>
      </c>
      <c r="V66">
        <f>MID($G66,6,1)</f>
        <v/>
      </c>
      <c r="W66">
        <f>MID($G66,7,1)</f>
        <v/>
      </c>
      <c r="X66">
        <f>MID($G66,8,1)</f>
        <v/>
      </c>
      <c r="Y66">
        <f>MID($G66,9,1)</f>
        <v/>
      </c>
      <c r="Z66">
        <f>MID($G66,10,1)</f>
        <v/>
      </c>
      <c r="AA66">
        <f>MID($H66,1,1)</f>
        <v/>
      </c>
      <c r="AB66">
        <f>MID($H66,2,1)</f>
        <v/>
      </c>
      <c r="AC66">
        <f>MID($H66,3,1)</f>
        <v/>
      </c>
      <c r="AD66">
        <f>MID($H66,4,1)</f>
        <v/>
      </c>
      <c r="AE66">
        <f>MID($H66,5,1)</f>
        <v/>
      </c>
      <c r="AF66">
        <f>MID($H66,6,1)</f>
        <v/>
      </c>
      <c r="AG66">
        <f>MID($H66,7,1)</f>
        <v/>
      </c>
      <c r="AH66">
        <f>MID($H66,8,1)</f>
        <v/>
      </c>
      <c r="AI66">
        <f>MID($H66,9,1)</f>
        <v/>
      </c>
      <c r="AJ66">
        <f>MID($H66,10,1)</f>
        <v/>
      </c>
    </row>
    <row r="67">
      <c r="A67" s="4" t="n">
        <v>66</v>
      </c>
      <c r="B67" s="4" t="inlineStr"/>
      <c r="C67" s="4" t="inlineStr">
        <is>
          <t>DN5066</t>
        </is>
      </c>
      <c r="D67" s="4" t="inlineStr">
        <is>
          <t>DN7066</t>
        </is>
      </c>
      <c r="E67" s="4" t="inlineStr">
        <is>
          <t>U392</t>
        </is>
      </c>
      <c r="F67" s="4" t="inlineStr">
        <is>
          <t>U758</t>
        </is>
      </c>
      <c r="G67" s="5" t="inlineStr">
        <is>
          <t>CGCGATGAGA</t>
        </is>
      </c>
      <c r="H67" s="5" t="inlineStr">
        <is>
          <t>ACAGGACTGC</t>
        </is>
      </c>
      <c r="I67" s="4">
        <f>LEN(SUBSTITUTE(SUBSTITUTE(G67,"A",""),"T",""))</f>
        <v/>
      </c>
      <c r="J67" s="4">
        <f>LEN(SUBSTITUTE(SUBSTITUTE(H67,"A",""),"T",""))</f>
        <v/>
      </c>
      <c r="K67" s="6" t="inlineStr">
        <is>
          <t>A</t>
        </is>
      </c>
      <c r="L67" s="4" t="inlineStr">
        <is>
          <t>预测</t>
        </is>
      </c>
      <c r="M67" s="4" t="n">
        <v>-6.71</v>
      </c>
      <c r="N67" s="4" t="n">
        <v>-4.24</v>
      </c>
      <c r="O67" s="4" t="n"/>
      <c r="P67" s="4" t="n"/>
      <c r="Q67">
        <f>MID($G67,1,1)</f>
        <v/>
      </c>
      <c r="R67">
        <f>MID($G67,2,1)</f>
        <v/>
      </c>
      <c r="S67">
        <f>MID($G67,3,1)</f>
        <v/>
      </c>
      <c r="T67">
        <f>MID($G67,4,1)</f>
        <v/>
      </c>
      <c r="U67">
        <f>MID($G67,5,1)</f>
        <v/>
      </c>
      <c r="V67">
        <f>MID($G67,6,1)</f>
        <v/>
      </c>
      <c r="W67">
        <f>MID($G67,7,1)</f>
        <v/>
      </c>
      <c r="X67">
        <f>MID($G67,8,1)</f>
        <v/>
      </c>
      <c r="Y67">
        <f>MID($G67,9,1)</f>
        <v/>
      </c>
      <c r="Z67">
        <f>MID($G67,10,1)</f>
        <v/>
      </c>
      <c r="AA67">
        <f>MID($H67,1,1)</f>
        <v/>
      </c>
      <c r="AB67">
        <f>MID($H67,2,1)</f>
        <v/>
      </c>
      <c r="AC67">
        <f>MID($H67,3,1)</f>
        <v/>
      </c>
      <c r="AD67">
        <f>MID($H67,4,1)</f>
        <v/>
      </c>
      <c r="AE67">
        <f>MID($H67,5,1)</f>
        <v/>
      </c>
      <c r="AF67">
        <f>MID($H67,6,1)</f>
        <v/>
      </c>
      <c r="AG67">
        <f>MID($H67,7,1)</f>
        <v/>
      </c>
      <c r="AH67">
        <f>MID($H67,8,1)</f>
        <v/>
      </c>
      <c r="AI67">
        <f>MID($H67,9,1)</f>
        <v/>
      </c>
      <c r="AJ67">
        <f>MID($H67,10,1)</f>
        <v/>
      </c>
    </row>
    <row r="68">
      <c r="A68" s="4" t="n">
        <v>67</v>
      </c>
      <c r="B68" s="4" t="inlineStr"/>
      <c r="C68" s="4" t="inlineStr">
        <is>
          <t>DN5067</t>
        </is>
      </c>
      <c r="D68" s="4" t="inlineStr">
        <is>
          <t>DN7067</t>
        </is>
      </c>
      <c r="E68" s="4" t="inlineStr">
        <is>
          <t>U695</t>
        </is>
      </c>
      <c r="F68" s="4" t="inlineStr">
        <is>
          <t>U235</t>
        </is>
      </c>
      <c r="G68" s="5" t="inlineStr">
        <is>
          <t>ACTGCATGCC</t>
        </is>
      </c>
      <c r="H68" s="5" t="inlineStr">
        <is>
          <t>AGCTGGTATT</t>
        </is>
      </c>
      <c r="I68" s="4">
        <f>LEN(SUBSTITUTE(SUBSTITUTE(G68,"A",""),"T",""))</f>
        <v/>
      </c>
      <c r="J68" s="4">
        <f>LEN(SUBSTITUTE(SUBSTITUTE(H68,"A",""),"T",""))</f>
        <v/>
      </c>
      <c r="K68" s="7" t="inlineStr">
        <is>
          <t>B</t>
        </is>
      </c>
      <c r="L68" s="4" t="inlineStr">
        <is>
          <t>预测</t>
        </is>
      </c>
      <c r="M68" s="4" t="n">
        <v>-6.32</v>
      </c>
      <c r="N68" s="4" t="n">
        <v>-4.54</v>
      </c>
      <c r="O68" s="4" t="n"/>
      <c r="P68" s="4" t="n"/>
      <c r="Q68">
        <f>MID($G68,1,1)</f>
        <v/>
      </c>
      <c r="R68">
        <f>MID($G68,2,1)</f>
        <v/>
      </c>
      <c r="S68">
        <f>MID($G68,3,1)</f>
        <v/>
      </c>
      <c r="T68">
        <f>MID($G68,4,1)</f>
        <v/>
      </c>
      <c r="U68">
        <f>MID($G68,5,1)</f>
        <v/>
      </c>
      <c r="V68">
        <f>MID($G68,6,1)</f>
        <v/>
      </c>
      <c r="W68">
        <f>MID($G68,7,1)</f>
        <v/>
      </c>
      <c r="X68">
        <f>MID($G68,8,1)</f>
        <v/>
      </c>
      <c r="Y68">
        <f>MID($G68,9,1)</f>
        <v/>
      </c>
      <c r="Z68">
        <f>MID($G68,10,1)</f>
        <v/>
      </c>
      <c r="AA68">
        <f>MID($H68,1,1)</f>
        <v/>
      </c>
      <c r="AB68">
        <f>MID($H68,2,1)</f>
        <v/>
      </c>
      <c r="AC68">
        <f>MID($H68,3,1)</f>
        <v/>
      </c>
      <c r="AD68">
        <f>MID($H68,4,1)</f>
        <v/>
      </c>
      <c r="AE68">
        <f>MID($H68,5,1)</f>
        <v/>
      </c>
      <c r="AF68">
        <f>MID($H68,6,1)</f>
        <v/>
      </c>
      <c r="AG68">
        <f>MID($H68,7,1)</f>
        <v/>
      </c>
      <c r="AH68">
        <f>MID($H68,8,1)</f>
        <v/>
      </c>
      <c r="AI68">
        <f>MID($H68,9,1)</f>
        <v/>
      </c>
      <c r="AJ68">
        <f>MID($H68,10,1)</f>
        <v/>
      </c>
    </row>
    <row r="69">
      <c r="A69" s="4" t="n">
        <v>68</v>
      </c>
      <c r="B69" s="4" t="inlineStr"/>
      <c r="C69" s="4" t="inlineStr">
        <is>
          <t>DN5068</t>
        </is>
      </c>
      <c r="D69" s="4" t="inlineStr">
        <is>
          <t>DN7068</t>
        </is>
      </c>
      <c r="E69" s="4" t="inlineStr">
        <is>
          <t>U050</t>
        </is>
      </c>
      <c r="F69" s="4" t="inlineStr">
        <is>
          <t>U636</t>
        </is>
      </c>
      <c r="G69" s="5" t="inlineStr">
        <is>
          <t>GAGTCAGTAT</t>
        </is>
      </c>
      <c r="H69" s="5" t="inlineStr">
        <is>
          <t>TATCCATGAC</t>
        </is>
      </c>
      <c r="I69" s="4">
        <f>LEN(SUBSTITUTE(SUBSTITUTE(G69,"A",""),"T",""))</f>
        <v/>
      </c>
      <c r="J69" s="4">
        <f>LEN(SUBSTITUTE(SUBSTITUTE(H69,"A",""),"T",""))</f>
        <v/>
      </c>
      <c r="K69" s="6" t="inlineStr">
        <is>
          <t>A</t>
        </is>
      </c>
      <c r="L69" s="4" t="inlineStr">
        <is>
          <t>预测</t>
        </is>
      </c>
      <c r="M69" s="4" t="n">
        <v>-5.74</v>
      </c>
      <c r="N69" s="4" t="n">
        <v>-4.32</v>
      </c>
      <c r="O69" s="4" t="n"/>
      <c r="P69" s="4" t="n"/>
      <c r="Q69">
        <f>MID($G69,1,1)</f>
        <v/>
      </c>
      <c r="R69">
        <f>MID($G69,2,1)</f>
        <v/>
      </c>
      <c r="S69">
        <f>MID($G69,3,1)</f>
        <v/>
      </c>
      <c r="T69">
        <f>MID($G69,4,1)</f>
        <v/>
      </c>
      <c r="U69">
        <f>MID($G69,5,1)</f>
        <v/>
      </c>
      <c r="V69">
        <f>MID($G69,6,1)</f>
        <v/>
      </c>
      <c r="W69">
        <f>MID($G69,7,1)</f>
        <v/>
      </c>
      <c r="X69">
        <f>MID($G69,8,1)</f>
        <v/>
      </c>
      <c r="Y69">
        <f>MID($G69,9,1)</f>
        <v/>
      </c>
      <c r="Z69">
        <f>MID($G69,10,1)</f>
        <v/>
      </c>
      <c r="AA69">
        <f>MID($H69,1,1)</f>
        <v/>
      </c>
      <c r="AB69">
        <f>MID($H69,2,1)</f>
        <v/>
      </c>
      <c r="AC69">
        <f>MID($H69,3,1)</f>
        <v/>
      </c>
      <c r="AD69">
        <f>MID($H69,4,1)</f>
        <v/>
      </c>
      <c r="AE69">
        <f>MID($H69,5,1)</f>
        <v/>
      </c>
      <c r="AF69">
        <f>MID($H69,6,1)</f>
        <v/>
      </c>
      <c r="AG69">
        <f>MID($H69,7,1)</f>
        <v/>
      </c>
      <c r="AH69">
        <f>MID($H69,8,1)</f>
        <v/>
      </c>
      <c r="AI69">
        <f>MID($H69,9,1)</f>
        <v/>
      </c>
      <c r="AJ69">
        <f>MID($H69,10,1)</f>
        <v/>
      </c>
    </row>
    <row r="70">
      <c r="A70" s="4" t="n">
        <v>69</v>
      </c>
      <c r="B70" s="4" t="inlineStr"/>
      <c r="C70" s="4" t="inlineStr">
        <is>
          <t>DN5069</t>
        </is>
      </c>
      <c r="D70" s="4" t="inlineStr">
        <is>
          <t>DN7069</t>
        </is>
      </c>
      <c r="E70" s="4" t="inlineStr">
        <is>
          <t>U848</t>
        </is>
      </c>
      <c r="F70" s="4" t="inlineStr">
        <is>
          <t>U317</t>
        </is>
      </c>
      <c r="G70" s="5" t="inlineStr">
        <is>
          <t>GCGGAACCTT</t>
        </is>
      </c>
      <c r="H70" s="5" t="inlineStr">
        <is>
          <t>AGCTCTCCTC</t>
        </is>
      </c>
      <c r="I70" s="4">
        <f>LEN(SUBSTITUTE(SUBSTITUTE(G70,"A",""),"T",""))</f>
        <v/>
      </c>
      <c r="J70" s="4">
        <f>LEN(SUBSTITUTE(SUBSTITUTE(H70,"A",""),"T",""))</f>
        <v/>
      </c>
      <c r="K70" s="6" t="inlineStr">
        <is>
          <t>A</t>
        </is>
      </c>
      <c r="L70" s="4" t="inlineStr">
        <is>
          <t>预测</t>
        </is>
      </c>
      <c r="M70" s="4" t="n">
        <v>-6.42</v>
      </c>
      <c r="N70" s="4" t="n">
        <v>-3.79</v>
      </c>
      <c r="O70" s="4" t="n"/>
      <c r="P70" s="4" t="n"/>
      <c r="Q70">
        <f>MID($G70,1,1)</f>
        <v/>
      </c>
      <c r="R70">
        <f>MID($G70,2,1)</f>
        <v/>
      </c>
      <c r="S70">
        <f>MID($G70,3,1)</f>
        <v/>
      </c>
      <c r="T70">
        <f>MID($G70,4,1)</f>
        <v/>
      </c>
      <c r="U70">
        <f>MID($G70,5,1)</f>
        <v/>
      </c>
      <c r="V70">
        <f>MID($G70,6,1)</f>
        <v/>
      </c>
      <c r="W70">
        <f>MID($G70,7,1)</f>
        <v/>
      </c>
      <c r="X70">
        <f>MID($G70,8,1)</f>
        <v/>
      </c>
      <c r="Y70">
        <f>MID($G70,9,1)</f>
        <v/>
      </c>
      <c r="Z70">
        <f>MID($G70,10,1)</f>
        <v/>
      </c>
      <c r="AA70">
        <f>MID($H70,1,1)</f>
        <v/>
      </c>
      <c r="AB70">
        <f>MID($H70,2,1)</f>
        <v/>
      </c>
      <c r="AC70">
        <f>MID($H70,3,1)</f>
        <v/>
      </c>
      <c r="AD70">
        <f>MID($H70,4,1)</f>
        <v/>
      </c>
      <c r="AE70">
        <f>MID($H70,5,1)</f>
        <v/>
      </c>
      <c r="AF70">
        <f>MID($H70,6,1)</f>
        <v/>
      </c>
      <c r="AG70">
        <f>MID($H70,7,1)</f>
        <v/>
      </c>
      <c r="AH70">
        <f>MID($H70,8,1)</f>
        <v/>
      </c>
      <c r="AI70">
        <f>MID($H70,9,1)</f>
        <v/>
      </c>
      <c r="AJ70">
        <f>MID($H70,10,1)</f>
        <v/>
      </c>
    </row>
    <row r="71">
      <c r="A71" s="4" t="n">
        <v>70</v>
      </c>
      <c r="B71" s="4" t="inlineStr"/>
      <c r="C71" s="4" t="inlineStr">
        <is>
          <t>DN5070</t>
        </is>
      </c>
      <c r="D71" s="4" t="inlineStr">
        <is>
          <t>DN7070</t>
        </is>
      </c>
      <c r="E71" s="4" t="inlineStr">
        <is>
          <t>U776</t>
        </is>
      </c>
      <c r="F71" s="4" t="inlineStr">
        <is>
          <t>U558</t>
        </is>
      </c>
      <c r="G71" s="5" t="inlineStr">
        <is>
          <t>CGGATTCTGT</t>
        </is>
      </c>
      <c r="H71" s="5" t="inlineStr">
        <is>
          <t>TAACGGAGAA</t>
        </is>
      </c>
      <c r="I71" s="4">
        <f>LEN(SUBSTITUTE(SUBSTITUTE(G71,"A",""),"T",""))</f>
        <v/>
      </c>
      <c r="J71" s="4">
        <f>LEN(SUBSTITUTE(SUBSTITUTE(H71,"A",""),"T",""))</f>
        <v/>
      </c>
      <c r="K71" s="6" t="inlineStr">
        <is>
          <t>A</t>
        </is>
      </c>
      <c r="L71" s="4" t="inlineStr">
        <is>
          <t>预测</t>
        </is>
      </c>
      <c r="M71" s="4" t="n">
        <v>-6.68</v>
      </c>
      <c r="N71" s="4" t="n">
        <v>-3.79</v>
      </c>
      <c r="O71" s="4" t="n"/>
      <c r="P71" s="4" t="n"/>
      <c r="Q71">
        <f>MID($G71,1,1)</f>
        <v/>
      </c>
      <c r="R71">
        <f>MID($G71,2,1)</f>
        <v/>
      </c>
      <c r="S71">
        <f>MID($G71,3,1)</f>
        <v/>
      </c>
      <c r="T71">
        <f>MID($G71,4,1)</f>
        <v/>
      </c>
      <c r="U71">
        <f>MID($G71,5,1)</f>
        <v/>
      </c>
      <c r="V71">
        <f>MID($G71,6,1)</f>
        <v/>
      </c>
      <c r="W71">
        <f>MID($G71,7,1)</f>
        <v/>
      </c>
      <c r="X71">
        <f>MID($G71,8,1)</f>
        <v/>
      </c>
      <c r="Y71">
        <f>MID($G71,9,1)</f>
        <v/>
      </c>
      <c r="Z71">
        <f>MID($G71,10,1)</f>
        <v/>
      </c>
      <c r="AA71">
        <f>MID($H71,1,1)</f>
        <v/>
      </c>
      <c r="AB71">
        <f>MID($H71,2,1)</f>
        <v/>
      </c>
      <c r="AC71">
        <f>MID($H71,3,1)</f>
        <v/>
      </c>
      <c r="AD71">
        <f>MID($H71,4,1)</f>
        <v/>
      </c>
      <c r="AE71">
        <f>MID($H71,5,1)</f>
        <v/>
      </c>
      <c r="AF71">
        <f>MID($H71,6,1)</f>
        <v/>
      </c>
      <c r="AG71">
        <f>MID($H71,7,1)</f>
        <v/>
      </c>
      <c r="AH71">
        <f>MID($H71,8,1)</f>
        <v/>
      </c>
      <c r="AI71">
        <f>MID($H71,9,1)</f>
        <v/>
      </c>
      <c r="AJ71">
        <f>MID($H71,10,1)</f>
        <v/>
      </c>
    </row>
    <row r="72">
      <c r="A72" s="4" t="n">
        <v>71</v>
      </c>
      <c r="B72" s="4" t="inlineStr"/>
      <c r="C72" s="4" t="inlineStr">
        <is>
          <t>DN5071</t>
        </is>
      </c>
      <c r="D72" s="4" t="inlineStr">
        <is>
          <t>DN7071</t>
        </is>
      </c>
      <c r="E72" s="4" t="inlineStr">
        <is>
          <t>U077</t>
        </is>
      </c>
      <c r="F72" s="4" t="inlineStr">
        <is>
          <t>U495</t>
        </is>
      </c>
      <c r="G72" s="5" t="inlineStr">
        <is>
          <t>AGGTCACATA</t>
        </is>
      </c>
      <c r="H72" s="5" t="inlineStr">
        <is>
          <t>GCGTCGAGAA</t>
        </is>
      </c>
      <c r="I72" s="4">
        <f>LEN(SUBSTITUTE(SUBSTITUTE(G72,"A",""),"T",""))</f>
        <v/>
      </c>
      <c r="J72" s="4">
        <f>LEN(SUBSTITUTE(SUBSTITUTE(H72,"A",""),"T",""))</f>
        <v/>
      </c>
      <c r="K72" s="6" t="inlineStr">
        <is>
          <t>A</t>
        </is>
      </c>
      <c r="L72" s="4" t="inlineStr">
        <is>
          <t>预测</t>
        </is>
      </c>
      <c r="M72" s="4" t="n">
        <v>-6.44</v>
      </c>
      <c r="N72" s="4" t="n">
        <v>-3.09</v>
      </c>
      <c r="O72" s="4" t="n"/>
      <c r="P72" s="4" t="n"/>
      <c r="Q72">
        <f>MID($G72,1,1)</f>
        <v/>
      </c>
      <c r="R72">
        <f>MID($G72,2,1)</f>
        <v/>
      </c>
      <c r="S72">
        <f>MID($G72,3,1)</f>
        <v/>
      </c>
      <c r="T72">
        <f>MID($G72,4,1)</f>
        <v/>
      </c>
      <c r="U72">
        <f>MID($G72,5,1)</f>
        <v/>
      </c>
      <c r="V72">
        <f>MID($G72,6,1)</f>
        <v/>
      </c>
      <c r="W72">
        <f>MID($G72,7,1)</f>
        <v/>
      </c>
      <c r="X72">
        <f>MID($G72,8,1)</f>
        <v/>
      </c>
      <c r="Y72">
        <f>MID($G72,9,1)</f>
        <v/>
      </c>
      <c r="Z72">
        <f>MID($G72,10,1)</f>
        <v/>
      </c>
      <c r="AA72">
        <f>MID($H72,1,1)</f>
        <v/>
      </c>
      <c r="AB72">
        <f>MID($H72,2,1)</f>
        <v/>
      </c>
      <c r="AC72">
        <f>MID($H72,3,1)</f>
        <v/>
      </c>
      <c r="AD72">
        <f>MID($H72,4,1)</f>
        <v/>
      </c>
      <c r="AE72">
        <f>MID($H72,5,1)</f>
        <v/>
      </c>
      <c r="AF72">
        <f>MID($H72,6,1)</f>
        <v/>
      </c>
      <c r="AG72">
        <f>MID($H72,7,1)</f>
        <v/>
      </c>
      <c r="AH72">
        <f>MID($H72,8,1)</f>
        <v/>
      </c>
      <c r="AI72">
        <f>MID($H72,9,1)</f>
        <v/>
      </c>
      <c r="AJ72">
        <f>MID($H72,10,1)</f>
        <v/>
      </c>
    </row>
    <row r="73">
      <c r="A73" s="4" t="n">
        <v>72</v>
      </c>
      <c r="B73" s="4" t="inlineStr"/>
      <c r="C73" s="4" t="inlineStr">
        <is>
          <t>DN5072</t>
        </is>
      </c>
      <c r="D73" s="4" t="inlineStr">
        <is>
          <t>DN7072</t>
        </is>
      </c>
      <c r="E73" s="4" t="inlineStr">
        <is>
          <t>U511</t>
        </is>
      </c>
      <c r="F73" s="4" t="inlineStr">
        <is>
          <t>U515</t>
        </is>
      </c>
      <c r="G73" s="5" t="inlineStr">
        <is>
          <t>GCAGAGTTCC</t>
        </is>
      </c>
      <c r="H73" s="5" t="inlineStr">
        <is>
          <t>GAGAGGAGAG</t>
        </is>
      </c>
      <c r="I73" s="4">
        <f>LEN(SUBSTITUTE(SUBSTITUTE(G73,"A",""),"T",""))</f>
        <v/>
      </c>
      <c r="J73" s="4">
        <f>LEN(SUBSTITUTE(SUBSTITUTE(H73,"A",""),"T",""))</f>
        <v/>
      </c>
      <c r="K73" s="7" t="inlineStr">
        <is>
          <t>B</t>
        </is>
      </c>
      <c r="L73" s="4" t="inlineStr">
        <is>
          <t>预测</t>
        </is>
      </c>
      <c r="M73" s="4" t="n">
        <v>-5.86</v>
      </c>
      <c r="N73" s="4" t="n">
        <v>-4.54</v>
      </c>
      <c r="O73" s="4" t="n"/>
      <c r="P73" s="4" t="n"/>
      <c r="Q73">
        <f>MID($G73,1,1)</f>
        <v/>
      </c>
      <c r="R73">
        <f>MID($G73,2,1)</f>
        <v/>
      </c>
      <c r="S73">
        <f>MID($G73,3,1)</f>
        <v/>
      </c>
      <c r="T73">
        <f>MID($G73,4,1)</f>
        <v/>
      </c>
      <c r="U73">
        <f>MID($G73,5,1)</f>
        <v/>
      </c>
      <c r="V73">
        <f>MID($G73,6,1)</f>
        <v/>
      </c>
      <c r="W73">
        <f>MID($G73,7,1)</f>
        <v/>
      </c>
      <c r="X73">
        <f>MID($G73,8,1)</f>
        <v/>
      </c>
      <c r="Y73">
        <f>MID($G73,9,1)</f>
        <v/>
      </c>
      <c r="Z73">
        <f>MID($G73,10,1)</f>
        <v/>
      </c>
      <c r="AA73">
        <f>MID($H73,1,1)</f>
        <v/>
      </c>
      <c r="AB73">
        <f>MID($H73,2,1)</f>
        <v/>
      </c>
      <c r="AC73">
        <f>MID($H73,3,1)</f>
        <v/>
      </c>
      <c r="AD73">
        <f>MID($H73,4,1)</f>
        <v/>
      </c>
      <c r="AE73">
        <f>MID($H73,5,1)</f>
        <v/>
      </c>
      <c r="AF73">
        <f>MID($H73,6,1)</f>
        <v/>
      </c>
      <c r="AG73">
        <f>MID($H73,7,1)</f>
        <v/>
      </c>
      <c r="AH73">
        <f>MID($H73,8,1)</f>
        <v/>
      </c>
      <c r="AI73">
        <f>MID($H73,9,1)</f>
        <v/>
      </c>
      <c r="AJ73">
        <f>MID($H73,10,1)</f>
        <v/>
      </c>
    </row>
    <row r="74">
      <c r="A74" s="4" t="n">
        <v>73</v>
      </c>
      <c r="B74" s="4" t="inlineStr"/>
      <c r="C74" s="4" t="inlineStr">
        <is>
          <t>DN5073</t>
        </is>
      </c>
      <c r="D74" s="4" t="inlineStr">
        <is>
          <t>DN7073</t>
        </is>
      </c>
      <c r="E74" s="4" t="inlineStr">
        <is>
          <t>U650</t>
        </is>
      </c>
      <c r="F74" s="4" t="inlineStr">
        <is>
          <t>U823</t>
        </is>
      </c>
      <c r="G74" s="5" t="inlineStr">
        <is>
          <t>GATCACAAGA</t>
        </is>
      </c>
      <c r="H74" s="5" t="inlineStr">
        <is>
          <t>GTTAAGAACC</t>
        </is>
      </c>
      <c r="I74" s="4">
        <f>LEN(SUBSTITUTE(SUBSTITUTE(G74,"A",""),"T",""))</f>
        <v/>
      </c>
      <c r="J74" s="4">
        <f>LEN(SUBSTITUTE(SUBSTITUTE(H74,"A",""),"T",""))</f>
        <v/>
      </c>
      <c r="K74" s="6" t="inlineStr">
        <is>
          <t>A</t>
        </is>
      </c>
      <c r="L74" s="4" t="inlineStr">
        <is>
          <t>预测</t>
        </is>
      </c>
      <c r="M74" s="4" t="n">
        <v>-6.03</v>
      </c>
      <c r="N74" s="4" t="n">
        <v>-2.45</v>
      </c>
      <c r="O74" s="4" t="n"/>
      <c r="P74" s="4" t="n"/>
      <c r="Q74">
        <f>MID($G74,1,1)</f>
        <v/>
      </c>
      <c r="R74">
        <f>MID($G74,2,1)</f>
        <v/>
      </c>
      <c r="S74">
        <f>MID($G74,3,1)</f>
        <v/>
      </c>
      <c r="T74">
        <f>MID($G74,4,1)</f>
        <v/>
      </c>
      <c r="U74">
        <f>MID($G74,5,1)</f>
        <v/>
      </c>
      <c r="V74">
        <f>MID($G74,6,1)</f>
        <v/>
      </c>
      <c r="W74">
        <f>MID($G74,7,1)</f>
        <v/>
      </c>
      <c r="X74">
        <f>MID($G74,8,1)</f>
        <v/>
      </c>
      <c r="Y74">
        <f>MID($G74,9,1)</f>
        <v/>
      </c>
      <c r="Z74">
        <f>MID($G74,10,1)</f>
        <v/>
      </c>
      <c r="AA74">
        <f>MID($H74,1,1)</f>
        <v/>
      </c>
      <c r="AB74">
        <f>MID($H74,2,1)</f>
        <v/>
      </c>
      <c r="AC74">
        <f>MID($H74,3,1)</f>
        <v/>
      </c>
      <c r="AD74">
        <f>MID($H74,4,1)</f>
        <v/>
      </c>
      <c r="AE74">
        <f>MID($H74,5,1)</f>
        <v/>
      </c>
      <c r="AF74">
        <f>MID($H74,6,1)</f>
        <v/>
      </c>
      <c r="AG74">
        <f>MID($H74,7,1)</f>
        <v/>
      </c>
      <c r="AH74">
        <f>MID($H74,8,1)</f>
        <v/>
      </c>
      <c r="AI74">
        <f>MID($H74,9,1)</f>
        <v/>
      </c>
      <c r="AJ74">
        <f>MID($H74,10,1)</f>
        <v/>
      </c>
    </row>
    <row r="75">
      <c r="A75" s="4" t="n">
        <v>74</v>
      </c>
      <c r="B75" s="4" t="inlineStr"/>
      <c r="C75" s="4" t="inlineStr">
        <is>
          <t>DN5074</t>
        </is>
      </c>
      <c r="D75" s="4" t="inlineStr">
        <is>
          <t>DN7074</t>
        </is>
      </c>
      <c r="E75" s="4" t="inlineStr">
        <is>
          <t>U918</t>
        </is>
      </c>
      <c r="F75" s="4" t="inlineStr">
        <is>
          <t>U279</t>
        </is>
      </c>
      <c r="G75" s="5" t="inlineStr">
        <is>
          <t>CCTCGAAGTG</t>
        </is>
      </c>
      <c r="H75" s="5" t="inlineStr">
        <is>
          <t>TGGTAATGAC</t>
        </is>
      </c>
      <c r="I75" s="4">
        <f>LEN(SUBSTITUTE(SUBSTITUTE(G75,"A",""),"T",""))</f>
        <v/>
      </c>
      <c r="J75" s="4">
        <f>LEN(SUBSTITUTE(SUBSTITUTE(H75,"A",""),"T",""))</f>
        <v/>
      </c>
      <c r="K75" s="7" t="inlineStr">
        <is>
          <t>B</t>
        </is>
      </c>
      <c r="L75" s="4" t="inlineStr">
        <is>
          <t>预测</t>
        </is>
      </c>
      <c r="M75" s="4" t="n">
        <v>-7.17</v>
      </c>
      <c r="N75" s="4" t="n">
        <v>-3.62</v>
      </c>
      <c r="O75" s="4" t="n"/>
      <c r="P75" s="4" t="n"/>
      <c r="Q75">
        <f>MID($G75,1,1)</f>
        <v/>
      </c>
      <c r="R75">
        <f>MID($G75,2,1)</f>
        <v/>
      </c>
      <c r="S75">
        <f>MID($G75,3,1)</f>
        <v/>
      </c>
      <c r="T75">
        <f>MID($G75,4,1)</f>
        <v/>
      </c>
      <c r="U75">
        <f>MID($G75,5,1)</f>
        <v/>
      </c>
      <c r="V75">
        <f>MID($G75,6,1)</f>
        <v/>
      </c>
      <c r="W75">
        <f>MID($G75,7,1)</f>
        <v/>
      </c>
      <c r="X75">
        <f>MID($G75,8,1)</f>
        <v/>
      </c>
      <c r="Y75">
        <f>MID($G75,9,1)</f>
        <v/>
      </c>
      <c r="Z75">
        <f>MID($G75,10,1)</f>
        <v/>
      </c>
      <c r="AA75">
        <f>MID($H75,1,1)</f>
        <v/>
      </c>
      <c r="AB75">
        <f>MID($H75,2,1)</f>
        <v/>
      </c>
      <c r="AC75">
        <f>MID($H75,3,1)</f>
        <v/>
      </c>
      <c r="AD75">
        <f>MID($H75,4,1)</f>
        <v/>
      </c>
      <c r="AE75">
        <f>MID($H75,5,1)</f>
        <v/>
      </c>
      <c r="AF75">
        <f>MID($H75,6,1)</f>
        <v/>
      </c>
      <c r="AG75">
        <f>MID($H75,7,1)</f>
        <v/>
      </c>
      <c r="AH75">
        <f>MID($H75,8,1)</f>
        <v/>
      </c>
      <c r="AI75">
        <f>MID($H75,9,1)</f>
        <v/>
      </c>
      <c r="AJ75">
        <f>MID($H75,10,1)</f>
        <v/>
      </c>
    </row>
    <row r="76">
      <c r="A76" s="4" t="n">
        <v>75</v>
      </c>
      <c r="B76" s="4" t="inlineStr"/>
      <c r="C76" s="4" t="inlineStr">
        <is>
          <t>DN5075</t>
        </is>
      </c>
      <c r="D76" s="4" t="inlineStr">
        <is>
          <t>DN7075</t>
        </is>
      </c>
      <c r="E76" s="4" t="inlineStr">
        <is>
          <t>U817</t>
        </is>
      </c>
      <c r="F76" s="4" t="inlineStr">
        <is>
          <t>U574</t>
        </is>
      </c>
      <c r="G76" s="5" t="inlineStr">
        <is>
          <t>TACAGAGTAG</t>
        </is>
      </c>
      <c r="H76" s="5" t="inlineStr">
        <is>
          <t>GAGTAATAGC</t>
        </is>
      </c>
      <c r="I76" s="4">
        <f>LEN(SUBSTITUTE(SUBSTITUTE(G76,"A",""),"T",""))</f>
        <v/>
      </c>
      <c r="J76" s="4">
        <f>LEN(SUBSTITUTE(SUBSTITUTE(H76,"A",""),"T",""))</f>
        <v/>
      </c>
      <c r="K76" s="7" t="inlineStr">
        <is>
          <t>B</t>
        </is>
      </c>
      <c r="L76" s="4" t="inlineStr">
        <is>
          <t>预测</t>
        </is>
      </c>
      <c r="M76" s="4" t="n">
        <v>-8.32</v>
      </c>
      <c r="N76" s="4" t="n">
        <v>-4.2</v>
      </c>
      <c r="O76" s="4" t="n"/>
      <c r="P76" s="4" t="n"/>
      <c r="Q76">
        <f>MID($G76,1,1)</f>
        <v/>
      </c>
      <c r="R76">
        <f>MID($G76,2,1)</f>
        <v/>
      </c>
      <c r="S76">
        <f>MID($G76,3,1)</f>
        <v/>
      </c>
      <c r="T76">
        <f>MID($G76,4,1)</f>
        <v/>
      </c>
      <c r="U76">
        <f>MID($G76,5,1)</f>
        <v/>
      </c>
      <c r="V76">
        <f>MID($G76,6,1)</f>
        <v/>
      </c>
      <c r="W76">
        <f>MID($G76,7,1)</f>
        <v/>
      </c>
      <c r="X76">
        <f>MID($G76,8,1)</f>
        <v/>
      </c>
      <c r="Y76">
        <f>MID($G76,9,1)</f>
        <v/>
      </c>
      <c r="Z76">
        <f>MID($G76,10,1)</f>
        <v/>
      </c>
      <c r="AA76">
        <f>MID($H76,1,1)</f>
        <v/>
      </c>
      <c r="AB76">
        <f>MID($H76,2,1)</f>
        <v/>
      </c>
      <c r="AC76">
        <f>MID($H76,3,1)</f>
        <v/>
      </c>
      <c r="AD76">
        <f>MID($H76,4,1)</f>
        <v/>
      </c>
      <c r="AE76">
        <f>MID($H76,5,1)</f>
        <v/>
      </c>
      <c r="AF76">
        <f>MID($H76,6,1)</f>
        <v/>
      </c>
      <c r="AG76">
        <f>MID($H76,7,1)</f>
        <v/>
      </c>
      <c r="AH76">
        <f>MID($H76,8,1)</f>
        <v/>
      </c>
      <c r="AI76">
        <f>MID($H76,9,1)</f>
        <v/>
      </c>
      <c r="AJ76">
        <f>MID($H76,10,1)</f>
        <v/>
      </c>
    </row>
    <row r="77">
      <c r="A77" s="4" t="n">
        <v>76</v>
      </c>
      <c r="B77" s="4" t="inlineStr"/>
      <c r="C77" s="4" t="inlineStr">
        <is>
          <t>DN5076</t>
        </is>
      </c>
      <c r="D77" s="4" t="inlineStr">
        <is>
          <t>DN7076</t>
        </is>
      </c>
      <c r="E77" s="4" t="inlineStr">
        <is>
          <t>U264</t>
        </is>
      </c>
      <c r="F77" s="4" t="inlineStr">
        <is>
          <t>U292</t>
        </is>
      </c>
      <c r="G77" s="5" t="inlineStr">
        <is>
          <t>GTCCGGTTGT</t>
        </is>
      </c>
      <c r="H77" s="5" t="inlineStr">
        <is>
          <t>AATGAGAAGC</t>
        </is>
      </c>
      <c r="I77" s="4">
        <f>LEN(SUBSTITUTE(SUBSTITUTE(G77,"A",""),"T",""))</f>
        <v/>
      </c>
      <c r="J77" s="4">
        <f>LEN(SUBSTITUTE(SUBSTITUTE(H77,"A",""),"T",""))</f>
        <v/>
      </c>
      <c r="K77" s="6" t="inlineStr">
        <is>
          <t>A</t>
        </is>
      </c>
      <c r="L77" s="4" t="inlineStr">
        <is>
          <t>预测</t>
        </is>
      </c>
      <c r="M77" s="4" t="n">
        <v>-6.36</v>
      </c>
      <c r="N77" s="4" t="n">
        <v>-3.79</v>
      </c>
      <c r="O77" s="4" t="n"/>
      <c r="P77" s="4" t="n"/>
      <c r="Q77">
        <f>MID($G77,1,1)</f>
        <v/>
      </c>
      <c r="R77">
        <f>MID($G77,2,1)</f>
        <v/>
      </c>
      <c r="S77">
        <f>MID($G77,3,1)</f>
        <v/>
      </c>
      <c r="T77">
        <f>MID($G77,4,1)</f>
        <v/>
      </c>
      <c r="U77">
        <f>MID($G77,5,1)</f>
        <v/>
      </c>
      <c r="V77">
        <f>MID($G77,6,1)</f>
        <v/>
      </c>
      <c r="W77">
        <f>MID($G77,7,1)</f>
        <v/>
      </c>
      <c r="X77">
        <f>MID($G77,8,1)</f>
        <v/>
      </c>
      <c r="Y77">
        <f>MID($G77,9,1)</f>
        <v/>
      </c>
      <c r="Z77">
        <f>MID($G77,10,1)</f>
        <v/>
      </c>
      <c r="AA77">
        <f>MID($H77,1,1)</f>
        <v/>
      </c>
      <c r="AB77">
        <f>MID($H77,2,1)</f>
        <v/>
      </c>
      <c r="AC77">
        <f>MID($H77,3,1)</f>
        <v/>
      </c>
      <c r="AD77">
        <f>MID($H77,4,1)</f>
        <v/>
      </c>
      <c r="AE77">
        <f>MID($H77,5,1)</f>
        <v/>
      </c>
      <c r="AF77">
        <f>MID($H77,6,1)</f>
        <v/>
      </c>
      <c r="AG77">
        <f>MID($H77,7,1)</f>
        <v/>
      </c>
      <c r="AH77">
        <f>MID($H77,8,1)</f>
        <v/>
      </c>
      <c r="AI77">
        <f>MID($H77,9,1)</f>
        <v/>
      </c>
      <c r="AJ77">
        <f>MID($H77,10,1)</f>
        <v/>
      </c>
    </row>
    <row r="78">
      <c r="A78" s="4" t="n">
        <v>77</v>
      </c>
      <c r="B78" s="4" t="inlineStr"/>
      <c r="C78" s="4" t="inlineStr">
        <is>
          <t>DN5077</t>
        </is>
      </c>
      <c r="D78" s="4" t="inlineStr">
        <is>
          <t>DN7077</t>
        </is>
      </c>
      <c r="E78" s="4" t="inlineStr">
        <is>
          <t>U137</t>
        </is>
      </c>
      <c r="F78" s="4" t="inlineStr">
        <is>
          <t>U789</t>
        </is>
      </c>
      <c r="G78" s="5" t="inlineStr">
        <is>
          <t>ACTGGCTCTC</t>
        </is>
      </c>
      <c r="H78" s="5" t="inlineStr">
        <is>
          <t>AACGTGCTAT</t>
        </is>
      </c>
      <c r="I78" s="4">
        <f>LEN(SUBSTITUTE(SUBSTITUTE(G78,"A",""),"T",""))</f>
        <v/>
      </c>
      <c r="J78" s="4">
        <f>LEN(SUBSTITUTE(SUBSTITUTE(H78,"A",""),"T",""))</f>
        <v/>
      </c>
      <c r="K78" s="7" t="inlineStr">
        <is>
          <t>B</t>
        </is>
      </c>
      <c r="L78" s="4" t="inlineStr">
        <is>
          <t>预测</t>
        </is>
      </c>
      <c r="M78" s="4" t="n">
        <v>-5.85</v>
      </c>
      <c r="N78" s="4" t="n">
        <v>-4.7</v>
      </c>
      <c r="O78" s="4" t="n"/>
      <c r="P78" s="4" t="n"/>
      <c r="Q78">
        <f>MID($G78,1,1)</f>
        <v/>
      </c>
      <c r="R78">
        <f>MID($G78,2,1)</f>
        <v/>
      </c>
      <c r="S78">
        <f>MID($G78,3,1)</f>
        <v/>
      </c>
      <c r="T78">
        <f>MID($G78,4,1)</f>
        <v/>
      </c>
      <c r="U78">
        <f>MID($G78,5,1)</f>
        <v/>
      </c>
      <c r="V78">
        <f>MID($G78,6,1)</f>
        <v/>
      </c>
      <c r="W78">
        <f>MID($G78,7,1)</f>
        <v/>
      </c>
      <c r="X78">
        <f>MID($G78,8,1)</f>
        <v/>
      </c>
      <c r="Y78">
        <f>MID($G78,9,1)</f>
        <v/>
      </c>
      <c r="Z78">
        <f>MID($G78,10,1)</f>
        <v/>
      </c>
      <c r="AA78">
        <f>MID($H78,1,1)</f>
        <v/>
      </c>
      <c r="AB78">
        <f>MID($H78,2,1)</f>
        <v/>
      </c>
      <c r="AC78">
        <f>MID($H78,3,1)</f>
        <v/>
      </c>
      <c r="AD78">
        <f>MID($H78,4,1)</f>
        <v/>
      </c>
      <c r="AE78">
        <f>MID($H78,5,1)</f>
        <v/>
      </c>
      <c r="AF78">
        <f>MID($H78,6,1)</f>
        <v/>
      </c>
      <c r="AG78">
        <f>MID($H78,7,1)</f>
        <v/>
      </c>
      <c r="AH78">
        <f>MID($H78,8,1)</f>
        <v/>
      </c>
      <c r="AI78">
        <f>MID($H78,9,1)</f>
        <v/>
      </c>
      <c r="AJ78">
        <f>MID($H78,10,1)</f>
        <v/>
      </c>
    </row>
    <row r="79">
      <c r="A79" s="4" t="n">
        <v>78</v>
      </c>
      <c r="B79" s="4" t="inlineStr"/>
      <c r="C79" s="4" t="inlineStr">
        <is>
          <t>DN5078</t>
        </is>
      </c>
      <c r="D79" s="4" t="inlineStr">
        <is>
          <t>DN7078</t>
        </is>
      </c>
      <c r="E79" s="4" t="inlineStr">
        <is>
          <t>U016</t>
        </is>
      </c>
      <c r="F79" s="4" t="inlineStr">
        <is>
          <t>U348</t>
        </is>
      </c>
      <c r="G79" s="5" t="inlineStr">
        <is>
          <t>AGCCGAGGTT</t>
        </is>
      </c>
      <c r="H79" s="5" t="inlineStr">
        <is>
          <t>GCAGTGACCA</t>
        </is>
      </c>
      <c r="I79" s="4">
        <f>LEN(SUBSTITUTE(SUBSTITUTE(G79,"A",""),"T",""))</f>
        <v/>
      </c>
      <c r="J79" s="4">
        <f>LEN(SUBSTITUTE(SUBSTITUTE(H79,"A",""),"T",""))</f>
        <v/>
      </c>
      <c r="K79" s="6" t="inlineStr">
        <is>
          <t>A</t>
        </is>
      </c>
      <c r="L79" s="4" t="inlineStr">
        <is>
          <t>预测</t>
        </is>
      </c>
      <c r="M79" s="4" t="n">
        <v>-5.98</v>
      </c>
      <c r="N79" s="4" t="n">
        <v>-3.99</v>
      </c>
      <c r="O79" s="4" t="n"/>
      <c r="P79" s="4" t="n"/>
      <c r="Q79">
        <f>MID($G79,1,1)</f>
        <v/>
      </c>
      <c r="R79">
        <f>MID($G79,2,1)</f>
        <v/>
      </c>
      <c r="S79">
        <f>MID($G79,3,1)</f>
        <v/>
      </c>
      <c r="T79">
        <f>MID($G79,4,1)</f>
        <v/>
      </c>
      <c r="U79">
        <f>MID($G79,5,1)</f>
        <v/>
      </c>
      <c r="V79">
        <f>MID($G79,6,1)</f>
        <v/>
      </c>
      <c r="W79">
        <f>MID($G79,7,1)</f>
        <v/>
      </c>
      <c r="X79">
        <f>MID($G79,8,1)</f>
        <v/>
      </c>
      <c r="Y79">
        <f>MID($G79,9,1)</f>
        <v/>
      </c>
      <c r="Z79">
        <f>MID($G79,10,1)</f>
        <v/>
      </c>
      <c r="AA79">
        <f>MID($H79,1,1)</f>
        <v/>
      </c>
      <c r="AB79">
        <f>MID($H79,2,1)</f>
        <v/>
      </c>
      <c r="AC79">
        <f>MID($H79,3,1)</f>
        <v/>
      </c>
      <c r="AD79">
        <f>MID($H79,4,1)</f>
        <v/>
      </c>
      <c r="AE79">
        <f>MID($H79,5,1)</f>
        <v/>
      </c>
      <c r="AF79">
        <f>MID($H79,6,1)</f>
        <v/>
      </c>
      <c r="AG79">
        <f>MID($H79,7,1)</f>
        <v/>
      </c>
      <c r="AH79">
        <f>MID($H79,8,1)</f>
        <v/>
      </c>
      <c r="AI79">
        <f>MID($H79,9,1)</f>
        <v/>
      </c>
      <c r="AJ79">
        <f>MID($H79,10,1)</f>
        <v/>
      </c>
    </row>
    <row r="80">
      <c r="A80" s="4" t="n">
        <v>79</v>
      </c>
      <c r="B80" s="4" t="inlineStr"/>
      <c r="C80" s="4" t="inlineStr">
        <is>
          <t>DN5079</t>
        </is>
      </c>
      <c r="D80" s="4" t="inlineStr">
        <is>
          <t>DN7079</t>
        </is>
      </c>
      <c r="E80" s="4" t="inlineStr">
        <is>
          <t>U296</t>
        </is>
      </c>
      <c r="F80" s="4" t="inlineStr">
        <is>
          <t>U333</t>
        </is>
      </c>
      <c r="G80" s="5" t="inlineStr">
        <is>
          <t>CCATGTACGA</t>
        </is>
      </c>
      <c r="H80" s="5" t="inlineStr">
        <is>
          <t>GAGACCGAAC</t>
        </is>
      </c>
      <c r="I80" s="4">
        <f>LEN(SUBSTITUTE(SUBSTITUTE(G80,"A",""),"T",""))</f>
        <v/>
      </c>
      <c r="J80" s="4">
        <f>LEN(SUBSTITUTE(SUBSTITUTE(H80,"A",""),"T",""))</f>
        <v/>
      </c>
      <c r="K80" s="6" t="inlineStr">
        <is>
          <t>A</t>
        </is>
      </c>
      <c r="L80" s="4" t="inlineStr">
        <is>
          <t>预测</t>
        </is>
      </c>
      <c r="M80" s="4" t="n">
        <v>-5.74</v>
      </c>
      <c r="N80" s="4" t="n">
        <v>-2.74</v>
      </c>
      <c r="O80" s="4" t="n"/>
      <c r="P80" s="4" t="n"/>
      <c r="Q80">
        <f>MID($G80,1,1)</f>
        <v/>
      </c>
      <c r="R80">
        <f>MID($G80,2,1)</f>
        <v/>
      </c>
      <c r="S80">
        <f>MID($G80,3,1)</f>
        <v/>
      </c>
      <c r="T80">
        <f>MID($G80,4,1)</f>
        <v/>
      </c>
      <c r="U80">
        <f>MID($G80,5,1)</f>
        <v/>
      </c>
      <c r="V80">
        <f>MID($G80,6,1)</f>
        <v/>
      </c>
      <c r="W80">
        <f>MID($G80,7,1)</f>
        <v/>
      </c>
      <c r="X80">
        <f>MID($G80,8,1)</f>
        <v/>
      </c>
      <c r="Y80">
        <f>MID($G80,9,1)</f>
        <v/>
      </c>
      <c r="Z80">
        <f>MID($G80,10,1)</f>
        <v/>
      </c>
      <c r="AA80">
        <f>MID($H80,1,1)</f>
        <v/>
      </c>
      <c r="AB80">
        <f>MID($H80,2,1)</f>
        <v/>
      </c>
      <c r="AC80">
        <f>MID($H80,3,1)</f>
        <v/>
      </c>
      <c r="AD80">
        <f>MID($H80,4,1)</f>
        <v/>
      </c>
      <c r="AE80">
        <f>MID($H80,5,1)</f>
        <v/>
      </c>
      <c r="AF80">
        <f>MID($H80,6,1)</f>
        <v/>
      </c>
      <c r="AG80">
        <f>MID($H80,7,1)</f>
        <v/>
      </c>
      <c r="AH80">
        <f>MID($H80,8,1)</f>
        <v/>
      </c>
      <c r="AI80">
        <f>MID($H80,9,1)</f>
        <v/>
      </c>
      <c r="AJ80">
        <f>MID($H80,10,1)</f>
        <v/>
      </c>
    </row>
    <row r="81">
      <c r="A81" s="4" t="n">
        <v>80</v>
      </c>
      <c r="B81" s="4" t="inlineStr"/>
      <c r="C81" s="4" t="inlineStr">
        <is>
          <t>DN5080</t>
        </is>
      </c>
      <c r="D81" s="4" t="inlineStr">
        <is>
          <t>DN7080</t>
        </is>
      </c>
      <c r="E81" s="4" t="inlineStr">
        <is>
          <t>U656</t>
        </is>
      </c>
      <c r="F81" s="4" t="inlineStr">
        <is>
          <t>U027</t>
        </is>
      </c>
      <c r="G81" s="5" t="inlineStr">
        <is>
          <t>CAATTGCGGA</t>
        </is>
      </c>
      <c r="H81" s="5" t="inlineStr">
        <is>
          <t>GTGTTCCTAC</t>
        </is>
      </c>
      <c r="I81" s="4">
        <f>LEN(SUBSTITUTE(SUBSTITUTE(G81,"A",""),"T",""))</f>
        <v/>
      </c>
      <c r="J81" s="4">
        <f>LEN(SUBSTITUTE(SUBSTITUTE(H81,"A",""),"T",""))</f>
        <v/>
      </c>
      <c r="K81" s="6" t="inlineStr">
        <is>
          <t>A</t>
        </is>
      </c>
      <c r="L81" s="4" t="inlineStr">
        <is>
          <t>预测</t>
        </is>
      </c>
      <c r="M81" s="4" t="n">
        <v>-5.74</v>
      </c>
      <c r="N81" s="4" t="n">
        <v>-3.96</v>
      </c>
      <c r="O81" s="4" t="n"/>
      <c r="P81" s="4" t="n"/>
      <c r="Q81">
        <f>MID($G81,1,1)</f>
        <v/>
      </c>
      <c r="R81">
        <f>MID($G81,2,1)</f>
        <v/>
      </c>
      <c r="S81">
        <f>MID($G81,3,1)</f>
        <v/>
      </c>
      <c r="T81">
        <f>MID($G81,4,1)</f>
        <v/>
      </c>
      <c r="U81">
        <f>MID($G81,5,1)</f>
        <v/>
      </c>
      <c r="V81">
        <f>MID($G81,6,1)</f>
        <v/>
      </c>
      <c r="W81">
        <f>MID($G81,7,1)</f>
        <v/>
      </c>
      <c r="X81">
        <f>MID($G81,8,1)</f>
        <v/>
      </c>
      <c r="Y81">
        <f>MID($G81,9,1)</f>
        <v/>
      </c>
      <c r="Z81">
        <f>MID($G81,10,1)</f>
        <v/>
      </c>
      <c r="AA81">
        <f>MID($H81,1,1)</f>
        <v/>
      </c>
      <c r="AB81">
        <f>MID($H81,2,1)</f>
        <v/>
      </c>
      <c r="AC81">
        <f>MID($H81,3,1)</f>
        <v/>
      </c>
      <c r="AD81">
        <f>MID($H81,4,1)</f>
        <v/>
      </c>
      <c r="AE81">
        <f>MID($H81,5,1)</f>
        <v/>
      </c>
      <c r="AF81">
        <f>MID($H81,6,1)</f>
        <v/>
      </c>
      <c r="AG81">
        <f>MID($H81,7,1)</f>
        <v/>
      </c>
      <c r="AH81">
        <f>MID($H81,8,1)</f>
        <v/>
      </c>
      <c r="AI81">
        <f>MID($H81,9,1)</f>
        <v/>
      </c>
      <c r="AJ81">
        <f>MID($H81,10,1)</f>
        <v/>
      </c>
    </row>
    <row r="82">
      <c r="A82" s="4" t="n">
        <v>81</v>
      </c>
      <c r="B82" s="4" t="inlineStr"/>
      <c r="C82" s="4" t="inlineStr">
        <is>
          <t>DN5081</t>
        </is>
      </c>
      <c r="D82" s="4" t="inlineStr">
        <is>
          <t>DN7081</t>
        </is>
      </c>
      <c r="E82" s="4" t="inlineStr">
        <is>
          <t>U591</t>
        </is>
      </c>
      <c r="F82" s="4" t="inlineStr">
        <is>
          <t>U613</t>
        </is>
      </c>
      <c r="G82" s="5" t="inlineStr">
        <is>
          <t>ACGTGATCAC</t>
        </is>
      </c>
      <c r="H82" s="5" t="inlineStr">
        <is>
          <t>CGTCCTATTG</t>
        </is>
      </c>
      <c r="I82" s="4">
        <f>LEN(SUBSTITUTE(SUBSTITUTE(G82,"A",""),"T",""))</f>
        <v/>
      </c>
      <c r="J82" s="4">
        <f>LEN(SUBSTITUTE(SUBSTITUTE(H82,"A",""),"T",""))</f>
        <v/>
      </c>
      <c r="K82" s="7" t="inlineStr">
        <is>
          <t>B</t>
        </is>
      </c>
      <c r="L82" s="4" t="inlineStr">
        <is>
          <t>预测</t>
        </is>
      </c>
      <c r="M82" s="4" t="n">
        <v>-8.09</v>
      </c>
      <c r="N82" s="4" t="n">
        <v>-4.95</v>
      </c>
      <c r="O82" s="4" t="n"/>
      <c r="P82" s="4" t="n"/>
      <c r="Q82">
        <f>MID($G82,1,1)</f>
        <v/>
      </c>
      <c r="R82">
        <f>MID($G82,2,1)</f>
        <v/>
      </c>
      <c r="S82">
        <f>MID($G82,3,1)</f>
        <v/>
      </c>
      <c r="T82">
        <f>MID($G82,4,1)</f>
        <v/>
      </c>
      <c r="U82">
        <f>MID($G82,5,1)</f>
        <v/>
      </c>
      <c r="V82">
        <f>MID($G82,6,1)</f>
        <v/>
      </c>
      <c r="W82">
        <f>MID($G82,7,1)</f>
        <v/>
      </c>
      <c r="X82">
        <f>MID($G82,8,1)</f>
        <v/>
      </c>
      <c r="Y82">
        <f>MID($G82,9,1)</f>
        <v/>
      </c>
      <c r="Z82">
        <f>MID($G82,10,1)</f>
        <v/>
      </c>
      <c r="AA82">
        <f>MID($H82,1,1)</f>
        <v/>
      </c>
      <c r="AB82">
        <f>MID($H82,2,1)</f>
        <v/>
      </c>
      <c r="AC82">
        <f>MID($H82,3,1)</f>
        <v/>
      </c>
      <c r="AD82">
        <f>MID($H82,4,1)</f>
        <v/>
      </c>
      <c r="AE82">
        <f>MID($H82,5,1)</f>
        <v/>
      </c>
      <c r="AF82">
        <f>MID($H82,6,1)</f>
        <v/>
      </c>
      <c r="AG82">
        <f>MID($H82,7,1)</f>
        <v/>
      </c>
      <c r="AH82">
        <f>MID($H82,8,1)</f>
        <v/>
      </c>
      <c r="AI82">
        <f>MID($H82,9,1)</f>
        <v/>
      </c>
      <c r="AJ82">
        <f>MID($H82,10,1)</f>
        <v/>
      </c>
    </row>
    <row r="83">
      <c r="A83" s="4" t="n">
        <v>82</v>
      </c>
      <c r="B83" s="4" t="inlineStr"/>
      <c r="C83" s="4" t="inlineStr">
        <is>
          <t>DN5082</t>
        </is>
      </c>
      <c r="D83" s="4" t="inlineStr">
        <is>
          <t>DN7082</t>
        </is>
      </c>
      <c r="E83" s="4" t="inlineStr">
        <is>
          <t>U072</t>
        </is>
      </c>
      <c r="F83" s="4" t="inlineStr">
        <is>
          <t>U610</t>
        </is>
      </c>
      <c r="G83" s="5" t="inlineStr">
        <is>
          <t>TACACTATCC</t>
        </is>
      </c>
      <c r="H83" s="5" t="inlineStr">
        <is>
          <t>GCACTGGAAC</t>
        </is>
      </c>
      <c r="I83" s="4">
        <f>LEN(SUBSTITUTE(SUBSTITUTE(G83,"A",""),"T",""))</f>
        <v/>
      </c>
      <c r="J83" s="4">
        <f>LEN(SUBSTITUTE(SUBSTITUTE(H83,"A",""),"T",""))</f>
        <v/>
      </c>
      <c r="K83" s="7" t="inlineStr">
        <is>
          <t>B</t>
        </is>
      </c>
      <c r="L83" s="4" t="inlineStr">
        <is>
          <t>预测</t>
        </is>
      </c>
      <c r="M83" s="4" t="n">
        <v>-5.74</v>
      </c>
      <c r="N83" s="4" t="n">
        <v>-4.54</v>
      </c>
      <c r="O83" s="4" t="n"/>
      <c r="P83" s="4" t="n"/>
      <c r="Q83">
        <f>MID($G83,1,1)</f>
        <v/>
      </c>
      <c r="R83">
        <f>MID($G83,2,1)</f>
        <v/>
      </c>
      <c r="S83">
        <f>MID($G83,3,1)</f>
        <v/>
      </c>
      <c r="T83">
        <f>MID($G83,4,1)</f>
        <v/>
      </c>
      <c r="U83">
        <f>MID($G83,5,1)</f>
        <v/>
      </c>
      <c r="V83">
        <f>MID($G83,6,1)</f>
        <v/>
      </c>
      <c r="W83">
        <f>MID($G83,7,1)</f>
        <v/>
      </c>
      <c r="X83">
        <f>MID($G83,8,1)</f>
        <v/>
      </c>
      <c r="Y83">
        <f>MID($G83,9,1)</f>
        <v/>
      </c>
      <c r="Z83">
        <f>MID($G83,10,1)</f>
        <v/>
      </c>
      <c r="AA83">
        <f>MID($H83,1,1)</f>
        <v/>
      </c>
      <c r="AB83">
        <f>MID($H83,2,1)</f>
        <v/>
      </c>
      <c r="AC83">
        <f>MID($H83,3,1)</f>
        <v/>
      </c>
      <c r="AD83">
        <f>MID($H83,4,1)</f>
        <v/>
      </c>
      <c r="AE83">
        <f>MID($H83,5,1)</f>
        <v/>
      </c>
      <c r="AF83">
        <f>MID($H83,6,1)</f>
        <v/>
      </c>
      <c r="AG83">
        <f>MID($H83,7,1)</f>
        <v/>
      </c>
      <c r="AH83">
        <f>MID($H83,8,1)</f>
        <v/>
      </c>
      <c r="AI83">
        <f>MID($H83,9,1)</f>
        <v/>
      </c>
      <c r="AJ83">
        <f>MID($H83,10,1)</f>
        <v/>
      </c>
    </row>
    <row r="84">
      <c r="A84" s="4" t="n">
        <v>83</v>
      </c>
      <c r="B84" s="4" t="inlineStr"/>
      <c r="C84" s="4" t="inlineStr">
        <is>
          <t>DN5083</t>
        </is>
      </c>
      <c r="D84" s="4" t="inlineStr">
        <is>
          <t>DN7083</t>
        </is>
      </c>
      <c r="E84" s="4" t="inlineStr">
        <is>
          <t>U765</t>
        </is>
      </c>
      <c r="F84" s="4" t="inlineStr">
        <is>
          <t>U825</t>
        </is>
      </c>
      <c r="G84" s="5" t="inlineStr">
        <is>
          <t>GTCCACGTTC</t>
        </is>
      </c>
      <c r="H84" s="5" t="inlineStr">
        <is>
          <t>CAGCCGTTCT</t>
        </is>
      </c>
      <c r="I84" s="4">
        <f>LEN(SUBSTITUTE(SUBSTITUTE(G84,"A",""),"T",""))</f>
        <v/>
      </c>
      <c r="J84" s="4">
        <f>LEN(SUBSTITUTE(SUBSTITUTE(H84,"A",""),"T",""))</f>
        <v/>
      </c>
      <c r="K84" s="7" t="inlineStr">
        <is>
          <t>B</t>
        </is>
      </c>
      <c r="L84" s="4" t="inlineStr">
        <is>
          <t>预测</t>
        </is>
      </c>
      <c r="M84" s="4" t="n">
        <v>-6.36</v>
      </c>
      <c r="N84" s="4" t="n">
        <v>-4.7</v>
      </c>
      <c r="O84" s="4" t="n"/>
      <c r="P84" s="4" t="n"/>
      <c r="Q84">
        <f>MID($G84,1,1)</f>
        <v/>
      </c>
      <c r="R84">
        <f>MID($G84,2,1)</f>
        <v/>
      </c>
      <c r="S84">
        <f>MID($G84,3,1)</f>
        <v/>
      </c>
      <c r="T84">
        <f>MID($G84,4,1)</f>
        <v/>
      </c>
      <c r="U84">
        <f>MID($G84,5,1)</f>
        <v/>
      </c>
      <c r="V84">
        <f>MID($G84,6,1)</f>
        <v/>
      </c>
      <c r="W84">
        <f>MID($G84,7,1)</f>
        <v/>
      </c>
      <c r="X84">
        <f>MID($G84,8,1)</f>
        <v/>
      </c>
      <c r="Y84">
        <f>MID($G84,9,1)</f>
        <v/>
      </c>
      <c r="Z84">
        <f>MID($G84,10,1)</f>
        <v/>
      </c>
      <c r="AA84">
        <f>MID($H84,1,1)</f>
        <v/>
      </c>
      <c r="AB84">
        <f>MID($H84,2,1)</f>
        <v/>
      </c>
      <c r="AC84">
        <f>MID($H84,3,1)</f>
        <v/>
      </c>
      <c r="AD84">
        <f>MID($H84,4,1)</f>
        <v/>
      </c>
      <c r="AE84">
        <f>MID($H84,5,1)</f>
        <v/>
      </c>
      <c r="AF84">
        <f>MID($H84,6,1)</f>
        <v/>
      </c>
      <c r="AG84">
        <f>MID($H84,7,1)</f>
        <v/>
      </c>
      <c r="AH84">
        <f>MID($H84,8,1)</f>
        <v/>
      </c>
      <c r="AI84">
        <f>MID($H84,9,1)</f>
        <v/>
      </c>
      <c r="AJ84">
        <f>MID($H84,10,1)</f>
        <v/>
      </c>
    </row>
    <row r="85">
      <c r="A85" s="4" t="n">
        <v>84</v>
      </c>
      <c r="B85" s="4" t="inlineStr"/>
      <c r="C85" s="4" t="inlineStr">
        <is>
          <t>DN5084</t>
        </is>
      </c>
      <c r="D85" s="4" t="inlineStr">
        <is>
          <t>DN7084</t>
        </is>
      </c>
      <c r="E85" s="4" t="inlineStr">
        <is>
          <t>U059</t>
        </is>
      </c>
      <c r="F85" s="4" t="inlineStr">
        <is>
          <t>U648</t>
        </is>
      </c>
      <c r="G85" s="5" t="inlineStr">
        <is>
          <t>GCATAGGCTC</t>
        </is>
      </c>
      <c r="H85" s="5" t="inlineStr">
        <is>
          <t>CGGTTCCACT</t>
        </is>
      </c>
      <c r="I85" s="4">
        <f>LEN(SUBSTITUTE(SUBSTITUTE(G85,"A",""),"T",""))</f>
        <v/>
      </c>
      <c r="J85" s="4">
        <f>LEN(SUBSTITUTE(SUBSTITUTE(H85,"A",""),"T",""))</f>
        <v/>
      </c>
      <c r="K85" s="7" t="inlineStr">
        <is>
          <t>B</t>
        </is>
      </c>
      <c r="L85" s="4" t="inlineStr">
        <is>
          <t>预测</t>
        </is>
      </c>
      <c r="M85" s="4" t="n">
        <v>-6.59</v>
      </c>
      <c r="N85" s="4" t="n">
        <v>-4.7</v>
      </c>
      <c r="O85" s="4" t="n"/>
      <c r="P85" s="4" t="n"/>
      <c r="Q85">
        <f>MID($G85,1,1)</f>
        <v/>
      </c>
      <c r="R85">
        <f>MID($G85,2,1)</f>
        <v/>
      </c>
      <c r="S85">
        <f>MID($G85,3,1)</f>
        <v/>
      </c>
      <c r="T85">
        <f>MID($G85,4,1)</f>
        <v/>
      </c>
      <c r="U85">
        <f>MID($G85,5,1)</f>
        <v/>
      </c>
      <c r="V85">
        <f>MID($G85,6,1)</f>
        <v/>
      </c>
      <c r="W85">
        <f>MID($G85,7,1)</f>
        <v/>
      </c>
      <c r="X85">
        <f>MID($G85,8,1)</f>
        <v/>
      </c>
      <c r="Y85">
        <f>MID($G85,9,1)</f>
        <v/>
      </c>
      <c r="Z85">
        <f>MID($G85,10,1)</f>
        <v/>
      </c>
      <c r="AA85">
        <f>MID($H85,1,1)</f>
        <v/>
      </c>
      <c r="AB85">
        <f>MID($H85,2,1)</f>
        <v/>
      </c>
      <c r="AC85">
        <f>MID($H85,3,1)</f>
        <v/>
      </c>
      <c r="AD85">
        <f>MID($H85,4,1)</f>
        <v/>
      </c>
      <c r="AE85">
        <f>MID($H85,5,1)</f>
        <v/>
      </c>
      <c r="AF85">
        <f>MID($H85,6,1)</f>
        <v/>
      </c>
      <c r="AG85">
        <f>MID($H85,7,1)</f>
        <v/>
      </c>
      <c r="AH85">
        <f>MID($H85,8,1)</f>
        <v/>
      </c>
      <c r="AI85">
        <f>MID($H85,9,1)</f>
        <v/>
      </c>
      <c r="AJ85">
        <f>MID($H85,10,1)</f>
        <v/>
      </c>
    </row>
    <row r="86">
      <c r="A86" s="4" t="n">
        <v>85</v>
      </c>
      <c r="B86" s="4" t="inlineStr"/>
      <c r="C86" s="4" t="inlineStr">
        <is>
          <t>DN5085</t>
        </is>
      </c>
      <c r="D86" s="4" t="inlineStr">
        <is>
          <t>DN7085</t>
        </is>
      </c>
      <c r="E86" s="4" t="inlineStr">
        <is>
          <t>U892</t>
        </is>
      </c>
      <c r="F86" s="4" t="inlineStr">
        <is>
          <t>U521</t>
        </is>
      </c>
      <c r="G86" s="5" t="inlineStr">
        <is>
          <t>TGTGCGTCGA</t>
        </is>
      </c>
      <c r="H86" s="5" t="inlineStr">
        <is>
          <t>GCGTTATGAT</t>
        </is>
      </c>
      <c r="I86" s="4">
        <f>LEN(SUBSTITUTE(SUBSTITUTE(G86,"A",""),"T",""))</f>
        <v/>
      </c>
      <c r="J86" s="4">
        <f>LEN(SUBSTITUTE(SUBSTITUTE(H86,"A",""),"T",""))</f>
        <v/>
      </c>
      <c r="K86" s="6" t="inlineStr">
        <is>
          <t>A</t>
        </is>
      </c>
      <c r="L86" s="4" t="inlineStr">
        <is>
          <t>预测</t>
        </is>
      </c>
      <c r="M86" s="4" t="n">
        <v>-6.11</v>
      </c>
      <c r="N86" s="4" t="n">
        <v>-2.45</v>
      </c>
      <c r="O86" s="4" t="n"/>
      <c r="P86" s="4" t="n"/>
      <c r="Q86">
        <f>MID($G86,1,1)</f>
        <v/>
      </c>
      <c r="R86">
        <f>MID($G86,2,1)</f>
        <v/>
      </c>
      <c r="S86">
        <f>MID($G86,3,1)</f>
        <v/>
      </c>
      <c r="T86">
        <f>MID($G86,4,1)</f>
        <v/>
      </c>
      <c r="U86">
        <f>MID($G86,5,1)</f>
        <v/>
      </c>
      <c r="V86">
        <f>MID($G86,6,1)</f>
        <v/>
      </c>
      <c r="W86">
        <f>MID($G86,7,1)</f>
        <v/>
      </c>
      <c r="X86">
        <f>MID($G86,8,1)</f>
        <v/>
      </c>
      <c r="Y86">
        <f>MID($G86,9,1)</f>
        <v/>
      </c>
      <c r="Z86">
        <f>MID($G86,10,1)</f>
        <v/>
      </c>
      <c r="AA86">
        <f>MID($H86,1,1)</f>
        <v/>
      </c>
      <c r="AB86">
        <f>MID($H86,2,1)</f>
        <v/>
      </c>
      <c r="AC86">
        <f>MID($H86,3,1)</f>
        <v/>
      </c>
      <c r="AD86">
        <f>MID($H86,4,1)</f>
        <v/>
      </c>
      <c r="AE86">
        <f>MID($H86,5,1)</f>
        <v/>
      </c>
      <c r="AF86">
        <f>MID($H86,6,1)</f>
        <v/>
      </c>
      <c r="AG86">
        <f>MID($H86,7,1)</f>
        <v/>
      </c>
      <c r="AH86">
        <f>MID($H86,8,1)</f>
        <v/>
      </c>
      <c r="AI86">
        <f>MID($H86,9,1)</f>
        <v/>
      </c>
      <c r="AJ86">
        <f>MID($H86,10,1)</f>
        <v/>
      </c>
    </row>
    <row r="87">
      <c r="A87" s="4" t="n">
        <v>86</v>
      </c>
      <c r="B87" s="4" t="inlineStr"/>
      <c r="C87" s="4" t="inlineStr">
        <is>
          <t>DN5086</t>
        </is>
      </c>
      <c r="D87" s="4" t="inlineStr">
        <is>
          <t>DN7086</t>
        </is>
      </c>
      <c r="E87" s="4" t="inlineStr">
        <is>
          <t>U014</t>
        </is>
      </c>
      <c r="F87" s="4" t="inlineStr">
        <is>
          <t>U151</t>
        </is>
      </c>
      <c r="G87" s="5" t="inlineStr">
        <is>
          <t>GCGGACAAGT</t>
        </is>
      </c>
      <c r="H87" s="5" t="inlineStr">
        <is>
          <t>GACTTGAATG</t>
        </is>
      </c>
      <c r="I87" s="4">
        <f>LEN(SUBSTITUTE(SUBSTITUTE(G87,"A",""),"T",""))</f>
        <v/>
      </c>
      <c r="J87" s="4">
        <f>LEN(SUBSTITUTE(SUBSTITUTE(H87,"A",""),"T",""))</f>
        <v/>
      </c>
      <c r="K87" s="6" t="inlineStr">
        <is>
          <t>A</t>
        </is>
      </c>
      <c r="L87" s="4" t="inlineStr">
        <is>
          <t>预测</t>
        </is>
      </c>
      <c r="M87" s="4" t="n">
        <v>-5.93</v>
      </c>
      <c r="N87" s="4" t="n">
        <v>-3.79</v>
      </c>
      <c r="O87" s="4" t="n"/>
      <c r="P87" s="4" t="n"/>
      <c r="Q87">
        <f>MID($G87,1,1)</f>
        <v/>
      </c>
      <c r="R87">
        <f>MID($G87,2,1)</f>
        <v/>
      </c>
      <c r="S87">
        <f>MID($G87,3,1)</f>
        <v/>
      </c>
      <c r="T87">
        <f>MID($G87,4,1)</f>
        <v/>
      </c>
      <c r="U87">
        <f>MID($G87,5,1)</f>
        <v/>
      </c>
      <c r="V87">
        <f>MID($G87,6,1)</f>
        <v/>
      </c>
      <c r="W87">
        <f>MID($G87,7,1)</f>
        <v/>
      </c>
      <c r="X87">
        <f>MID($G87,8,1)</f>
        <v/>
      </c>
      <c r="Y87">
        <f>MID($G87,9,1)</f>
        <v/>
      </c>
      <c r="Z87">
        <f>MID($G87,10,1)</f>
        <v/>
      </c>
      <c r="AA87">
        <f>MID($H87,1,1)</f>
        <v/>
      </c>
      <c r="AB87">
        <f>MID($H87,2,1)</f>
        <v/>
      </c>
      <c r="AC87">
        <f>MID($H87,3,1)</f>
        <v/>
      </c>
      <c r="AD87">
        <f>MID($H87,4,1)</f>
        <v/>
      </c>
      <c r="AE87">
        <f>MID($H87,5,1)</f>
        <v/>
      </c>
      <c r="AF87">
        <f>MID($H87,6,1)</f>
        <v/>
      </c>
      <c r="AG87">
        <f>MID($H87,7,1)</f>
        <v/>
      </c>
      <c r="AH87">
        <f>MID($H87,8,1)</f>
        <v/>
      </c>
      <c r="AI87">
        <f>MID($H87,9,1)</f>
        <v/>
      </c>
      <c r="AJ87">
        <f>MID($H87,10,1)</f>
        <v/>
      </c>
    </row>
    <row r="88">
      <c r="A88" s="4" t="n">
        <v>87</v>
      </c>
      <c r="B88" s="4" t="inlineStr"/>
      <c r="C88" s="4" t="inlineStr">
        <is>
          <t>DN5087</t>
        </is>
      </c>
      <c r="D88" s="4" t="inlineStr">
        <is>
          <t>DN7087</t>
        </is>
      </c>
      <c r="E88" s="4" t="inlineStr">
        <is>
          <t>U811</t>
        </is>
      </c>
      <c r="F88" s="4" t="inlineStr">
        <is>
          <t>U153</t>
        </is>
      </c>
      <c r="G88" s="5" t="inlineStr">
        <is>
          <t>GTGAACCTGG</t>
        </is>
      </c>
      <c r="H88" s="5" t="inlineStr">
        <is>
          <t>AGGACGTTAT</t>
        </is>
      </c>
      <c r="I88" s="4">
        <f>LEN(SUBSTITUTE(SUBSTITUTE(G88,"A",""),"T",""))</f>
        <v/>
      </c>
      <c r="J88" s="4">
        <f>LEN(SUBSTITUTE(SUBSTITUTE(H88,"A",""),"T",""))</f>
        <v/>
      </c>
      <c r="K88" s="6" t="inlineStr">
        <is>
          <t>A</t>
        </is>
      </c>
      <c r="L88" s="4" t="inlineStr">
        <is>
          <t>预测</t>
        </is>
      </c>
      <c r="M88" s="4" t="n">
        <v>-6.32</v>
      </c>
      <c r="N88" s="4" t="n">
        <v>-2.85</v>
      </c>
      <c r="O88" s="4" t="n"/>
      <c r="P88" s="4" t="n"/>
      <c r="Q88">
        <f>MID($G88,1,1)</f>
        <v/>
      </c>
      <c r="R88">
        <f>MID($G88,2,1)</f>
        <v/>
      </c>
      <c r="S88">
        <f>MID($G88,3,1)</f>
        <v/>
      </c>
      <c r="T88">
        <f>MID($G88,4,1)</f>
        <v/>
      </c>
      <c r="U88">
        <f>MID($G88,5,1)</f>
        <v/>
      </c>
      <c r="V88">
        <f>MID($G88,6,1)</f>
        <v/>
      </c>
      <c r="W88">
        <f>MID($G88,7,1)</f>
        <v/>
      </c>
      <c r="X88">
        <f>MID($G88,8,1)</f>
        <v/>
      </c>
      <c r="Y88">
        <f>MID($G88,9,1)</f>
        <v/>
      </c>
      <c r="Z88">
        <f>MID($G88,10,1)</f>
        <v/>
      </c>
      <c r="AA88">
        <f>MID($H88,1,1)</f>
        <v/>
      </c>
      <c r="AB88">
        <f>MID($H88,2,1)</f>
        <v/>
      </c>
      <c r="AC88">
        <f>MID($H88,3,1)</f>
        <v/>
      </c>
      <c r="AD88">
        <f>MID($H88,4,1)</f>
        <v/>
      </c>
      <c r="AE88">
        <f>MID($H88,5,1)</f>
        <v/>
      </c>
      <c r="AF88">
        <f>MID($H88,6,1)</f>
        <v/>
      </c>
      <c r="AG88">
        <f>MID($H88,7,1)</f>
        <v/>
      </c>
      <c r="AH88">
        <f>MID($H88,8,1)</f>
        <v/>
      </c>
      <c r="AI88">
        <f>MID($H88,9,1)</f>
        <v/>
      </c>
      <c r="AJ88">
        <f>MID($H88,10,1)</f>
        <v/>
      </c>
    </row>
    <row r="89">
      <c r="A89" s="4" t="n">
        <v>88</v>
      </c>
      <c r="B89" s="4" t="inlineStr"/>
      <c r="C89" s="4" t="inlineStr">
        <is>
          <t>DN5088</t>
        </is>
      </c>
      <c r="D89" s="4" t="inlineStr">
        <is>
          <t>DN7088</t>
        </is>
      </c>
      <c r="E89" s="4" t="inlineStr">
        <is>
          <t>U103</t>
        </is>
      </c>
      <c r="F89" s="4" t="inlineStr">
        <is>
          <t>U090</t>
        </is>
      </c>
      <c r="G89" s="5" t="inlineStr">
        <is>
          <t>GTGATTGACA</t>
        </is>
      </c>
      <c r="H89" s="5" t="inlineStr">
        <is>
          <t>AGCAAGTGCG</t>
        </is>
      </c>
      <c r="I89" s="4">
        <f>LEN(SUBSTITUTE(SUBSTITUTE(G89,"A",""),"T",""))</f>
        <v/>
      </c>
      <c r="J89" s="4">
        <f>LEN(SUBSTITUTE(SUBSTITUTE(H89,"A",""),"T",""))</f>
        <v/>
      </c>
      <c r="K89" s="6" t="inlineStr">
        <is>
          <t>A</t>
        </is>
      </c>
      <c r="L89" s="4" t="inlineStr">
        <is>
          <t>预测</t>
        </is>
      </c>
      <c r="M89" s="4" t="n">
        <v>-6.76</v>
      </c>
      <c r="N89" s="4" t="n">
        <v>-3.55</v>
      </c>
      <c r="O89" s="4" t="n"/>
      <c r="P89" s="4" t="n"/>
      <c r="Q89">
        <f>MID($G89,1,1)</f>
        <v/>
      </c>
      <c r="R89">
        <f>MID($G89,2,1)</f>
        <v/>
      </c>
      <c r="S89">
        <f>MID($G89,3,1)</f>
        <v/>
      </c>
      <c r="T89">
        <f>MID($G89,4,1)</f>
        <v/>
      </c>
      <c r="U89">
        <f>MID($G89,5,1)</f>
        <v/>
      </c>
      <c r="V89">
        <f>MID($G89,6,1)</f>
        <v/>
      </c>
      <c r="W89">
        <f>MID($G89,7,1)</f>
        <v/>
      </c>
      <c r="X89">
        <f>MID($G89,8,1)</f>
        <v/>
      </c>
      <c r="Y89">
        <f>MID($G89,9,1)</f>
        <v/>
      </c>
      <c r="Z89">
        <f>MID($G89,10,1)</f>
        <v/>
      </c>
      <c r="AA89">
        <f>MID($H89,1,1)</f>
        <v/>
      </c>
      <c r="AB89">
        <f>MID($H89,2,1)</f>
        <v/>
      </c>
      <c r="AC89">
        <f>MID($H89,3,1)</f>
        <v/>
      </c>
      <c r="AD89">
        <f>MID($H89,4,1)</f>
        <v/>
      </c>
      <c r="AE89">
        <f>MID($H89,5,1)</f>
        <v/>
      </c>
      <c r="AF89">
        <f>MID($H89,6,1)</f>
        <v/>
      </c>
      <c r="AG89">
        <f>MID($H89,7,1)</f>
        <v/>
      </c>
      <c r="AH89">
        <f>MID($H89,8,1)</f>
        <v/>
      </c>
      <c r="AI89">
        <f>MID($H89,9,1)</f>
        <v/>
      </c>
      <c r="AJ89">
        <f>MID($H89,10,1)</f>
        <v/>
      </c>
    </row>
    <row r="90">
      <c r="A90" s="4" t="n">
        <v>89</v>
      </c>
      <c r="B90" s="4" t="inlineStr"/>
      <c r="C90" s="4" t="inlineStr">
        <is>
          <t>DN5089</t>
        </is>
      </c>
      <c r="D90" s="4" t="inlineStr">
        <is>
          <t>DN7089</t>
        </is>
      </c>
      <c r="E90" s="4" t="inlineStr">
        <is>
          <t>U158</t>
        </is>
      </c>
      <c r="F90" s="4" t="inlineStr">
        <is>
          <t>U861</t>
        </is>
      </c>
      <c r="G90" s="5" t="inlineStr">
        <is>
          <t>CACGCTTCCA</t>
        </is>
      </c>
      <c r="H90" s="5" t="inlineStr">
        <is>
          <t>GCGCATAGTG</t>
        </is>
      </c>
      <c r="I90" s="4">
        <f>LEN(SUBSTITUTE(SUBSTITUTE(G90,"A",""),"T",""))</f>
        <v/>
      </c>
      <c r="J90" s="4">
        <f>LEN(SUBSTITUTE(SUBSTITUTE(H90,"A",""),"T",""))</f>
        <v/>
      </c>
      <c r="K90" s="6" t="inlineStr">
        <is>
          <t>A</t>
        </is>
      </c>
      <c r="L90" s="4" t="inlineStr">
        <is>
          <t>预测</t>
        </is>
      </c>
      <c r="M90" s="4" t="n">
        <v>-6.27</v>
      </c>
      <c r="N90" s="4" t="n">
        <v>-2.33</v>
      </c>
      <c r="O90" s="4" t="n"/>
      <c r="P90" s="4" t="n"/>
      <c r="Q90">
        <f>MID($G90,1,1)</f>
        <v/>
      </c>
      <c r="R90">
        <f>MID($G90,2,1)</f>
        <v/>
      </c>
      <c r="S90">
        <f>MID($G90,3,1)</f>
        <v/>
      </c>
      <c r="T90">
        <f>MID($G90,4,1)</f>
        <v/>
      </c>
      <c r="U90">
        <f>MID($G90,5,1)</f>
        <v/>
      </c>
      <c r="V90">
        <f>MID($G90,6,1)</f>
        <v/>
      </c>
      <c r="W90">
        <f>MID($G90,7,1)</f>
        <v/>
      </c>
      <c r="X90">
        <f>MID($G90,8,1)</f>
        <v/>
      </c>
      <c r="Y90">
        <f>MID($G90,9,1)</f>
        <v/>
      </c>
      <c r="Z90">
        <f>MID($G90,10,1)</f>
        <v/>
      </c>
      <c r="AA90">
        <f>MID($H90,1,1)</f>
        <v/>
      </c>
      <c r="AB90">
        <f>MID($H90,2,1)</f>
        <v/>
      </c>
      <c r="AC90">
        <f>MID($H90,3,1)</f>
        <v/>
      </c>
      <c r="AD90">
        <f>MID($H90,4,1)</f>
        <v/>
      </c>
      <c r="AE90">
        <f>MID($H90,5,1)</f>
        <v/>
      </c>
      <c r="AF90">
        <f>MID($H90,6,1)</f>
        <v/>
      </c>
      <c r="AG90">
        <f>MID($H90,7,1)</f>
        <v/>
      </c>
      <c r="AH90">
        <f>MID($H90,8,1)</f>
        <v/>
      </c>
      <c r="AI90">
        <f>MID($H90,9,1)</f>
        <v/>
      </c>
      <c r="AJ90">
        <f>MID($H90,10,1)</f>
        <v/>
      </c>
    </row>
    <row r="91">
      <c r="A91" s="4" t="n">
        <v>90</v>
      </c>
      <c r="B91" s="4" t="inlineStr"/>
      <c r="C91" s="4" t="inlineStr">
        <is>
          <t>DN5090</t>
        </is>
      </c>
      <c r="D91" s="4" t="inlineStr">
        <is>
          <t>DN7090</t>
        </is>
      </c>
      <c r="E91" s="4" t="inlineStr">
        <is>
          <t>U590</t>
        </is>
      </c>
      <c r="F91" s="4" t="inlineStr">
        <is>
          <t>U805</t>
        </is>
      </c>
      <c r="G91" s="5" t="inlineStr">
        <is>
          <t>TCTACGACAC</t>
        </is>
      </c>
      <c r="H91" s="5" t="inlineStr">
        <is>
          <t>GCGATTAGCC</t>
        </is>
      </c>
      <c r="I91" s="4">
        <f>LEN(SUBSTITUTE(SUBSTITUTE(G91,"A",""),"T",""))</f>
        <v/>
      </c>
      <c r="J91" s="4">
        <f>LEN(SUBSTITUTE(SUBSTITUTE(H91,"A",""),"T",""))</f>
        <v/>
      </c>
      <c r="K91" s="7" t="inlineStr">
        <is>
          <t>B</t>
        </is>
      </c>
      <c r="L91" s="4" t="inlineStr">
        <is>
          <t>预测</t>
        </is>
      </c>
      <c r="M91" s="4" t="n">
        <v>-6.64</v>
      </c>
      <c r="N91" s="4" t="n">
        <v>-4.95</v>
      </c>
      <c r="O91" s="4" t="n"/>
      <c r="P91" s="4" t="n"/>
      <c r="Q91">
        <f>MID($G91,1,1)</f>
        <v/>
      </c>
      <c r="R91">
        <f>MID($G91,2,1)</f>
        <v/>
      </c>
      <c r="S91">
        <f>MID($G91,3,1)</f>
        <v/>
      </c>
      <c r="T91">
        <f>MID($G91,4,1)</f>
        <v/>
      </c>
      <c r="U91">
        <f>MID($G91,5,1)</f>
        <v/>
      </c>
      <c r="V91">
        <f>MID($G91,6,1)</f>
        <v/>
      </c>
      <c r="W91">
        <f>MID($G91,7,1)</f>
        <v/>
      </c>
      <c r="X91">
        <f>MID($G91,8,1)</f>
        <v/>
      </c>
      <c r="Y91">
        <f>MID($G91,9,1)</f>
        <v/>
      </c>
      <c r="Z91">
        <f>MID($G91,10,1)</f>
        <v/>
      </c>
      <c r="AA91">
        <f>MID($H91,1,1)</f>
        <v/>
      </c>
      <c r="AB91">
        <f>MID($H91,2,1)</f>
        <v/>
      </c>
      <c r="AC91">
        <f>MID($H91,3,1)</f>
        <v/>
      </c>
      <c r="AD91">
        <f>MID($H91,4,1)</f>
        <v/>
      </c>
      <c r="AE91">
        <f>MID($H91,5,1)</f>
        <v/>
      </c>
      <c r="AF91">
        <f>MID($H91,6,1)</f>
        <v/>
      </c>
      <c r="AG91">
        <f>MID($H91,7,1)</f>
        <v/>
      </c>
      <c r="AH91">
        <f>MID($H91,8,1)</f>
        <v/>
      </c>
      <c r="AI91">
        <f>MID($H91,9,1)</f>
        <v/>
      </c>
      <c r="AJ91">
        <f>MID($H91,10,1)</f>
        <v/>
      </c>
    </row>
    <row r="92">
      <c r="A92" s="4" t="n">
        <v>91</v>
      </c>
      <c r="B92" s="4" t="inlineStr"/>
      <c r="C92" s="4" t="inlineStr">
        <is>
          <t>DN5091</t>
        </is>
      </c>
      <c r="D92" s="4" t="inlineStr">
        <is>
          <t>DN7091</t>
        </is>
      </c>
      <c r="E92" s="4" t="inlineStr">
        <is>
          <t>U430</t>
        </is>
      </c>
      <c r="F92" s="4" t="inlineStr">
        <is>
          <t>U319</t>
        </is>
      </c>
      <c r="G92" s="5" t="inlineStr">
        <is>
          <t>GAAGATCACC</t>
        </is>
      </c>
      <c r="H92" s="5" t="inlineStr">
        <is>
          <t>GTGCACCACT</t>
        </is>
      </c>
      <c r="I92" s="4">
        <f>LEN(SUBSTITUTE(SUBSTITUTE(G92,"A",""),"T",""))</f>
        <v/>
      </c>
      <c r="J92" s="4">
        <f>LEN(SUBSTITUTE(SUBSTITUTE(H92,"A",""),"T",""))</f>
        <v/>
      </c>
      <c r="K92" s="7" t="inlineStr">
        <is>
          <t>B</t>
        </is>
      </c>
      <c r="L92" s="4" t="inlineStr">
        <is>
          <t>预测</t>
        </is>
      </c>
      <c r="M92" s="4" t="n">
        <v>-6.73</v>
      </c>
      <c r="N92" s="4" t="n">
        <v>-4.54</v>
      </c>
      <c r="O92" s="4" t="n"/>
      <c r="P92" s="4" t="n"/>
      <c r="Q92">
        <f>MID($G92,1,1)</f>
        <v/>
      </c>
      <c r="R92">
        <f>MID($G92,2,1)</f>
        <v/>
      </c>
      <c r="S92">
        <f>MID($G92,3,1)</f>
        <v/>
      </c>
      <c r="T92">
        <f>MID($G92,4,1)</f>
        <v/>
      </c>
      <c r="U92">
        <f>MID($G92,5,1)</f>
        <v/>
      </c>
      <c r="V92">
        <f>MID($G92,6,1)</f>
        <v/>
      </c>
      <c r="W92">
        <f>MID($G92,7,1)</f>
        <v/>
      </c>
      <c r="X92">
        <f>MID($G92,8,1)</f>
        <v/>
      </c>
      <c r="Y92">
        <f>MID($G92,9,1)</f>
        <v/>
      </c>
      <c r="Z92">
        <f>MID($G92,10,1)</f>
        <v/>
      </c>
      <c r="AA92">
        <f>MID($H92,1,1)</f>
        <v/>
      </c>
      <c r="AB92">
        <f>MID($H92,2,1)</f>
        <v/>
      </c>
      <c r="AC92">
        <f>MID($H92,3,1)</f>
        <v/>
      </c>
      <c r="AD92">
        <f>MID($H92,4,1)</f>
        <v/>
      </c>
      <c r="AE92">
        <f>MID($H92,5,1)</f>
        <v/>
      </c>
      <c r="AF92">
        <f>MID($H92,6,1)</f>
        <v/>
      </c>
      <c r="AG92">
        <f>MID($H92,7,1)</f>
        <v/>
      </c>
      <c r="AH92">
        <f>MID($H92,8,1)</f>
        <v/>
      </c>
      <c r="AI92">
        <f>MID($H92,9,1)</f>
        <v/>
      </c>
      <c r="AJ92">
        <f>MID($H92,10,1)</f>
        <v/>
      </c>
    </row>
    <row r="93">
      <c r="A93" s="4" t="n">
        <v>92</v>
      </c>
      <c r="B93" s="4" t="inlineStr"/>
      <c r="C93" s="4" t="inlineStr">
        <is>
          <t>DN5092</t>
        </is>
      </c>
      <c r="D93" s="4" t="inlineStr">
        <is>
          <t>DN7092</t>
        </is>
      </c>
      <c r="E93" s="4" t="inlineStr">
        <is>
          <t>U588</t>
        </is>
      </c>
      <c r="F93" s="4" t="inlineStr">
        <is>
          <t>U663</t>
        </is>
      </c>
      <c r="G93" s="5" t="inlineStr">
        <is>
          <t>CCTAACCGGT</t>
        </is>
      </c>
      <c r="H93" s="5" t="inlineStr">
        <is>
          <t>CACCTTGTGC</t>
        </is>
      </c>
      <c r="I93" s="4">
        <f>LEN(SUBSTITUTE(SUBSTITUTE(G93,"A",""),"T",""))</f>
        <v/>
      </c>
      <c r="J93" s="4">
        <f>LEN(SUBSTITUTE(SUBSTITUTE(H93,"A",""),"T",""))</f>
        <v/>
      </c>
      <c r="K93" s="6" t="inlineStr">
        <is>
          <t>A</t>
        </is>
      </c>
      <c r="L93" s="4" t="inlineStr">
        <is>
          <t>预测</t>
        </is>
      </c>
      <c r="M93" s="4" t="n">
        <v>-6</v>
      </c>
      <c r="N93" s="4" t="n">
        <v>-3.79</v>
      </c>
      <c r="O93" s="4" t="n"/>
      <c r="P93" s="4" t="n"/>
      <c r="Q93">
        <f>MID($G93,1,1)</f>
        <v/>
      </c>
      <c r="R93">
        <f>MID($G93,2,1)</f>
        <v/>
      </c>
      <c r="S93">
        <f>MID($G93,3,1)</f>
        <v/>
      </c>
      <c r="T93">
        <f>MID($G93,4,1)</f>
        <v/>
      </c>
      <c r="U93">
        <f>MID($G93,5,1)</f>
        <v/>
      </c>
      <c r="V93">
        <f>MID($G93,6,1)</f>
        <v/>
      </c>
      <c r="W93">
        <f>MID($G93,7,1)</f>
        <v/>
      </c>
      <c r="X93">
        <f>MID($G93,8,1)</f>
        <v/>
      </c>
      <c r="Y93">
        <f>MID($G93,9,1)</f>
        <v/>
      </c>
      <c r="Z93">
        <f>MID($G93,10,1)</f>
        <v/>
      </c>
      <c r="AA93">
        <f>MID($H93,1,1)</f>
        <v/>
      </c>
      <c r="AB93">
        <f>MID($H93,2,1)</f>
        <v/>
      </c>
      <c r="AC93">
        <f>MID($H93,3,1)</f>
        <v/>
      </c>
      <c r="AD93">
        <f>MID($H93,4,1)</f>
        <v/>
      </c>
      <c r="AE93">
        <f>MID($H93,5,1)</f>
        <v/>
      </c>
      <c r="AF93">
        <f>MID($H93,6,1)</f>
        <v/>
      </c>
      <c r="AG93">
        <f>MID($H93,7,1)</f>
        <v/>
      </c>
      <c r="AH93">
        <f>MID($H93,8,1)</f>
        <v/>
      </c>
      <c r="AI93">
        <f>MID($H93,9,1)</f>
        <v/>
      </c>
      <c r="AJ93">
        <f>MID($H93,10,1)</f>
        <v/>
      </c>
    </row>
    <row r="94">
      <c r="A94" s="4" t="n">
        <v>93</v>
      </c>
      <c r="B94" s="4" t="inlineStr"/>
      <c r="C94" s="4" t="inlineStr">
        <is>
          <t>DN5093</t>
        </is>
      </c>
      <c r="D94" s="4" t="inlineStr">
        <is>
          <t>DN7093</t>
        </is>
      </c>
      <c r="E94" s="4" t="inlineStr">
        <is>
          <t>U361</t>
        </is>
      </c>
      <c r="F94" s="4" t="inlineStr">
        <is>
          <t>U380</t>
        </is>
      </c>
      <c r="G94" s="5" t="inlineStr">
        <is>
          <t>GAGTCCATCC</t>
        </is>
      </c>
      <c r="H94" s="5" t="inlineStr">
        <is>
          <t>TGTTCGACCG</t>
        </is>
      </c>
      <c r="I94" s="4">
        <f>LEN(SUBSTITUTE(SUBSTITUTE(G94,"A",""),"T",""))</f>
        <v/>
      </c>
      <c r="J94" s="4">
        <f>LEN(SUBSTITUTE(SUBSTITUTE(H94,"A",""),"T",""))</f>
        <v/>
      </c>
      <c r="K94" s="7" t="inlineStr">
        <is>
          <t>B</t>
        </is>
      </c>
      <c r="L94" s="4" t="inlineStr">
        <is>
          <t>预测</t>
        </is>
      </c>
      <c r="M94" s="4" t="n">
        <v>-6.96</v>
      </c>
      <c r="N94" s="4" t="n">
        <v>-4.54</v>
      </c>
      <c r="O94" s="4" t="n"/>
      <c r="P94" s="4" t="n"/>
      <c r="Q94">
        <f>MID($G94,1,1)</f>
        <v/>
      </c>
      <c r="R94">
        <f>MID($G94,2,1)</f>
        <v/>
      </c>
      <c r="S94">
        <f>MID($G94,3,1)</f>
        <v/>
      </c>
      <c r="T94">
        <f>MID($G94,4,1)</f>
        <v/>
      </c>
      <c r="U94">
        <f>MID($G94,5,1)</f>
        <v/>
      </c>
      <c r="V94">
        <f>MID($G94,6,1)</f>
        <v/>
      </c>
      <c r="W94">
        <f>MID($G94,7,1)</f>
        <v/>
      </c>
      <c r="X94">
        <f>MID($G94,8,1)</f>
        <v/>
      </c>
      <c r="Y94">
        <f>MID($G94,9,1)</f>
        <v/>
      </c>
      <c r="Z94">
        <f>MID($G94,10,1)</f>
        <v/>
      </c>
      <c r="AA94">
        <f>MID($H94,1,1)</f>
        <v/>
      </c>
      <c r="AB94">
        <f>MID($H94,2,1)</f>
        <v/>
      </c>
      <c r="AC94">
        <f>MID($H94,3,1)</f>
        <v/>
      </c>
      <c r="AD94">
        <f>MID($H94,4,1)</f>
        <v/>
      </c>
      <c r="AE94">
        <f>MID($H94,5,1)</f>
        <v/>
      </c>
      <c r="AF94">
        <f>MID($H94,6,1)</f>
        <v/>
      </c>
      <c r="AG94">
        <f>MID($H94,7,1)</f>
        <v/>
      </c>
      <c r="AH94">
        <f>MID($H94,8,1)</f>
        <v/>
      </c>
      <c r="AI94">
        <f>MID($H94,9,1)</f>
        <v/>
      </c>
      <c r="AJ94">
        <f>MID($H94,10,1)</f>
        <v/>
      </c>
    </row>
    <row r="95">
      <c r="A95" s="4" t="n">
        <v>94</v>
      </c>
      <c r="B95" s="4" t="inlineStr"/>
      <c r="C95" s="4" t="inlineStr">
        <is>
          <t>DN5094</t>
        </is>
      </c>
      <c r="D95" s="4" t="inlineStr">
        <is>
          <t>DN7094</t>
        </is>
      </c>
      <c r="E95" s="4" t="inlineStr">
        <is>
          <t>U722</t>
        </is>
      </c>
      <c r="F95" s="4" t="inlineStr">
        <is>
          <t>U956</t>
        </is>
      </c>
      <c r="G95" s="5" t="inlineStr">
        <is>
          <t>CTGGACTAAT</t>
        </is>
      </c>
      <c r="H95" s="5" t="inlineStr">
        <is>
          <t>TATGAGCACA</t>
        </is>
      </c>
      <c r="I95" s="4">
        <f>LEN(SUBSTITUTE(SUBSTITUTE(G95,"A",""),"T",""))</f>
        <v/>
      </c>
      <c r="J95" s="4">
        <f>LEN(SUBSTITUTE(SUBSTITUTE(H95,"A",""),"T",""))</f>
        <v/>
      </c>
      <c r="K95" s="6" t="inlineStr">
        <is>
          <t>A</t>
        </is>
      </c>
      <c r="L95" s="4" t="inlineStr">
        <is>
          <t>预测</t>
        </is>
      </c>
      <c r="M95" s="4" t="n">
        <v>-6.39</v>
      </c>
      <c r="N95" s="4" t="n">
        <v>-4.21</v>
      </c>
      <c r="O95" s="4" t="n"/>
      <c r="P95" s="4" t="n"/>
      <c r="Q95">
        <f>MID($G95,1,1)</f>
        <v/>
      </c>
      <c r="R95">
        <f>MID($G95,2,1)</f>
        <v/>
      </c>
      <c r="S95">
        <f>MID($G95,3,1)</f>
        <v/>
      </c>
      <c r="T95">
        <f>MID($G95,4,1)</f>
        <v/>
      </c>
      <c r="U95">
        <f>MID($G95,5,1)</f>
        <v/>
      </c>
      <c r="V95">
        <f>MID($G95,6,1)</f>
        <v/>
      </c>
      <c r="W95">
        <f>MID($G95,7,1)</f>
        <v/>
      </c>
      <c r="X95">
        <f>MID($G95,8,1)</f>
        <v/>
      </c>
      <c r="Y95">
        <f>MID($G95,9,1)</f>
        <v/>
      </c>
      <c r="Z95">
        <f>MID($G95,10,1)</f>
        <v/>
      </c>
      <c r="AA95">
        <f>MID($H95,1,1)</f>
        <v/>
      </c>
      <c r="AB95">
        <f>MID($H95,2,1)</f>
        <v/>
      </c>
      <c r="AC95">
        <f>MID($H95,3,1)</f>
        <v/>
      </c>
      <c r="AD95">
        <f>MID($H95,4,1)</f>
        <v/>
      </c>
      <c r="AE95">
        <f>MID($H95,5,1)</f>
        <v/>
      </c>
      <c r="AF95">
        <f>MID($H95,6,1)</f>
        <v/>
      </c>
      <c r="AG95">
        <f>MID($H95,7,1)</f>
        <v/>
      </c>
      <c r="AH95">
        <f>MID($H95,8,1)</f>
        <v/>
      </c>
      <c r="AI95">
        <f>MID($H95,9,1)</f>
        <v/>
      </c>
      <c r="AJ95">
        <f>MID($H95,10,1)</f>
        <v/>
      </c>
    </row>
    <row r="96">
      <c r="A96" s="4" t="n">
        <v>95</v>
      </c>
      <c r="B96" s="4" t="inlineStr"/>
      <c r="C96" s="4" t="inlineStr">
        <is>
          <t>DN5095</t>
        </is>
      </c>
      <c r="D96" s="4" t="inlineStr">
        <is>
          <t>DN7095</t>
        </is>
      </c>
      <c r="E96" s="4" t="inlineStr">
        <is>
          <t>U927</t>
        </is>
      </c>
      <c r="F96" s="4" t="inlineStr">
        <is>
          <t>U100</t>
        </is>
      </c>
      <c r="G96" s="5" t="inlineStr">
        <is>
          <t>TCAATGGTCA</t>
        </is>
      </c>
      <c r="H96" s="5" t="inlineStr">
        <is>
          <t>GAGCGTAGCT</t>
        </is>
      </c>
      <c r="I96" s="4">
        <f>LEN(SUBSTITUTE(SUBSTITUTE(G96,"A",""),"T",""))</f>
        <v/>
      </c>
      <c r="J96" s="4">
        <f>LEN(SUBSTITUTE(SUBSTITUTE(H96,"A",""),"T",""))</f>
        <v/>
      </c>
      <c r="K96" s="6" t="inlineStr">
        <is>
          <t>A</t>
        </is>
      </c>
      <c r="L96" s="4" t="inlineStr">
        <is>
          <t>预测</t>
        </is>
      </c>
      <c r="M96" s="4" t="n">
        <v>-6.97</v>
      </c>
      <c r="N96" s="4" t="n">
        <v>-3.92</v>
      </c>
      <c r="O96" s="4" t="n"/>
      <c r="P96" s="4" t="n"/>
      <c r="Q96">
        <f>MID($G96,1,1)</f>
        <v/>
      </c>
      <c r="R96">
        <f>MID($G96,2,1)</f>
        <v/>
      </c>
      <c r="S96">
        <f>MID($G96,3,1)</f>
        <v/>
      </c>
      <c r="T96">
        <f>MID($G96,4,1)</f>
        <v/>
      </c>
      <c r="U96">
        <f>MID($G96,5,1)</f>
        <v/>
      </c>
      <c r="V96">
        <f>MID($G96,6,1)</f>
        <v/>
      </c>
      <c r="W96">
        <f>MID($G96,7,1)</f>
        <v/>
      </c>
      <c r="X96">
        <f>MID($G96,8,1)</f>
        <v/>
      </c>
      <c r="Y96">
        <f>MID($G96,9,1)</f>
        <v/>
      </c>
      <c r="Z96">
        <f>MID($G96,10,1)</f>
        <v/>
      </c>
      <c r="AA96">
        <f>MID($H96,1,1)</f>
        <v/>
      </c>
      <c r="AB96">
        <f>MID($H96,2,1)</f>
        <v/>
      </c>
      <c r="AC96">
        <f>MID($H96,3,1)</f>
        <v/>
      </c>
      <c r="AD96">
        <f>MID($H96,4,1)</f>
        <v/>
      </c>
      <c r="AE96">
        <f>MID($H96,5,1)</f>
        <v/>
      </c>
      <c r="AF96">
        <f>MID($H96,6,1)</f>
        <v/>
      </c>
      <c r="AG96">
        <f>MID($H96,7,1)</f>
        <v/>
      </c>
      <c r="AH96">
        <f>MID($H96,8,1)</f>
        <v/>
      </c>
      <c r="AI96">
        <f>MID($H96,9,1)</f>
        <v/>
      </c>
      <c r="AJ96">
        <f>MID($H96,10,1)</f>
        <v/>
      </c>
    </row>
    <row r="97">
      <c r="A97" s="4" t="n">
        <v>96</v>
      </c>
      <c r="B97" s="4" t="inlineStr"/>
      <c r="C97" s="4" t="inlineStr">
        <is>
          <t>DN5096</t>
        </is>
      </c>
      <c r="D97" s="4" t="inlineStr">
        <is>
          <t>DN7096</t>
        </is>
      </c>
      <c r="E97" s="4" t="inlineStr">
        <is>
          <t>U242</t>
        </is>
      </c>
      <c r="F97" s="4" t="inlineStr">
        <is>
          <t>U546</t>
        </is>
      </c>
      <c r="G97" s="5" t="inlineStr">
        <is>
          <t>GAACCGCCTT</t>
        </is>
      </c>
      <c r="H97" s="5" t="inlineStr">
        <is>
          <t>GCGGTGAGTT</t>
        </is>
      </c>
      <c r="I97" s="4">
        <f>LEN(SUBSTITUTE(SUBSTITUTE(G97,"A",""),"T",""))</f>
        <v/>
      </c>
      <c r="J97" s="4">
        <f>LEN(SUBSTITUTE(SUBSTITUTE(H97,"A",""),"T",""))</f>
        <v/>
      </c>
      <c r="K97" s="6" t="inlineStr">
        <is>
          <t>A</t>
        </is>
      </c>
      <c r="L97" s="4" t="inlineStr">
        <is>
          <t>预测</t>
        </is>
      </c>
      <c r="M97" s="4" t="n">
        <v>-6.31</v>
      </c>
      <c r="N97" s="4" t="n">
        <v>-3.79</v>
      </c>
      <c r="O97" s="4" t="n"/>
      <c r="P97" s="4" t="n"/>
      <c r="Q97">
        <f>MID($G97,1,1)</f>
        <v/>
      </c>
      <c r="R97">
        <f>MID($G97,2,1)</f>
        <v/>
      </c>
      <c r="S97">
        <f>MID($G97,3,1)</f>
        <v/>
      </c>
      <c r="T97">
        <f>MID($G97,4,1)</f>
        <v/>
      </c>
      <c r="U97">
        <f>MID($G97,5,1)</f>
        <v/>
      </c>
      <c r="V97">
        <f>MID($G97,6,1)</f>
        <v/>
      </c>
      <c r="W97">
        <f>MID($G97,7,1)</f>
        <v/>
      </c>
      <c r="X97">
        <f>MID($G97,8,1)</f>
        <v/>
      </c>
      <c r="Y97">
        <f>MID($G97,9,1)</f>
        <v/>
      </c>
      <c r="Z97">
        <f>MID($G97,10,1)</f>
        <v/>
      </c>
      <c r="AA97">
        <f>MID($H97,1,1)</f>
        <v/>
      </c>
      <c r="AB97">
        <f>MID($H97,2,1)</f>
        <v/>
      </c>
      <c r="AC97">
        <f>MID($H97,3,1)</f>
        <v/>
      </c>
      <c r="AD97">
        <f>MID($H97,4,1)</f>
        <v/>
      </c>
      <c r="AE97">
        <f>MID($H97,5,1)</f>
        <v/>
      </c>
      <c r="AF97">
        <f>MID($H97,6,1)</f>
        <v/>
      </c>
      <c r="AG97">
        <f>MID($H97,7,1)</f>
        <v/>
      </c>
      <c r="AH97">
        <f>MID($H97,8,1)</f>
        <v/>
      </c>
      <c r="AI97">
        <f>MID($H97,9,1)</f>
        <v/>
      </c>
      <c r="AJ97">
        <f>MID($H97,10,1)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范围</t>
        </is>
      </c>
      <c r="B1" s="8" t="inlineStr">
        <is>
          <t>序列</t>
        </is>
      </c>
      <c r="C1" s="8" t="inlineStr">
        <is>
          <t>周期</t>
        </is>
      </c>
      <c r="D1" s="8" t="inlineStr">
        <is>
          <t>A</t>
        </is>
      </c>
      <c r="E1" s="8" t="inlineStr">
        <is>
          <t>C</t>
        </is>
      </c>
      <c r="F1" s="8" t="inlineStr">
        <is>
          <t>G</t>
        </is>
      </c>
      <c r="G1" s="8" t="inlineStr">
        <is>
          <t>T</t>
        </is>
      </c>
      <c r="H1" s="8" t="inlineStr">
        <is>
          <t>GC%</t>
        </is>
      </c>
      <c r="I1" s="8" t="inlineStr">
        <is>
          <t>A+C%</t>
        </is>
      </c>
      <c r="J1" s="8" t="inlineStr">
        <is>
          <t>A+T%</t>
        </is>
      </c>
      <c r="K1" s="8" t="inlineStr">
        <is>
          <t>是否达标</t>
        </is>
      </c>
    </row>
    <row r="2">
      <c r="A2" s="9" t="inlineStr">
        <is>
          <t>96 组</t>
        </is>
      </c>
      <c r="B2" s="9" t="inlineStr">
        <is>
          <t>i5</t>
        </is>
      </c>
      <c r="C2" s="9" t="n">
        <v>1</v>
      </c>
      <c r="D2" s="9">
        <f>COUNTIF('96对'!$Q$2:$Q$97,"A")</f>
        <v/>
      </c>
      <c r="E2" s="9">
        <f>COUNTIF('96对'!$Q$2:$Q$97,"C")</f>
        <v/>
      </c>
      <c r="F2" s="9">
        <f>COUNTIF('96对'!$Q$2:$Q$97,"G")</f>
        <v/>
      </c>
      <c r="G2" s="9">
        <f>COUNTIF('96对'!$Q$2:$Q$97,"T")</f>
        <v/>
      </c>
      <c r="H2" s="10">
        <f>(E2+F2)/96</f>
        <v/>
      </c>
      <c r="I2" s="10">
        <f>(D2+E2)/96</f>
        <v/>
      </c>
      <c r="J2" s="10">
        <f>(D2+G2)/96</f>
        <v/>
      </c>
      <c r="K2" s="9">
        <f>IF(AND(H2&gt;=0.4,H2&lt;=0.6,I2&gt;=0.4,I2&lt;=0.6,J2&gt;=0.4,J2&lt;=0.6,MIN(D2:G2)&gt;=14.4),"是","否")</f>
        <v/>
      </c>
    </row>
    <row r="3">
      <c r="A3" s="9" t="inlineStr">
        <is>
          <t>96 组</t>
        </is>
      </c>
      <c r="B3" s="9" t="inlineStr">
        <is>
          <t>i5</t>
        </is>
      </c>
      <c r="C3" s="9" t="n">
        <v>2</v>
      </c>
      <c r="D3" s="9">
        <f>COUNTIF('96对'!$R$2:$R$97,"A")</f>
        <v/>
      </c>
      <c r="E3" s="9">
        <f>COUNTIF('96对'!$R$2:$R$97,"C")</f>
        <v/>
      </c>
      <c r="F3" s="9">
        <f>COUNTIF('96对'!$R$2:$R$97,"G")</f>
        <v/>
      </c>
      <c r="G3" s="9">
        <f>COUNTIF('96对'!$R$2:$R$97,"T")</f>
        <v/>
      </c>
      <c r="H3" s="10">
        <f>(E3+F3)/96</f>
        <v/>
      </c>
      <c r="I3" s="10">
        <f>(D3+E3)/96</f>
        <v/>
      </c>
      <c r="J3" s="10">
        <f>(D3+G3)/96</f>
        <v/>
      </c>
      <c r="K3" s="9">
        <f>IF(AND(H3&gt;=0.4,H3&lt;=0.6,I3&gt;=0.4,I3&lt;=0.6,J3&gt;=0.4,J3&lt;=0.6,MIN(D3:G3)&gt;=14.4),"是","否")</f>
        <v/>
      </c>
    </row>
    <row r="4">
      <c r="A4" s="9" t="inlineStr">
        <is>
          <t>96 组</t>
        </is>
      </c>
      <c r="B4" s="9" t="inlineStr">
        <is>
          <t>i5</t>
        </is>
      </c>
      <c r="C4" s="9" t="n">
        <v>3</v>
      </c>
      <c r="D4" s="9">
        <f>COUNTIF('96对'!$S$2:$S$97,"A")</f>
        <v/>
      </c>
      <c r="E4" s="9">
        <f>COUNTIF('96对'!$S$2:$S$97,"C")</f>
        <v/>
      </c>
      <c r="F4" s="9">
        <f>COUNTIF('96对'!$S$2:$S$97,"G")</f>
        <v/>
      </c>
      <c r="G4" s="9">
        <f>COUNTIF('96对'!$S$2:$S$97,"T")</f>
        <v/>
      </c>
      <c r="H4" s="10">
        <f>(E4+F4)/96</f>
        <v/>
      </c>
      <c r="I4" s="10">
        <f>(D4+E4)/96</f>
        <v/>
      </c>
      <c r="J4" s="10">
        <f>(D4+G4)/96</f>
        <v/>
      </c>
      <c r="K4" s="9">
        <f>IF(AND(H4&gt;=0.4,H4&lt;=0.6,I4&gt;=0.4,I4&lt;=0.6,J4&gt;=0.4,J4&lt;=0.6,MIN(D4:G4)&gt;=14.4),"是","否")</f>
        <v/>
      </c>
    </row>
    <row r="5">
      <c r="A5" s="9" t="inlineStr">
        <is>
          <t>96 组</t>
        </is>
      </c>
      <c r="B5" s="9" t="inlineStr">
        <is>
          <t>i5</t>
        </is>
      </c>
      <c r="C5" s="9" t="n">
        <v>4</v>
      </c>
      <c r="D5" s="9">
        <f>COUNTIF('96对'!$T$2:$T$97,"A")</f>
        <v/>
      </c>
      <c r="E5" s="9">
        <f>COUNTIF('96对'!$T$2:$T$97,"C")</f>
        <v/>
      </c>
      <c r="F5" s="9">
        <f>COUNTIF('96对'!$T$2:$T$97,"G")</f>
        <v/>
      </c>
      <c r="G5" s="9">
        <f>COUNTIF('96对'!$T$2:$T$97,"T")</f>
        <v/>
      </c>
      <c r="H5" s="10">
        <f>(E5+F5)/96</f>
        <v/>
      </c>
      <c r="I5" s="10">
        <f>(D5+E5)/96</f>
        <v/>
      </c>
      <c r="J5" s="10">
        <f>(D5+G5)/96</f>
        <v/>
      </c>
      <c r="K5" s="9">
        <f>IF(AND(H5&gt;=0.4,H5&lt;=0.6,I5&gt;=0.4,I5&lt;=0.6,J5&gt;=0.4,J5&lt;=0.6,MIN(D5:G5)&gt;=14.4),"是","否")</f>
        <v/>
      </c>
    </row>
    <row r="6">
      <c r="A6" s="9" t="inlineStr">
        <is>
          <t>96 组</t>
        </is>
      </c>
      <c r="B6" s="9" t="inlineStr">
        <is>
          <t>i5</t>
        </is>
      </c>
      <c r="C6" s="9" t="n">
        <v>5</v>
      </c>
      <c r="D6" s="9">
        <f>COUNTIF('96对'!$U$2:$U$97,"A")</f>
        <v/>
      </c>
      <c r="E6" s="9">
        <f>COUNTIF('96对'!$U$2:$U$97,"C")</f>
        <v/>
      </c>
      <c r="F6" s="9">
        <f>COUNTIF('96对'!$U$2:$U$97,"G")</f>
        <v/>
      </c>
      <c r="G6" s="9">
        <f>COUNTIF('96对'!$U$2:$U$97,"T")</f>
        <v/>
      </c>
      <c r="H6" s="10">
        <f>(E6+F6)/96</f>
        <v/>
      </c>
      <c r="I6" s="10">
        <f>(D6+E6)/96</f>
        <v/>
      </c>
      <c r="J6" s="10">
        <f>(D6+G6)/96</f>
        <v/>
      </c>
      <c r="K6" s="9">
        <f>IF(AND(H6&gt;=0.4,H6&lt;=0.6,I6&gt;=0.4,I6&lt;=0.6,J6&gt;=0.4,J6&lt;=0.6,MIN(D6:G6)&gt;=14.4),"是","否")</f>
        <v/>
      </c>
    </row>
    <row r="7">
      <c r="A7" s="9" t="inlineStr">
        <is>
          <t>96 组</t>
        </is>
      </c>
      <c r="B7" s="9" t="inlineStr">
        <is>
          <t>i5</t>
        </is>
      </c>
      <c r="C7" s="9" t="n">
        <v>6</v>
      </c>
      <c r="D7" s="9">
        <f>COUNTIF('96对'!$V$2:$V$97,"A")</f>
        <v/>
      </c>
      <c r="E7" s="9">
        <f>COUNTIF('96对'!$V$2:$V$97,"C")</f>
        <v/>
      </c>
      <c r="F7" s="9">
        <f>COUNTIF('96对'!$V$2:$V$97,"G")</f>
        <v/>
      </c>
      <c r="G7" s="9">
        <f>COUNTIF('96对'!$V$2:$V$97,"T")</f>
        <v/>
      </c>
      <c r="H7" s="10">
        <f>(E7+F7)/96</f>
        <v/>
      </c>
      <c r="I7" s="10">
        <f>(D7+E7)/96</f>
        <v/>
      </c>
      <c r="J7" s="10">
        <f>(D7+G7)/96</f>
        <v/>
      </c>
      <c r="K7" s="9">
        <f>IF(AND(H7&gt;=0.4,H7&lt;=0.6,I7&gt;=0.4,I7&lt;=0.6,J7&gt;=0.4,J7&lt;=0.6,MIN(D7:G7)&gt;=14.4),"是","否")</f>
        <v/>
      </c>
    </row>
    <row r="8">
      <c r="A8" s="9" t="inlineStr">
        <is>
          <t>96 组</t>
        </is>
      </c>
      <c r="B8" s="9" t="inlineStr">
        <is>
          <t>i5</t>
        </is>
      </c>
      <c r="C8" s="9" t="n">
        <v>7</v>
      </c>
      <c r="D8" s="9">
        <f>COUNTIF('96对'!$W$2:$W$97,"A")</f>
        <v/>
      </c>
      <c r="E8" s="9">
        <f>COUNTIF('96对'!$W$2:$W$97,"C")</f>
        <v/>
      </c>
      <c r="F8" s="9">
        <f>COUNTIF('96对'!$W$2:$W$97,"G")</f>
        <v/>
      </c>
      <c r="G8" s="9">
        <f>COUNTIF('96对'!$W$2:$W$97,"T")</f>
        <v/>
      </c>
      <c r="H8" s="10">
        <f>(E8+F8)/96</f>
        <v/>
      </c>
      <c r="I8" s="10">
        <f>(D8+E8)/96</f>
        <v/>
      </c>
      <c r="J8" s="10">
        <f>(D8+G8)/96</f>
        <v/>
      </c>
      <c r="K8" s="9">
        <f>IF(AND(H8&gt;=0.4,H8&lt;=0.6,I8&gt;=0.4,I8&lt;=0.6,J8&gt;=0.4,J8&lt;=0.6,MIN(D8:G8)&gt;=14.4),"是","否")</f>
        <v/>
      </c>
    </row>
    <row r="9">
      <c r="A9" s="9" t="inlineStr">
        <is>
          <t>96 组</t>
        </is>
      </c>
      <c r="B9" s="9" t="inlineStr">
        <is>
          <t>i5</t>
        </is>
      </c>
      <c r="C9" s="9" t="n">
        <v>8</v>
      </c>
      <c r="D9" s="9">
        <f>COUNTIF('96对'!$X$2:$X$97,"A")</f>
        <v/>
      </c>
      <c r="E9" s="9">
        <f>COUNTIF('96对'!$X$2:$X$97,"C")</f>
        <v/>
      </c>
      <c r="F9" s="9">
        <f>COUNTIF('96对'!$X$2:$X$97,"G")</f>
        <v/>
      </c>
      <c r="G9" s="9">
        <f>COUNTIF('96对'!$X$2:$X$97,"T")</f>
        <v/>
      </c>
      <c r="H9" s="10">
        <f>(E9+F9)/96</f>
        <v/>
      </c>
      <c r="I9" s="10">
        <f>(D9+E9)/96</f>
        <v/>
      </c>
      <c r="J9" s="10">
        <f>(D9+G9)/96</f>
        <v/>
      </c>
      <c r="K9" s="9">
        <f>IF(AND(H9&gt;=0.4,H9&lt;=0.6,I9&gt;=0.4,I9&lt;=0.6,J9&gt;=0.4,J9&lt;=0.6,MIN(D9:G9)&gt;=14.4),"是","否")</f>
        <v/>
      </c>
    </row>
    <row r="10">
      <c r="A10" s="9" t="inlineStr">
        <is>
          <t>96 组</t>
        </is>
      </c>
      <c r="B10" s="9" t="inlineStr">
        <is>
          <t>i5</t>
        </is>
      </c>
      <c r="C10" s="9" t="n">
        <v>9</v>
      </c>
      <c r="D10" s="9">
        <f>COUNTIF('96对'!$Y$2:$Y$97,"A")</f>
        <v/>
      </c>
      <c r="E10" s="9">
        <f>COUNTIF('96对'!$Y$2:$Y$97,"C")</f>
        <v/>
      </c>
      <c r="F10" s="9">
        <f>COUNTIF('96对'!$Y$2:$Y$97,"G")</f>
        <v/>
      </c>
      <c r="G10" s="9">
        <f>COUNTIF('96对'!$Y$2:$Y$97,"T")</f>
        <v/>
      </c>
      <c r="H10" s="10">
        <f>(E10+F10)/96</f>
        <v/>
      </c>
      <c r="I10" s="10">
        <f>(D10+E10)/96</f>
        <v/>
      </c>
      <c r="J10" s="10">
        <f>(D10+G10)/96</f>
        <v/>
      </c>
      <c r="K10" s="9">
        <f>IF(AND(H10&gt;=0.4,H10&lt;=0.6,I10&gt;=0.4,I10&lt;=0.6,J10&gt;=0.4,J10&lt;=0.6,MIN(D10:G10)&gt;=14.4),"是","否")</f>
        <v/>
      </c>
    </row>
    <row r="11">
      <c r="A11" s="9" t="inlineStr">
        <is>
          <t>96 组</t>
        </is>
      </c>
      <c r="B11" s="9" t="inlineStr">
        <is>
          <t>i5</t>
        </is>
      </c>
      <c r="C11" s="9" t="n">
        <v>10</v>
      </c>
      <c r="D11" s="9">
        <f>COUNTIF('96对'!$Z$2:$Z$97,"A")</f>
        <v/>
      </c>
      <c r="E11" s="9">
        <f>COUNTIF('96对'!$Z$2:$Z$97,"C")</f>
        <v/>
      </c>
      <c r="F11" s="9">
        <f>COUNTIF('96对'!$Z$2:$Z$97,"G")</f>
        <v/>
      </c>
      <c r="G11" s="9">
        <f>COUNTIF('96对'!$Z$2:$Z$97,"T")</f>
        <v/>
      </c>
      <c r="H11" s="10">
        <f>(E11+F11)/96</f>
        <v/>
      </c>
      <c r="I11" s="10">
        <f>(D11+E11)/96</f>
        <v/>
      </c>
      <c r="J11" s="10">
        <f>(D11+G11)/96</f>
        <v/>
      </c>
      <c r="K11" s="9">
        <f>IF(AND(H11&gt;=0.4,H11&lt;=0.6,I11&gt;=0.4,I11&lt;=0.6,J11&gt;=0.4,J11&lt;=0.6,MIN(D11:G11)&gt;=14.4),"是","否")</f>
        <v/>
      </c>
    </row>
    <row r="12">
      <c r="A12" s="9" t="inlineStr">
        <is>
          <t>96 组</t>
        </is>
      </c>
      <c r="B12" s="9" t="inlineStr">
        <is>
          <t>i7</t>
        </is>
      </c>
      <c r="C12" s="9" t="n">
        <v>1</v>
      </c>
      <c r="D12" s="9">
        <f>COUNTIF('96对'!$AA$2:$AA$97,"A")</f>
        <v/>
      </c>
      <c r="E12" s="9">
        <f>COUNTIF('96对'!$AA$2:$AA$97,"C")</f>
        <v/>
      </c>
      <c r="F12" s="9">
        <f>COUNTIF('96对'!$AA$2:$AA$97,"G")</f>
        <v/>
      </c>
      <c r="G12" s="9">
        <f>COUNTIF('96对'!$AA$2:$AA$97,"T")</f>
        <v/>
      </c>
      <c r="H12" s="10">
        <f>(E12+F12)/96</f>
        <v/>
      </c>
      <c r="I12" s="10">
        <f>(D12+E12)/96</f>
        <v/>
      </c>
      <c r="J12" s="10">
        <f>(D12+G12)/96</f>
        <v/>
      </c>
      <c r="K12" s="9">
        <f>IF(AND(H12&gt;=0.4,H12&lt;=0.6,I12&gt;=0.4,I12&lt;=0.6,J12&gt;=0.4,J12&lt;=0.6,MIN(D12:G12)&gt;=14.4),"是","否")</f>
        <v/>
      </c>
    </row>
    <row r="13">
      <c r="A13" s="9" t="inlineStr">
        <is>
          <t>96 组</t>
        </is>
      </c>
      <c r="B13" s="9" t="inlineStr">
        <is>
          <t>i7</t>
        </is>
      </c>
      <c r="C13" s="9" t="n">
        <v>2</v>
      </c>
      <c r="D13" s="9">
        <f>COUNTIF('96对'!$AB$2:$AB$97,"A")</f>
        <v/>
      </c>
      <c r="E13" s="9">
        <f>COUNTIF('96对'!$AB$2:$AB$97,"C")</f>
        <v/>
      </c>
      <c r="F13" s="9">
        <f>COUNTIF('96对'!$AB$2:$AB$97,"G")</f>
        <v/>
      </c>
      <c r="G13" s="9">
        <f>COUNTIF('96对'!$AB$2:$AB$97,"T")</f>
        <v/>
      </c>
      <c r="H13" s="10">
        <f>(E13+F13)/96</f>
        <v/>
      </c>
      <c r="I13" s="10">
        <f>(D13+E13)/96</f>
        <v/>
      </c>
      <c r="J13" s="10">
        <f>(D13+G13)/96</f>
        <v/>
      </c>
      <c r="K13" s="9">
        <f>IF(AND(H13&gt;=0.4,H13&lt;=0.6,I13&gt;=0.4,I13&lt;=0.6,J13&gt;=0.4,J13&lt;=0.6,MIN(D13:G13)&gt;=14.4),"是","否")</f>
        <v/>
      </c>
    </row>
    <row r="14">
      <c r="A14" s="9" t="inlineStr">
        <is>
          <t>96 组</t>
        </is>
      </c>
      <c r="B14" s="9" t="inlineStr">
        <is>
          <t>i7</t>
        </is>
      </c>
      <c r="C14" s="9" t="n">
        <v>3</v>
      </c>
      <c r="D14" s="9">
        <f>COUNTIF('96对'!$AC$2:$AC$97,"A")</f>
        <v/>
      </c>
      <c r="E14" s="9">
        <f>COUNTIF('96对'!$AC$2:$AC$97,"C")</f>
        <v/>
      </c>
      <c r="F14" s="9">
        <f>COUNTIF('96对'!$AC$2:$AC$97,"G")</f>
        <v/>
      </c>
      <c r="G14" s="9">
        <f>COUNTIF('96对'!$AC$2:$AC$97,"T")</f>
        <v/>
      </c>
      <c r="H14" s="10">
        <f>(E14+F14)/96</f>
        <v/>
      </c>
      <c r="I14" s="10">
        <f>(D14+E14)/96</f>
        <v/>
      </c>
      <c r="J14" s="10">
        <f>(D14+G14)/96</f>
        <v/>
      </c>
      <c r="K14" s="9">
        <f>IF(AND(H14&gt;=0.4,H14&lt;=0.6,I14&gt;=0.4,I14&lt;=0.6,J14&gt;=0.4,J14&lt;=0.6,MIN(D14:G14)&gt;=14.4),"是","否")</f>
        <v/>
      </c>
    </row>
    <row r="15">
      <c r="A15" s="9" t="inlineStr">
        <is>
          <t>96 组</t>
        </is>
      </c>
      <c r="B15" s="9" t="inlineStr">
        <is>
          <t>i7</t>
        </is>
      </c>
      <c r="C15" s="9" t="n">
        <v>4</v>
      </c>
      <c r="D15" s="9">
        <f>COUNTIF('96对'!$AD$2:$AD$97,"A")</f>
        <v/>
      </c>
      <c r="E15" s="9">
        <f>COUNTIF('96对'!$AD$2:$AD$97,"C")</f>
        <v/>
      </c>
      <c r="F15" s="9">
        <f>COUNTIF('96对'!$AD$2:$AD$97,"G")</f>
        <v/>
      </c>
      <c r="G15" s="9">
        <f>COUNTIF('96对'!$AD$2:$AD$97,"T")</f>
        <v/>
      </c>
      <c r="H15" s="10">
        <f>(E15+F15)/96</f>
        <v/>
      </c>
      <c r="I15" s="10">
        <f>(D15+E15)/96</f>
        <v/>
      </c>
      <c r="J15" s="10">
        <f>(D15+G15)/96</f>
        <v/>
      </c>
      <c r="K15" s="9">
        <f>IF(AND(H15&gt;=0.4,H15&lt;=0.6,I15&gt;=0.4,I15&lt;=0.6,J15&gt;=0.4,J15&lt;=0.6,MIN(D15:G15)&gt;=14.4),"是","否")</f>
        <v/>
      </c>
    </row>
    <row r="16">
      <c r="A16" s="9" t="inlineStr">
        <is>
          <t>96 组</t>
        </is>
      </c>
      <c r="B16" s="9" t="inlineStr">
        <is>
          <t>i7</t>
        </is>
      </c>
      <c r="C16" s="9" t="n">
        <v>5</v>
      </c>
      <c r="D16" s="9">
        <f>COUNTIF('96对'!$AE$2:$AE$97,"A")</f>
        <v/>
      </c>
      <c r="E16" s="9">
        <f>COUNTIF('96对'!$AE$2:$AE$97,"C")</f>
        <v/>
      </c>
      <c r="F16" s="9">
        <f>COUNTIF('96对'!$AE$2:$AE$97,"G")</f>
        <v/>
      </c>
      <c r="G16" s="9">
        <f>COUNTIF('96对'!$AE$2:$AE$97,"T")</f>
        <v/>
      </c>
      <c r="H16" s="10">
        <f>(E16+F16)/96</f>
        <v/>
      </c>
      <c r="I16" s="10">
        <f>(D16+E16)/96</f>
        <v/>
      </c>
      <c r="J16" s="10">
        <f>(D16+G16)/96</f>
        <v/>
      </c>
      <c r="K16" s="9">
        <f>IF(AND(H16&gt;=0.4,H16&lt;=0.6,I16&gt;=0.4,I16&lt;=0.6,J16&gt;=0.4,J16&lt;=0.6,MIN(D16:G16)&gt;=14.4),"是","否")</f>
        <v/>
      </c>
    </row>
    <row r="17">
      <c r="A17" s="9" t="inlineStr">
        <is>
          <t>96 组</t>
        </is>
      </c>
      <c r="B17" s="9" t="inlineStr">
        <is>
          <t>i7</t>
        </is>
      </c>
      <c r="C17" s="9" t="n">
        <v>6</v>
      </c>
      <c r="D17" s="9">
        <f>COUNTIF('96对'!$AF$2:$AF$97,"A")</f>
        <v/>
      </c>
      <c r="E17" s="9">
        <f>COUNTIF('96对'!$AF$2:$AF$97,"C")</f>
        <v/>
      </c>
      <c r="F17" s="9">
        <f>COUNTIF('96对'!$AF$2:$AF$97,"G")</f>
        <v/>
      </c>
      <c r="G17" s="9">
        <f>COUNTIF('96对'!$AF$2:$AF$97,"T")</f>
        <v/>
      </c>
      <c r="H17" s="10">
        <f>(E17+F17)/96</f>
        <v/>
      </c>
      <c r="I17" s="10">
        <f>(D17+E17)/96</f>
        <v/>
      </c>
      <c r="J17" s="10">
        <f>(D17+G17)/96</f>
        <v/>
      </c>
      <c r="K17" s="9">
        <f>IF(AND(H17&gt;=0.4,H17&lt;=0.6,I17&gt;=0.4,I17&lt;=0.6,J17&gt;=0.4,J17&lt;=0.6,MIN(D17:G17)&gt;=14.4),"是","否")</f>
        <v/>
      </c>
    </row>
    <row r="18">
      <c r="A18" s="9" t="inlineStr">
        <is>
          <t>96 组</t>
        </is>
      </c>
      <c r="B18" s="9" t="inlineStr">
        <is>
          <t>i7</t>
        </is>
      </c>
      <c r="C18" s="9" t="n">
        <v>7</v>
      </c>
      <c r="D18" s="9">
        <f>COUNTIF('96对'!$AG$2:$AG$97,"A")</f>
        <v/>
      </c>
      <c r="E18" s="9">
        <f>COUNTIF('96对'!$AG$2:$AG$97,"C")</f>
        <v/>
      </c>
      <c r="F18" s="9">
        <f>COUNTIF('96对'!$AG$2:$AG$97,"G")</f>
        <v/>
      </c>
      <c r="G18" s="9">
        <f>COUNTIF('96对'!$AG$2:$AG$97,"T")</f>
        <v/>
      </c>
      <c r="H18" s="10">
        <f>(E18+F18)/96</f>
        <v/>
      </c>
      <c r="I18" s="10">
        <f>(D18+E18)/96</f>
        <v/>
      </c>
      <c r="J18" s="10">
        <f>(D18+G18)/96</f>
        <v/>
      </c>
      <c r="K18" s="9">
        <f>IF(AND(H18&gt;=0.4,H18&lt;=0.6,I18&gt;=0.4,I18&lt;=0.6,J18&gt;=0.4,J18&lt;=0.6,MIN(D18:G18)&gt;=14.4),"是","否")</f>
        <v/>
      </c>
    </row>
    <row r="19">
      <c r="A19" s="9" t="inlineStr">
        <is>
          <t>96 组</t>
        </is>
      </c>
      <c r="B19" s="9" t="inlineStr">
        <is>
          <t>i7</t>
        </is>
      </c>
      <c r="C19" s="9" t="n">
        <v>8</v>
      </c>
      <c r="D19" s="9">
        <f>COUNTIF('96对'!$AH$2:$AH$97,"A")</f>
        <v/>
      </c>
      <c r="E19" s="9">
        <f>COUNTIF('96对'!$AH$2:$AH$97,"C")</f>
        <v/>
      </c>
      <c r="F19" s="9">
        <f>COUNTIF('96对'!$AH$2:$AH$97,"G")</f>
        <v/>
      </c>
      <c r="G19" s="9">
        <f>COUNTIF('96对'!$AH$2:$AH$97,"T")</f>
        <v/>
      </c>
      <c r="H19" s="10">
        <f>(E19+F19)/96</f>
        <v/>
      </c>
      <c r="I19" s="10">
        <f>(D19+E19)/96</f>
        <v/>
      </c>
      <c r="J19" s="10">
        <f>(D19+G19)/96</f>
        <v/>
      </c>
      <c r="K19" s="9">
        <f>IF(AND(H19&gt;=0.4,H19&lt;=0.6,I19&gt;=0.4,I19&lt;=0.6,J19&gt;=0.4,J19&lt;=0.6,MIN(D19:G19)&gt;=14.4),"是","否")</f>
        <v/>
      </c>
    </row>
    <row r="20">
      <c r="A20" s="9" t="inlineStr">
        <is>
          <t>96 组</t>
        </is>
      </c>
      <c r="B20" s="9" t="inlineStr">
        <is>
          <t>i7</t>
        </is>
      </c>
      <c r="C20" s="9" t="n">
        <v>9</v>
      </c>
      <c r="D20" s="9">
        <f>COUNTIF('96对'!$AI$2:$AI$97,"A")</f>
        <v/>
      </c>
      <c r="E20" s="9">
        <f>COUNTIF('96对'!$AI$2:$AI$97,"C")</f>
        <v/>
      </c>
      <c r="F20" s="9">
        <f>COUNTIF('96对'!$AI$2:$AI$97,"G")</f>
        <v/>
      </c>
      <c r="G20" s="9">
        <f>COUNTIF('96对'!$AI$2:$AI$97,"T")</f>
        <v/>
      </c>
      <c r="H20" s="10">
        <f>(E20+F20)/96</f>
        <v/>
      </c>
      <c r="I20" s="10">
        <f>(D20+E20)/96</f>
        <v/>
      </c>
      <c r="J20" s="10">
        <f>(D20+G20)/96</f>
        <v/>
      </c>
      <c r="K20" s="9">
        <f>IF(AND(H20&gt;=0.4,H20&lt;=0.6,I20&gt;=0.4,I20&lt;=0.6,J20&gt;=0.4,J20&lt;=0.6,MIN(D20:G20)&gt;=14.4),"是","否")</f>
        <v/>
      </c>
    </row>
    <row r="21">
      <c r="A21" s="9" t="inlineStr">
        <is>
          <t>96 组</t>
        </is>
      </c>
      <c r="B21" s="9" t="inlineStr">
        <is>
          <t>i7</t>
        </is>
      </c>
      <c r="C21" s="9" t="n">
        <v>10</v>
      </c>
      <c r="D21" s="9">
        <f>COUNTIF('96对'!$AJ$2:$AJ$97,"A")</f>
        <v/>
      </c>
      <c r="E21" s="9">
        <f>COUNTIF('96对'!$AJ$2:$AJ$97,"C")</f>
        <v/>
      </c>
      <c r="F21" s="9">
        <f>COUNTIF('96对'!$AJ$2:$AJ$97,"G")</f>
        <v/>
      </c>
      <c r="G21" s="9">
        <f>COUNTIF('96对'!$AJ$2:$AJ$97,"T")</f>
        <v/>
      </c>
      <c r="H21" s="10">
        <f>(E21+F21)/96</f>
        <v/>
      </c>
      <c r="I21" s="10">
        <f>(D21+E21)/96</f>
        <v/>
      </c>
      <c r="J21" s="10">
        <f>(D21+G21)/96</f>
        <v/>
      </c>
      <c r="K21" s="9">
        <f>IF(AND(H21&gt;=0.4,H21&lt;=0.6,I21&gt;=0.4,I21&lt;=0.6,J21&gt;=0.4,J21&lt;=0.6,MIN(D21:G21)&gt;=14.4),"是","否")</f>
        <v/>
      </c>
    </row>
    <row r="22">
      <c r="A22" s="9" t="inlineStr">
        <is>
          <t>核心 48 组</t>
        </is>
      </c>
      <c r="B22" s="9" t="inlineStr">
        <is>
          <t>i5</t>
        </is>
      </c>
      <c r="C22" s="9" t="n">
        <v>1</v>
      </c>
      <c r="D22" s="9">
        <f>COUNTIF('96对'!$Q$2:$Q$49,"A")</f>
        <v/>
      </c>
      <c r="E22" s="9">
        <f>COUNTIF('96对'!$Q$2:$Q$49,"C")</f>
        <v/>
      </c>
      <c r="F22" s="9">
        <f>COUNTIF('96对'!$Q$2:$Q$49,"G")</f>
        <v/>
      </c>
      <c r="G22" s="9">
        <f>COUNTIF('96对'!$Q$2:$Q$49,"T")</f>
        <v/>
      </c>
      <c r="H22" s="10">
        <f>(E22+F22)/48</f>
        <v/>
      </c>
      <c r="I22" s="10">
        <f>(D22+E22)/48</f>
        <v/>
      </c>
      <c r="J22" s="10">
        <f>(D22+G22)/48</f>
        <v/>
      </c>
      <c r="K22" s="9">
        <f>IF(AND(H22&gt;=0.4,H22&lt;=0.6,I22&gt;=0.4,I22&lt;=0.6,J22&gt;=0.4,J22&lt;=0.6,MIN(D22:G22)&gt;=7.2),"是","否")</f>
        <v/>
      </c>
    </row>
    <row r="23">
      <c r="A23" s="9" t="inlineStr">
        <is>
          <t>核心 48 组</t>
        </is>
      </c>
      <c r="B23" s="9" t="inlineStr">
        <is>
          <t>i5</t>
        </is>
      </c>
      <c r="C23" s="9" t="n">
        <v>2</v>
      </c>
      <c r="D23" s="9">
        <f>COUNTIF('96对'!$R$2:$R$49,"A")</f>
        <v/>
      </c>
      <c r="E23" s="9">
        <f>COUNTIF('96对'!$R$2:$R$49,"C")</f>
        <v/>
      </c>
      <c r="F23" s="9">
        <f>COUNTIF('96对'!$R$2:$R$49,"G")</f>
        <v/>
      </c>
      <c r="G23" s="9">
        <f>COUNTIF('96对'!$R$2:$R$49,"T")</f>
        <v/>
      </c>
      <c r="H23" s="10">
        <f>(E23+F23)/48</f>
        <v/>
      </c>
      <c r="I23" s="10">
        <f>(D23+E23)/48</f>
        <v/>
      </c>
      <c r="J23" s="10">
        <f>(D23+G23)/48</f>
        <v/>
      </c>
      <c r="K23" s="9">
        <f>IF(AND(H23&gt;=0.4,H23&lt;=0.6,I23&gt;=0.4,I23&lt;=0.6,J23&gt;=0.4,J23&lt;=0.6,MIN(D23:G23)&gt;=7.2),"是","否")</f>
        <v/>
      </c>
    </row>
    <row r="24">
      <c r="A24" s="9" t="inlineStr">
        <is>
          <t>核心 48 组</t>
        </is>
      </c>
      <c r="B24" s="9" t="inlineStr">
        <is>
          <t>i5</t>
        </is>
      </c>
      <c r="C24" s="9" t="n">
        <v>3</v>
      </c>
      <c r="D24" s="9">
        <f>COUNTIF('96对'!$S$2:$S$49,"A")</f>
        <v/>
      </c>
      <c r="E24" s="9">
        <f>COUNTIF('96对'!$S$2:$S$49,"C")</f>
        <v/>
      </c>
      <c r="F24" s="9">
        <f>COUNTIF('96对'!$S$2:$S$49,"G")</f>
        <v/>
      </c>
      <c r="G24" s="9">
        <f>COUNTIF('96对'!$S$2:$S$49,"T")</f>
        <v/>
      </c>
      <c r="H24" s="10">
        <f>(E24+F24)/48</f>
        <v/>
      </c>
      <c r="I24" s="10">
        <f>(D24+E24)/48</f>
        <v/>
      </c>
      <c r="J24" s="10">
        <f>(D24+G24)/48</f>
        <v/>
      </c>
      <c r="K24" s="9">
        <f>IF(AND(H24&gt;=0.4,H24&lt;=0.6,I24&gt;=0.4,I24&lt;=0.6,J24&gt;=0.4,J24&lt;=0.6,MIN(D24:G24)&gt;=7.2),"是","否")</f>
        <v/>
      </c>
    </row>
    <row r="25">
      <c r="A25" s="9" t="inlineStr">
        <is>
          <t>核心 48 组</t>
        </is>
      </c>
      <c r="B25" s="9" t="inlineStr">
        <is>
          <t>i5</t>
        </is>
      </c>
      <c r="C25" s="9" t="n">
        <v>4</v>
      </c>
      <c r="D25" s="9">
        <f>COUNTIF('96对'!$T$2:$T$49,"A")</f>
        <v/>
      </c>
      <c r="E25" s="9">
        <f>COUNTIF('96对'!$T$2:$T$49,"C")</f>
        <v/>
      </c>
      <c r="F25" s="9">
        <f>COUNTIF('96对'!$T$2:$T$49,"G")</f>
        <v/>
      </c>
      <c r="G25" s="9">
        <f>COUNTIF('96对'!$T$2:$T$49,"T")</f>
        <v/>
      </c>
      <c r="H25" s="10">
        <f>(E25+F25)/48</f>
        <v/>
      </c>
      <c r="I25" s="10">
        <f>(D25+E25)/48</f>
        <v/>
      </c>
      <c r="J25" s="10">
        <f>(D25+G25)/48</f>
        <v/>
      </c>
      <c r="K25" s="9">
        <f>IF(AND(H25&gt;=0.4,H25&lt;=0.6,I25&gt;=0.4,I25&lt;=0.6,J25&gt;=0.4,J25&lt;=0.6,MIN(D25:G25)&gt;=7.2),"是","否")</f>
        <v/>
      </c>
    </row>
    <row r="26">
      <c r="A26" s="9" t="inlineStr">
        <is>
          <t>核心 48 组</t>
        </is>
      </c>
      <c r="B26" s="9" t="inlineStr">
        <is>
          <t>i5</t>
        </is>
      </c>
      <c r="C26" s="9" t="n">
        <v>5</v>
      </c>
      <c r="D26" s="9">
        <f>COUNTIF('96对'!$U$2:$U$49,"A")</f>
        <v/>
      </c>
      <c r="E26" s="9">
        <f>COUNTIF('96对'!$U$2:$U$49,"C")</f>
        <v/>
      </c>
      <c r="F26" s="9">
        <f>COUNTIF('96对'!$U$2:$U$49,"G")</f>
        <v/>
      </c>
      <c r="G26" s="9">
        <f>COUNTIF('96对'!$U$2:$U$49,"T")</f>
        <v/>
      </c>
      <c r="H26" s="10">
        <f>(E26+F26)/48</f>
        <v/>
      </c>
      <c r="I26" s="10">
        <f>(D26+E26)/48</f>
        <v/>
      </c>
      <c r="J26" s="10">
        <f>(D26+G26)/48</f>
        <v/>
      </c>
      <c r="K26" s="9">
        <f>IF(AND(H26&gt;=0.4,H26&lt;=0.6,I26&gt;=0.4,I26&lt;=0.6,J26&gt;=0.4,J26&lt;=0.6,MIN(D26:G26)&gt;=7.2),"是","否")</f>
        <v/>
      </c>
    </row>
    <row r="27">
      <c r="A27" s="9" t="inlineStr">
        <is>
          <t>核心 48 组</t>
        </is>
      </c>
      <c r="B27" s="9" t="inlineStr">
        <is>
          <t>i5</t>
        </is>
      </c>
      <c r="C27" s="9" t="n">
        <v>6</v>
      </c>
      <c r="D27" s="9">
        <f>COUNTIF('96对'!$V$2:$V$49,"A")</f>
        <v/>
      </c>
      <c r="E27" s="9">
        <f>COUNTIF('96对'!$V$2:$V$49,"C")</f>
        <v/>
      </c>
      <c r="F27" s="9">
        <f>COUNTIF('96对'!$V$2:$V$49,"G")</f>
        <v/>
      </c>
      <c r="G27" s="9">
        <f>COUNTIF('96对'!$V$2:$V$49,"T")</f>
        <v/>
      </c>
      <c r="H27" s="10">
        <f>(E27+F27)/48</f>
        <v/>
      </c>
      <c r="I27" s="10">
        <f>(D27+E27)/48</f>
        <v/>
      </c>
      <c r="J27" s="10">
        <f>(D27+G27)/48</f>
        <v/>
      </c>
      <c r="K27" s="9">
        <f>IF(AND(H27&gt;=0.4,H27&lt;=0.6,I27&gt;=0.4,I27&lt;=0.6,J27&gt;=0.4,J27&lt;=0.6,MIN(D27:G27)&gt;=7.2),"是","否")</f>
        <v/>
      </c>
    </row>
    <row r="28">
      <c r="A28" s="9" t="inlineStr">
        <is>
          <t>核心 48 组</t>
        </is>
      </c>
      <c r="B28" s="9" t="inlineStr">
        <is>
          <t>i5</t>
        </is>
      </c>
      <c r="C28" s="9" t="n">
        <v>7</v>
      </c>
      <c r="D28" s="9">
        <f>COUNTIF('96对'!$W$2:$W$49,"A")</f>
        <v/>
      </c>
      <c r="E28" s="9">
        <f>COUNTIF('96对'!$W$2:$W$49,"C")</f>
        <v/>
      </c>
      <c r="F28" s="9">
        <f>COUNTIF('96对'!$W$2:$W$49,"G")</f>
        <v/>
      </c>
      <c r="G28" s="9">
        <f>COUNTIF('96对'!$W$2:$W$49,"T")</f>
        <v/>
      </c>
      <c r="H28" s="10">
        <f>(E28+F28)/48</f>
        <v/>
      </c>
      <c r="I28" s="10">
        <f>(D28+E28)/48</f>
        <v/>
      </c>
      <c r="J28" s="10">
        <f>(D28+G28)/48</f>
        <v/>
      </c>
      <c r="K28" s="9">
        <f>IF(AND(H28&gt;=0.4,H28&lt;=0.6,I28&gt;=0.4,I28&lt;=0.6,J28&gt;=0.4,J28&lt;=0.6,MIN(D28:G28)&gt;=7.2),"是","否")</f>
        <v/>
      </c>
    </row>
    <row r="29">
      <c r="A29" s="9" t="inlineStr">
        <is>
          <t>核心 48 组</t>
        </is>
      </c>
      <c r="B29" s="9" t="inlineStr">
        <is>
          <t>i5</t>
        </is>
      </c>
      <c r="C29" s="9" t="n">
        <v>8</v>
      </c>
      <c r="D29" s="9">
        <f>COUNTIF('96对'!$X$2:$X$49,"A")</f>
        <v/>
      </c>
      <c r="E29" s="9">
        <f>COUNTIF('96对'!$X$2:$X$49,"C")</f>
        <v/>
      </c>
      <c r="F29" s="9">
        <f>COUNTIF('96对'!$X$2:$X$49,"G")</f>
        <v/>
      </c>
      <c r="G29" s="9">
        <f>COUNTIF('96对'!$X$2:$X$49,"T")</f>
        <v/>
      </c>
      <c r="H29" s="10">
        <f>(E29+F29)/48</f>
        <v/>
      </c>
      <c r="I29" s="10">
        <f>(D29+E29)/48</f>
        <v/>
      </c>
      <c r="J29" s="10">
        <f>(D29+G29)/48</f>
        <v/>
      </c>
      <c r="K29" s="9">
        <f>IF(AND(H29&gt;=0.4,H29&lt;=0.6,I29&gt;=0.4,I29&lt;=0.6,J29&gt;=0.4,J29&lt;=0.6,MIN(D29:G29)&gt;=7.2),"是","否")</f>
        <v/>
      </c>
    </row>
    <row r="30">
      <c r="A30" s="9" t="inlineStr">
        <is>
          <t>核心 48 组</t>
        </is>
      </c>
      <c r="B30" s="9" t="inlineStr">
        <is>
          <t>i5</t>
        </is>
      </c>
      <c r="C30" s="9" t="n">
        <v>9</v>
      </c>
      <c r="D30" s="9">
        <f>COUNTIF('96对'!$Y$2:$Y$49,"A")</f>
        <v/>
      </c>
      <c r="E30" s="9">
        <f>COUNTIF('96对'!$Y$2:$Y$49,"C")</f>
        <v/>
      </c>
      <c r="F30" s="9">
        <f>COUNTIF('96对'!$Y$2:$Y$49,"G")</f>
        <v/>
      </c>
      <c r="G30" s="9">
        <f>COUNTIF('96对'!$Y$2:$Y$49,"T")</f>
        <v/>
      </c>
      <c r="H30" s="10">
        <f>(E30+F30)/48</f>
        <v/>
      </c>
      <c r="I30" s="10">
        <f>(D30+E30)/48</f>
        <v/>
      </c>
      <c r="J30" s="10">
        <f>(D30+G30)/48</f>
        <v/>
      </c>
      <c r="K30" s="9">
        <f>IF(AND(H30&gt;=0.4,H30&lt;=0.6,I30&gt;=0.4,I30&lt;=0.6,J30&gt;=0.4,J30&lt;=0.6,MIN(D30:G30)&gt;=7.2),"是","否")</f>
        <v/>
      </c>
    </row>
    <row r="31">
      <c r="A31" s="9" t="inlineStr">
        <is>
          <t>核心 48 组</t>
        </is>
      </c>
      <c r="B31" s="9" t="inlineStr">
        <is>
          <t>i5</t>
        </is>
      </c>
      <c r="C31" s="9" t="n">
        <v>10</v>
      </c>
      <c r="D31" s="9">
        <f>COUNTIF('96对'!$Z$2:$Z$49,"A")</f>
        <v/>
      </c>
      <c r="E31" s="9">
        <f>COUNTIF('96对'!$Z$2:$Z$49,"C")</f>
        <v/>
      </c>
      <c r="F31" s="9">
        <f>COUNTIF('96对'!$Z$2:$Z$49,"G")</f>
        <v/>
      </c>
      <c r="G31" s="9">
        <f>COUNTIF('96对'!$Z$2:$Z$49,"T")</f>
        <v/>
      </c>
      <c r="H31" s="10">
        <f>(E31+F31)/48</f>
        <v/>
      </c>
      <c r="I31" s="10">
        <f>(D31+E31)/48</f>
        <v/>
      </c>
      <c r="J31" s="10">
        <f>(D31+G31)/48</f>
        <v/>
      </c>
      <c r="K31" s="9">
        <f>IF(AND(H31&gt;=0.4,H31&lt;=0.6,I31&gt;=0.4,I31&lt;=0.6,J31&gt;=0.4,J31&lt;=0.6,MIN(D31:G31)&gt;=7.2),"是","否")</f>
        <v/>
      </c>
    </row>
    <row r="32">
      <c r="A32" s="9" t="inlineStr">
        <is>
          <t>核心 48 组</t>
        </is>
      </c>
      <c r="B32" s="9" t="inlineStr">
        <is>
          <t>i7</t>
        </is>
      </c>
      <c r="C32" s="9" t="n">
        <v>1</v>
      </c>
      <c r="D32" s="9">
        <f>COUNTIF('96对'!$AA$2:$AA$49,"A")</f>
        <v/>
      </c>
      <c r="E32" s="9">
        <f>COUNTIF('96对'!$AA$2:$AA$49,"C")</f>
        <v/>
      </c>
      <c r="F32" s="9">
        <f>COUNTIF('96对'!$AA$2:$AA$49,"G")</f>
        <v/>
      </c>
      <c r="G32" s="9">
        <f>COUNTIF('96对'!$AA$2:$AA$49,"T")</f>
        <v/>
      </c>
      <c r="H32" s="10">
        <f>(E32+F32)/48</f>
        <v/>
      </c>
      <c r="I32" s="10">
        <f>(D32+E32)/48</f>
        <v/>
      </c>
      <c r="J32" s="10">
        <f>(D32+G32)/48</f>
        <v/>
      </c>
      <c r="K32" s="9">
        <f>IF(AND(H32&gt;=0.4,H32&lt;=0.6,I32&gt;=0.4,I32&lt;=0.6,J32&gt;=0.4,J32&lt;=0.6,MIN(D32:G32)&gt;=7.2),"是","否")</f>
        <v/>
      </c>
    </row>
    <row r="33">
      <c r="A33" s="9" t="inlineStr">
        <is>
          <t>核心 48 组</t>
        </is>
      </c>
      <c r="B33" s="9" t="inlineStr">
        <is>
          <t>i7</t>
        </is>
      </c>
      <c r="C33" s="9" t="n">
        <v>2</v>
      </c>
      <c r="D33" s="9">
        <f>COUNTIF('96对'!$AB$2:$AB$49,"A")</f>
        <v/>
      </c>
      <c r="E33" s="9">
        <f>COUNTIF('96对'!$AB$2:$AB$49,"C")</f>
        <v/>
      </c>
      <c r="F33" s="9">
        <f>COUNTIF('96对'!$AB$2:$AB$49,"G")</f>
        <v/>
      </c>
      <c r="G33" s="9">
        <f>COUNTIF('96对'!$AB$2:$AB$49,"T")</f>
        <v/>
      </c>
      <c r="H33" s="10">
        <f>(E33+F33)/48</f>
        <v/>
      </c>
      <c r="I33" s="10">
        <f>(D33+E33)/48</f>
        <v/>
      </c>
      <c r="J33" s="10">
        <f>(D33+G33)/48</f>
        <v/>
      </c>
      <c r="K33" s="9">
        <f>IF(AND(H33&gt;=0.4,H33&lt;=0.6,I33&gt;=0.4,I33&lt;=0.6,J33&gt;=0.4,J33&lt;=0.6,MIN(D33:G33)&gt;=7.2),"是","否")</f>
        <v/>
      </c>
    </row>
    <row r="34">
      <c r="A34" s="9" t="inlineStr">
        <is>
          <t>核心 48 组</t>
        </is>
      </c>
      <c r="B34" s="9" t="inlineStr">
        <is>
          <t>i7</t>
        </is>
      </c>
      <c r="C34" s="9" t="n">
        <v>3</v>
      </c>
      <c r="D34" s="9">
        <f>COUNTIF('96对'!$AC$2:$AC$49,"A")</f>
        <v/>
      </c>
      <c r="E34" s="9">
        <f>COUNTIF('96对'!$AC$2:$AC$49,"C")</f>
        <v/>
      </c>
      <c r="F34" s="9">
        <f>COUNTIF('96对'!$AC$2:$AC$49,"G")</f>
        <v/>
      </c>
      <c r="G34" s="9">
        <f>COUNTIF('96对'!$AC$2:$AC$49,"T")</f>
        <v/>
      </c>
      <c r="H34" s="10">
        <f>(E34+F34)/48</f>
        <v/>
      </c>
      <c r="I34" s="10">
        <f>(D34+E34)/48</f>
        <v/>
      </c>
      <c r="J34" s="10">
        <f>(D34+G34)/48</f>
        <v/>
      </c>
      <c r="K34" s="9">
        <f>IF(AND(H34&gt;=0.4,H34&lt;=0.6,I34&gt;=0.4,I34&lt;=0.6,J34&gt;=0.4,J34&lt;=0.6,MIN(D34:G34)&gt;=7.2),"是","否")</f>
        <v/>
      </c>
    </row>
    <row r="35">
      <c r="A35" s="9" t="inlineStr">
        <is>
          <t>核心 48 组</t>
        </is>
      </c>
      <c r="B35" s="9" t="inlineStr">
        <is>
          <t>i7</t>
        </is>
      </c>
      <c r="C35" s="9" t="n">
        <v>4</v>
      </c>
      <c r="D35" s="9">
        <f>COUNTIF('96对'!$AD$2:$AD$49,"A")</f>
        <v/>
      </c>
      <c r="E35" s="9">
        <f>COUNTIF('96对'!$AD$2:$AD$49,"C")</f>
        <v/>
      </c>
      <c r="F35" s="9">
        <f>COUNTIF('96对'!$AD$2:$AD$49,"G")</f>
        <v/>
      </c>
      <c r="G35" s="9">
        <f>COUNTIF('96对'!$AD$2:$AD$49,"T")</f>
        <v/>
      </c>
      <c r="H35" s="10">
        <f>(E35+F35)/48</f>
        <v/>
      </c>
      <c r="I35" s="10">
        <f>(D35+E35)/48</f>
        <v/>
      </c>
      <c r="J35" s="10">
        <f>(D35+G35)/48</f>
        <v/>
      </c>
      <c r="K35" s="9">
        <f>IF(AND(H35&gt;=0.4,H35&lt;=0.6,I35&gt;=0.4,I35&lt;=0.6,J35&gt;=0.4,J35&lt;=0.6,MIN(D35:G35)&gt;=7.2),"是","否")</f>
        <v/>
      </c>
    </row>
    <row r="36">
      <c r="A36" s="9" t="inlineStr">
        <is>
          <t>核心 48 组</t>
        </is>
      </c>
      <c r="B36" s="9" t="inlineStr">
        <is>
          <t>i7</t>
        </is>
      </c>
      <c r="C36" s="9" t="n">
        <v>5</v>
      </c>
      <c r="D36" s="9">
        <f>COUNTIF('96对'!$AE$2:$AE$49,"A")</f>
        <v/>
      </c>
      <c r="E36" s="9">
        <f>COUNTIF('96对'!$AE$2:$AE$49,"C")</f>
        <v/>
      </c>
      <c r="F36" s="9">
        <f>COUNTIF('96对'!$AE$2:$AE$49,"G")</f>
        <v/>
      </c>
      <c r="G36" s="9">
        <f>COUNTIF('96对'!$AE$2:$AE$49,"T")</f>
        <v/>
      </c>
      <c r="H36" s="10">
        <f>(E36+F36)/48</f>
        <v/>
      </c>
      <c r="I36" s="10">
        <f>(D36+E36)/48</f>
        <v/>
      </c>
      <c r="J36" s="10">
        <f>(D36+G36)/48</f>
        <v/>
      </c>
      <c r="K36" s="9">
        <f>IF(AND(H36&gt;=0.4,H36&lt;=0.6,I36&gt;=0.4,I36&lt;=0.6,J36&gt;=0.4,J36&lt;=0.6,MIN(D36:G36)&gt;=7.2),"是","否")</f>
        <v/>
      </c>
    </row>
    <row r="37">
      <c r="A37" s="9" t="inlineStr">
        <is>
          <t>核心 48 组</t>
        </is>
      </c>
      <c r="B37" s="9" t="inlineStr">
        <is>
          <t>i7</t>
        </is>
      </c>
      <c r="C37" s="9" t="n">
        <v>6</v>
      </c>
      <c r="D37" s="9">
        <f>COUNTIF('96对'!$AF$2:$AF$49,"A")</f>
        <v/>
      </c>
      <c r="E37" s="9">
        <f>COUNTIF('96对'!$AF$2:$AF$49,"C")</f>
        <v/>
      </c>
      <c r="F37" s="9">
        <f>COUNTIF('96对'!$AF$2:$AF$49,"G")</f>
        <v/>
      </c>
      <c r="G37" s="9">
        <f>COUNTIF('96对'!$AF$2:$AF$49,"T")</f>
        <v/>
      </c>
      <c r="H37" s="10">
        <f>(E37+F37)/48</f>
        <v/>
      </c>
      <c r="I37" s="10">
        <f>(D37+E37)/48</f>
        <v/>
      </c>
      <c r="J37" s="10">
        <f>(D37+G37)/48</f>
        <v/>
      </c>
      <c r="K37" s="9">
        <f>IF(AND(H37&gt;=0.4,H37&lt;=0.6,I37&gt;=0.4,I37&lt;=0.6,J37&gt;=0.4,J37&lt;=0.6,MIN(D37:G37)&gt;=7.2),"是","否")</f>
        <v/>
      </c>
    </row>
    <row r="38">
      <c r="A38" s="9" t="inlineStr">
        <is>
          <t>核心 48 组</t>
        </is>
      </c>
      <c r="B38" s="9" t="inlineStr">
        <is>
          <t>i7</t>
        </is>
      </c>
      <c r="C38" s="9" t="n">
        <v>7</v>
      </c>
      <c r="D38" s="9">
        <f>COUNTIF('96对'!$AG$2:$AG$49,"A")</f>
        <v/>
      </c>
      <c r="E38" s="9">
        <f>COUNTIF('96对'!$AG$2:$AG$49,"C")</f>
        <v/>
      </c>
      <c r="F38" s="9">
        <f>COUNTIF('96对'!$AG$2:$AG$49,"G")</f>
        <v/>
      </c>
      <c r="G38" s="9">
        <f>COUNTIF('96对'!$AG$2:$AG$49,"T")</f>
        <v/>
      </c>
      <c r="H38" s="10">
        <f>(E38+F38)/48</f>
        <v/>
      </c>
      <c r="I38" s="10">
        <f>(D38+E38)/48</f>
        <v/>
      </c>
      <c r="J38" s="10">
        <f>(D38+G38)/48</f>
        <v/>
      </c>
      <c r="K38" s="9">
        <f>IF(AND(H38&gt;=0.4,H38&lt;=0.6,I38&gt;=0.4,I38&lt;=0.6,J38&gt;=0.4,J38&lt;=0.6,MIN(D38:G38)&gt;=7.2),"是","否")</f>
        <v/>
      </c>
    </row>
    <row r="39">
      <c r="A39" s="9" t="inlineStr">
        <is>
          <t>核心 48 组</t>
        </is>
      </c>
      <c r="B39" s="9" t="inlineStr">
        <is>
          <t>i7</t>
        </is>
      </c>
      <c r="C39" s="9" t="n">
        <v>8</v>
      </c>
      <c r="D39" s="9">
        <f>COUNTIF('96对'!$AH$2:$AH$49,"A")</f>
        <v/>
      </c>
      <c r="E39" s="9">
        <f>COUNTIF('96对'!$AH$2:$AH$49,"C")</f>
        <v/>
      </c>
      <c r="F39" s="9">
        <f>COUNTIF('96对'!$AH$2:$AH$49,"G")</f>
        <v/>
      </c>
      <c r="G39" s="9">
        <f>COUNTIF('96对'!$AH$2:$AH$49,"T")</f>
        <v/>
      </c>
      <c r="H39" s="10">
        <f>(E39+F39)/48</f>
        <v/>
      </c>
      <c r="I39" s="10">
        <f>(D39+E39)/48</f>
        <v/>
      </c>
      <c r="J39" s="10">
        <f>(D39+G39)/48</f>
        <v/>
      </c>
      <c r="K39" s="9">
        <f>IF(AND(H39&gt;=0.4,H39&lt;=0.6,I39&gt;=0.4,I39&lt;=0.6,J39&gt;=0.4,J39&lt;=0.6,MIN(D39:G39)&gt;=7.2),"是","否")</f>
        <v/>
      </c>
    </row>
    <row r="40">
      <c r="A40" s="9" t="inlineStr">
        <is>
          <t>核心 48 组</t>
        </is>
      </c>
      <c r="B40" s="9" t="inlineStr">
        <is>
          <t>i7</t>
        </is>
      </c>
      <c r="C40" s="9" t="n">
        <v>9</v>
      </c>
      <c r="D40" s="9">
        <f>COUNTIF('96对'!$AI$2:$AI$49,"A")</f>
        <v/>
      </c>
      <c r="E40" s="9">
        <f>COUNTIF('96对'!$AI$2:$AI$49,"C")</f>
        <v/>
      </c>
      <c r="F40" s="9">
        <f>COUNTIF('96对'!$AI$2:$AI$49,"G")</f>
        <v/>
      </c>
      <c r="G40" s="9">
        <f>COUNTIF('96对'!$AI$2:$AI$49,"T")</f>
        <v/>
      </c>
      <c r="H40" s="10">
        <f>(E40+F40)/48</f>
        <v/>
      </c>
      <c r="I40" s="10">
        <f>(D40+E40)/48</f>
        <v/>
      </c>
      <c r="J40" s="10">
        <f>(D40+G40)/48</f>
        <v/>
      </c>
      <c r="K40" s="9">
        <f>IF(AND(H40&gt;=0.4,H40&lt;=0.6,I40&gt;=0.4,I40&lt;=0.6,J40&gt;=0.4,J40&lt;=0.6,MIN(D40:G40)&gt;=7.2),"是","否")</f>
        <v/>
      </c>
    </row>
    <row r="41">
      <c r="A41" s="9" t="inlineStr">
        <is>
          <t>核心 48 组</t>
        </is>
      </c>
      <c r="B41" s="9" t="inlineStr">
        <is>
          <t>i7</t>
        </is>
      </c>
      <c r="C41" s="9" t="n">
        <v>10</v>
      </c>
      <c r="D41" s="9">
        <f>COUNTIF('96对'!$AJ$2:$AJ$49,"A")</f>
        <v/>
      </c>
      <c r="E41" s="9">
        <f>COUNTIF('96对'!$AJ$2:$AJ$49,"C")</f>
        <v/>
      </c>
      <c r="F41" s="9">
        <f>COUNTIF('96对'!$AJ$2:$AJ$49,"G")</f>
        <v/>
      </c>
      <c r="G41" s="9">
        <f>COUNTIF('96对'!$AJ$2:$AJ$49,"T")</f>
        <v/>
      </c>
      <c r="H41" s="10">
        <f>(E41+F41)/48</f>
        <v/>
      </c>
      <c r="I41" s="10">
        <f>(D41+E41)/48</f>
        <v/>
      </c>
      <c r="J41" s="10">
        <f>(D41+G41)/48</f>
        <v/>
      </c>
      <c r="K41" s="9">
        <f>IF(AND(H41&gt;=0.4,H41&lt;=0.6,I41&gt;=0.4,I41&lt;=0.6,J41&gt;=0.4,J41&lt;=0.6,MIN(D41:G41)&gt;=7.2),"是","否")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2026-10-10T02:54:12Z</dcterms:created>
  <dcterms:modified xsi:type="dcterms:W3CDTF">2026-10-10T02:54:12Z</dcterms:modified>
</cp:coreProperties>
</file>