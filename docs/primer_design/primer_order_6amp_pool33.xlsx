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订购清单" sheetId="2" state="visible" r:id="rId2"/>
    <sheet name="位点汇总" sheetId="3" state="visible" r:id="rId3"/>
    <sheet name="扩增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2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16S 6 扩增子 5′重叠布局：33 条池订购清单</t>
        </is>
      </c>
    </row>
    <row r="2">
      <c r="A2" s="2" t="inlineStr"/>
    </row>
    <row r="3">
      <c r="A3" s="2" t="inlineStr">
        <is>
          <t>组成：每位点 1–3 条主引物 + 补充引物（后缀 s）；A1-F 用 Swift SNAP 的 V1_f（后缀 .SNAP，9–27）。共 33 条、212 个展开序列。</t>
        </is>
      </c>
    </row>
    <row r="4">
      <c r="A4" s="2" t="inlineStr">
        <is>
          <t>评估（与此前 B/C 方案同一评估器）：J 0.9182，准确率 0.9432，扩增子覆盖 0.8833，支原体≥3 扩增子 0.9280。</t>
        </is>
      </c>
    </row>
    <row r="5">
      <c r="A5" s="2" t="inlineStr">
        <is>
          <t>订购清单：蓝色为输入（序列、展开数、每位点总量）；加入体积按展开数分配，有补充引物的位点主引物占 90%、补充占 10%。每位点总量默认 2.5 µL（100 µM 母液；100 µL 10× 混合物），可在“订购清单”B1 修改。</t>
        </is>
      </c>
    </row>
    <row r="6">
      <c r="A6" s="2" t="inlineStr">
        <is>
          <t>简并碱基：R=A/G Y=C/T S=G/C W=A/T K=G/T M=A/C B=C/G/T D=A/G/T H=A/C/T V=A/C/G N=任意。订购时请选“混合碱基”合成，不要拆成单条。</t>
        </is>
      </c>
    </row>
    <row r="7">
      <c r="A7" s="2" t="inlineStr">
        <is>
          <t>Tm：50 mM Na⁺、2 mM Mg²⁺、0.2 mM dNTP、250 nM 引物，按所有展开序列取范围。人基因组脱靶：hg19，≤2 错配、3′端 8 nt 完全匹配；A1-F.SNAP 未单独扫描；猪基因组需另行扫描。</t>
        </is>
      </c>
    </row>
    <row r="8">
      <c r="A8" s="2" t="inlineStr">
        <is>
          <t>已知弱点：Neisseria 的 A1 约 25%、A5 约 75%；Veillonella 的 A1–A5 在 71–89%；Blautia/Ruminococcus 的 A1 约 79%；古菌基本不被扩增；Bifidobacterium 的 A1 因 8–19 位缺数据无法在扩增子层面评估（位点层面见补充 A1-R.9s）。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0" customWidth="1" min="4" max="4"/>
    <col width="44" customWidth="1" min="5" max="5"/>
    <col width="12" customWidth="1" min="6" max="6"/>
    <col width="8" customWidth="1" min="7" max="7"/>
    <col width="8" customWidth="1" min="8" max="8"/>
    <col width="12" customWidth="1" min="9" max="9"/>
    <col width="26" customWidth="1" min="10" max="10"/>
    <col width="6" customWidth="1" min="11" max="11"/>
    <col width="12" customWidth="1" min="12" max="12"/>
    <col width="12" customWidth="1" min="13" max="13"/>
    <col width="40" customWidth="1" min="14" max="14"/>
  </cols>
  <sheetData>
    <row r="1">
      <c r="A1" s="3" t="inlineStr">
        <is>
          <t>每位点总量 µL（可改）</t>
        </is>
      </c>
      <c r="B1" s="4" t="n">
        <v>2.5</v>
      </c>
    </row>
    <row r="3">
      <c r="A3" s="5" t="inlineStr">
        <is>
          <t>序号</t>
        </is>
      </c>
      <c r="B3" s="5" t="inlineStr">
        <is>
          <t>名称</t>
        </is>
      </c>
      <c r="C3" s="5" t="inlineStr">
        <is>
          <t>位点</t>
        </is>
      </c>
      <c r="D3" s="5" t="inlineStr">
        <is>
          <t>类型</t>
        </is>
      </c>
      <c r="E3" s="5" t="inlineStr">
        <is>
          <t>5′→3′序列</t>
        </is>
      </c>
      <c r="F3" s="5" t="inlineStr">
        <is>
          <t>位置</t>
        </is>
      </c>
      <c r="G3" s="5" t="inlineStr">
        <is>
          <t>长度nt</t>
        </is>
      </c>
      <c r="H3" s="5" t="inlineStr">
        <is>
          <t>展开数</t>
        </is>
      </c>
      <c r="I3" s="5" t="inlineStr">
        <is>
          <t>Tm范围°C</t>
        </is>
      </c>
      <c r="J3" s="5" t="inlineStr">
        <is>
          <t>人基因组≤2错配位点数</t>
        </is>
      </c>
      <c r="K3" s="5" t="inlineStr">
        <is>
          <t>组</t>
        </is>
      </c>
      <c r="L3" s="5" t="inlineStr">
        <is>
          <t>占位点比例</t>
        </is>
      </c>
      <c r="M3" s="5" t="inlineStr">
        <is>
          <t>加入体积 µL</t>
        </is>
      </c>
      <c r="N3" s="5" t="inlineStr">
        <is>
          <t>备注</t>
        </is>
      </c>
    </row>
    <row r="4">
      <c r="A4" s="6" t="n">
        <v>1</v>
      </c>
      <c r="B4" s="6" t="inlineStr">
        <is>
          <t>16S-A1-F.SNAP</t>
        </is>
      </c>
      <c r="C4" s="6" t="inlineStr">
        <is>
          <t>A1-F</t>
        </is>
      </c>
      <c r="D4" s="6" t="inlineStr">
        <is>
          <t>主引物（SNAP V1_f）</t>
        </is>
      </c>
      <c r="E4" s="4" t="inlineStr">
        <is>
          <t>GAGTTTGATCMTGGCTCAG</t>
        </is>
      </c>
      <c r="F4" s="6" t="inlineStr">
        <is>
          <t>9–27</t>
        </is>
      </c>
      <c r="G4" s="6" t="n">
        <v>19</v>
      </c>
      <c r="H4" s="4" t="n">
        <v>2</v>
      </c>
      <c r="I4" s="6" t="inlineStr">
        <is>
          <t>57.1–58.9</t>
        </is>
      </c>
      <c r="J4" s="6" t="inlineStr">
        <is>
          <t>未单独扫描（此前评估比 A1-F.1–.3 低约 10 倍）</t>
        </is>
      </c>
      <c r="K4" s="6" t="inlineStr">
        <is>
          <t>主</t>
        </is>
      </c>
      <c r="L4" s="7">
        <f>IF(COUNTIFS($C$4:$C$36,C4,$K$4:$K$36,"补")=0,1,IF(K4="补",0.1,0.9))*H4/SUMIFS($H$4:$H$36,$C$4:$C$36,C4,$K$4:$K$36,K4)</f>
        <v/>
      </c>
      <c r="M4" s="8">
        <f>L4*$B$1</f>
        <v/>
      </c>
      <c r="N4" s="6" t="inlineStr">
        <is>
          <t>Swift SNAP V1_f（9–27），替代 A1-F.1–.3，人基因组脱靶更低</t>
        </is>
      </c>
    </row>
    <row r="5">
      <c r="A5" s="6" t="n">
        <v>2</v>
      </c>
      <c r="B5" s="6" t="inlineStr">
        <is>
          <t>16S-A1-R.1</t>
        </is>
      </c>
      <c r="C5" s="6" t="inlineStr">
        <is>
          <t>A1-R</t>
        </is>
      </c>
      <c r="D5" s="6" t="inlineStr">
        <is>
          <t>主引物</t>
        </is>
      </c>
      <c r="E5" s="4" t="inlineStr">
        <is>
          <t>GTTACCYCACCAACWARCT</t>
        </is>
      </c>
      <c r="F5" s="6" t="inlineStr">
        <is>
          <t>246–264</t>
        </is>
      </c>
      <c r="G5" s="6" t="n">
        <v>19</v>
      </c>
      <c r="H5" s="4" t="n">
        <v>8</v>
      </c>
      <c r="I5" s="6" t="inlineStr">
        <is>
          <t>55.1–61.3</t>
        </is>
      </c>
      <c r="J5" s="6" t="inlineStr">
        <is>
          <t>49</t>
        </is>
      </c>
      <c r="K5" s="6" t="inlineStr">
        <is>
          <t>主</t>
        </is>
      </c>
      <c r="L5" s="7">
        <f>IF(COUNTIFS($C$4:$C$36,C5,$K$4:$K$36,"补")=0,1,IF(K5="补",0.1,0.9))*H5/SUMIFS($H$4:$H$36,$C$4:$C$36,C5,$K$4:$K$36,K5)</f>
        <v/>
      </c>
      <c r="M5" s="8">
        <f>L5*$B$1</f>
        <v/>
      </c>
      <c r="N5" s="6" t="inlineStr"/>
    </row>
    <row r="6">
      <c r="A6" s="6" t="n">
        <v>3</v>
      </c>
      <c r="B6" s="6" t="inlineStr">
        <is>
          <t>16S-A1-R.2</t>
        </is>
      </c>
      <c r="C6" s="6" t="inlineStr">
        <is>
          <t>A1-R</t>
        </is>
      </c>
      <c r="D6" s="6" t="inlineStr">
        <is>
          <t>主引物</t>
        </is>
      </c>
      <c r="E6" s="4" t="inlineStr">
        <is>
          <t>GTTACCCCRCCAACTABCT</t>
        </is>
      </c>
      <c r="F6" s="6" t="inlineStr">
        <is>
          <t>246–264</t>
        </is>
      </c>
      <c r="G6" s="6" t="n">
        <v>19</v>
      </c>
      <c r="H6" s="4" t="n">
        <v>6</v>
      </c>
      <c r="I6" s="6" t="inlineStr">
        <is>
          <t>57.1–63.1</t>
        </is>
      </c>
      <c r="J6" s="6" t="inlineStr">
        <is>
          <t>18</t>
        </is>
      </c>
      <c r="K6" s="6" t="inlineStr">
        <is>
          <t>主</t>
        </is>
      </c>
      <c r="L6" s="7">
        <f>IF(COUNTIFS($C$4:$C$36,C6,$K$4:$K$36,"补")=0,1,IF(K6="补",0.1,0.9))*H6/SUMIFS($H$4:$H$36,$C$4:$C$36,C6,$K$4:$K$36,K6)</f>
        <v/>
      </c>
      <c r="M6" s="8">
        <f>L6*$B$1</f>
        <v/>
      </c>
      <c r="N6" s="6" t="inlineStr"/>
    </row>
    <row r="7">
      <c r="A7" s="6" t="n">
        <v>4</v>
      </c>
      <c r="B7" s="6" t="inlineStr">
        <is>
          <t>16S-A1-R.3</t>
        </is>
      </c>
      <c r="C7" s="6" t="inlineStr">
        <is>
          <t>A1-R</t>
        </is>
      </c>
      <c r="D7" s="6" t="inlineStr">
        <is>
          <t>主引物</t>
        </is>
      </c>
      <c r="E7" s="4" t="inlineStr">
        <is>
          <t>CGTTACCYTACCAACTARYT</t>
        </is>
      </c>
      <c r="F7" s="6" t="inlineStr">
        <is>
          <t>246–265</t>
        </is>
      </c>
      <c r="G7" s="6" t="n">
        <v>20</v>
      </c>
      <c r="H7" s="4" t="n">
        <v>8</v>
      </c>
      <c r="I7" s="6" t="inlineStr">
        <is>
          <t>54.0–59.9</t>
        </is>
      </c>
      <c r="J7" s="6" t="inlineStr">
        <is>
          <t>10</t>
        </is>
      </c>
      <c r="K7" s="6" t="inlineStr">
        <is>
          <t>主</t>
        </is>
      </c>
      <c r="L7" s="7">
        <f>IF(COUNTIFS($C$4:$C$36,C7,$K$4:$K$36,"补")=0,1,IF(K7="补",0.1,0.9))*H7/SUMIFS($H$4:$H$36,$C$4:$C$36,C7,$K$4:$K$36,K7)</f>
        <v/>
      </c>
      <c r="M7" s="8">
        <f>L7*$B$1</f>
        <v/>
      </c>
      <c r="N7" s="6" t="inlineStr"/>
    </row>
    <row r="8">
      <c r="A8" s="6" t="n">
        <v>5</v>
      </c>
      <c r="B8" s="6" t="inlineStr">
        <is>
          <t>16S-A1-R.4</t>
        </is>
      </c>
      <c r="C8" s="6" t="inlineStr">
        <is>
          <t>A1-R</t>
        </is>
      </c>
      <c r="D8" s="6" t="inlineStr">
        <is>
          <t>主引物</t>
        </is>
      </c>
      <c r="E8" s="4" t="inlineStr">
        <is>
          <t>CATTACCCYACCAACTARYT</t>
        </is>
      </c>
      <c r="F8" s="6" t="inlineStr">
        <is>
          <t>246–265</t>
        </is>
      </c>
      <c r="G8" s="6" t="n">
        <v>20</v>
      </c>
      <c r="H8" s="4" t="n">
        <v>8</v>
      </c>
      <c r="I8" s="6" t="inlineStr">
        <is>
          <t>53.3–60.5</t>
        </is>
      </c>
      <c r="J8" s="6" t="inlineStr">
        <is>
          <t>25</t>
        </is>
      </c>
      <c r="K8" s="6" t="inlineStr">
        <is>
          <t>主</t>
        </is>
      </c>
      <c r="L8" s="7">
        <f>IF(COUNTIFS($C$4:$C$36,C8,$K$4:$K$36,"补")=0,1,IF(K8="补",0.1,0.9))*H8/SUMIFS($H$4:$H$36,$C$4:$C$36,C8,$K$4:$K$36,K8)</f>
        <v/>
      </c>
      <c r="M8" s="8">
        <f>L8*$B$1</f>
        <v/>
      </c>
      <c r="N8" s="6" t="inlineStr"/>
    </row>
    <row r="9">
      <c r="A9" s="6" t="n">
        <v>6</v>
      </c>
      <c r="B9" s="6" t="inlineStr">
        <is>
          <t>16S-A1-R.7s</t>
        </is>
      </c>
      <c r="C9" s="6" t="inlineStr">
        <is>
          <t>A1-R</t>
        </is>
      </c>
      <c r="D9" s="6" t="inlineStr">
        <is>
          <t>补充</t>
        </is>
      </c>
      <c r="E9" s="4" t="inlineStr">
        <is>
          <t>GTTACCCCGCCRWCWAGCT</t>
        </is>
      </c>
      <c r="F9" s="6" t="inlineStr">
        <is>
          <t>246–264</t>
        </is>
      </c>
      <c r="G9" s="6" t="n">
        <v>19</v>
      </c>
      <c r="H9" s="4" t="n">
        <v>8</v>
      </c>
      <c r="I9" s="6" t="inlineStr">
        <is>
          <t>62.6–66.3</t>
        </is>
      </c>
      <c r="J9" s="6" t="inlineStr">
        <is>
          <t>12</t>
        </is>
      </c>
      <c r="K9" s="6" t="inlineStr">
        <is>
          <t>补</t>
        </is>
      </c>
      <c r="L9" s="7">
        <f>IF(COUNTIFS($C$4:$C$36,C9,$K$4:$K$36,"补")=0,1,IF(K9="补",0.1,0.9))*H9/SUMIFS($H$4:$H$36,$C$4:$C$36,C9,$K$4:$K$36,K9)</f>
        <v/>
      </c>
      <c r="M9" s="8">
        <f>L9*$B$1</f>
        <v/>
      </c>
      <c r="N9" s="6" t="inlineStr">
        <is>
          <t>Prevotella/拟杆菌门</t>
        </is>
      </c>
    </row>
    <row r="10">
      <c r="A10" s="6" t="n">
        <v>7</v>
      </c>
      <c r="B10" s="6" t="inlineStr">
        <is>
          <t>16S-A1-R.8s</t>
        </is>
      </c>
      <c r="C10" s="6" t="inlineStr">
        <is>
          <t>A1-R</t>
        </is>
      </c>
      <c r="D10" s="6" t="inlineStr">
        <is>
          <t>补充</t>
        </is>
      </c>
      <c r="E10" s="4" t="inlineStr">
        <is>
          <t>GTTACCCCGCCWRCTRCCT</t>
        </is>
      </c>
      <c r="F10" s="6" t="inlineStr">
        <is>
          <t>246–264</t>
        </is>
      </c>
      <c r="G10" s="6" t="n">
        <v>19</v>
      </c>
      <c r="H10" s="4" t="n">
        <v>8</v>
      </c>
      <c r="I10" s="6" t="inlineStr">
        <is>
          <t>61.5–68.6</t>
        </is>
      </c>
      <c r="J10" s="6" t="inlineStr">
        <is>
          <t>43</t>
        </is>
      </c>
      <c r="K10" s="6" t="inlineStr">
        <is>
          <t>补</t>
        </is>
      </c>
      <c r="L10" s="7">
        <f>IF(COUNTIFS($C$4:$C$36,C10,$K$4:$K$36,"补")=0,1,IF(K10="补",0.1,0.9))*H10/SUMIFS($H$4:$H$36,$C$4:$C$36,C10,$K$4:$K$36,K10)</f>
        <v/>
      </c>
      <c r="M10" s="8">
        <f>L10*$B$1</f>
        <v/>
      </c>
      <c r="N10" s="6" t="inlineStr">
        <is>
          <t>Prevotella/拟杆菌门</t>
        </is>
      </c>
    </row>
    <row r="11">
      <c r="A11" s="6" t="n">
        <v>8</v>
      </c>
      <c r="B11" s="6" t="inlineStr">
        <is>
          <t>16S-A1-R.9s</t>
        </is>
      </c>
      <c r="C11" s="6" t="inlineStr">
        <is>
          <t>A1-R</t>
        </is>
      </c>
      <c r="D11" s="6" t="inlineStr">
        <is>
          <t>补充</t>
        </is>
      </c>
      <c r="E11" s="4" t="inlineStr">
        <is>
          <t>GTCACCCCGCCAWCAAGCT</t>
        </is>
      </c>
      <c r="F11" s="6" t="inlineStr">
        <is>
          <t>246–264</t>
        </is>
      </c>
      <c r="G11" s="6" t="n">
        <v>19</v>
      </c>
      <c r="H11" s="4" t="n">
        <v>2</v>
      </c>
      <c r="I11" s="6" t="inlineStr">
        <is>
          <t>66.4–66.9</t>
        </is>
      </c>
      <c r="J11" s="6" t="inlineStr">
        <is>
          <t>5</t>
        </is>
      </c>
      <c r="K11" s="6" t="inlineStr">
        <is>
          <t>补</t>
        </is>
      </c>
      <c r="L11" s="7">
        <f>IF(COUNTIFS($C$4:$C$36,C11,$K$4:$K$36,"补")=0,1,IF(K11="补",0.1,0.9))*H11/SUMIFS($H$4:$H$36,$C$4:$C$36,C11,$K$4:$K$36,K11)</f>
        <v/>
      </c>
      <c r="M11" s="8">
        <f>L11*$B$1</f>
        <v/>
      </c>
      <c r="N11" s="6" t="inlineStr">
        <is>
          <t>Bifidobacterium</t>
        </is>
      </c>
    </row>
    <row r="12">
      <c r="A12" s="6" t="n">
        <v>9</v>
      </c>
      <c r="B12" s="6" t="inlineStr">
        <is>
          <t>16S-A2-F.1</t>
        </is>
      </c>
      <c r="C12" s="6" t="inlineStr">
        <is>
          <t>A2-F</t>
        </is>
      </c>
      <c r="D12" s="6" t="inlineStr">
        <is>
          <t>主引物</t>
        </is>
      </c>
      <c r="E12" s="4" t="inlineStr">
        <is>
          <t>CAYKGGGACTGAGACACKG</t>
        </is>
      </c>
      <c r="F12" s="6" t="inlineStr">
        <is>
          <t>314–332</t>
        </is>
      </c>
      <c r="G12" s="6" t="n">
        <v>19</v>
      </c>
      <c r="H12" s="4" t="n">
        <v>8</v>
      </c>
      <c r="I12" s="6" t="inlineStr">
        <is>
          <t>58.8–65.9</t>
        </is>
      </c>
      <c r="J12" s="6" t="inlineStr">
        <is>
          <t>95</t>
        </is>
      </c>
      <c r="K12" s="6" t="inlineStr">
        <is>
          <t>主</t>
        </is>
      </c>
      <c r="L12" s="7">
        <f>IF(COUNTIFS($C$4:$C$36,C12,$K$4:$K$36,"补")=0,1,IF(K12="补",0.1,0.9))*H12/SUMIFS($H$4:$H$36,$C$4:$C$36,C12,$K$4:$K$36,K12)</f>
        <v/>
      </c>
      <c r="M12" s="8">
        <f>L12*$B$1</f>
        <v/>
      </c>
      <c r="N12" s="6" t="inlineStr"/>
    </row>
    <row r="13">
      <c r="A13" s="6" t="n">
        <v>10</v>
      </c>
      <c r="B13" s="6" t="inlineStr">
        <is>
          <t>16S-A2-F.2</t>
        </is>
      </c>
      <c r="C13" s="6" t="inlineStr">
        <is>
          <t>A2-F</t>
        </is>
      </c>
      <c r="D13" s="6" t="inlineStr">
        <is>
          <t>主引物</t>
        </is>
      </c>
      <c r="E13" s="4" t="inlineStr">
        <is>
          <t>CACTGGRACTGARAYACGG</t>
        </is>
      </c>
      <c r="F13" s="6" t="inlineStr">
        <is>
          <t>314–332</t>
        </is>
      </c>
      <c r="G13" s="6" t="n">
        <v>19</v>
      </c>
      <c r="H13" s="4" t="n">
        <v>8</v>
      </c>
      <c r="I13" s="6" t="inlineStr">
        <is>
          <t>57.0–63.3</t>
        </is>
      </c>
      <c r="J13" s="6" t="inlineStr">
        <is>
          <t>27</t>
        </is>
      </c>
      <c r="K13" s="6" t="inlineStr">
        <is>
          <t>主</t>
        </is>
      </c>
      <c r="L13" s="7">
        <f>IF(COUNTIFS($C$4:$C$36,C13,$K$4:$K$36,"补")=0,1,IF(K13="补",0.1,0.9))*H13/SUMIFS($H$4:$H$36,$C$4:$C$36,C13,$K$4:$K$36,K13)</f>
        <v/>
      </c>
      <c r="M13" s="8">
        <f>L13*$B$1</f>
        <v/>
      </c>
      <c r="N13" s="6" t="inlineStr"/>
    </row>
    <row r="14">
      <c r="A14" s="6" t="n">
        <v>11</v>
      </c>
      <c r="B14" s="6" t="inlineStr">
        <is>
          <t>16S-A2-F.3</t>
        </is>
      </c>
      <c r="C14" s="6" t="inlineStr">
        <is>
          <t>A2-F</t>
        </is>
      </c>
      <c r="D14" s="6" t="inlineStr">
        <is>
          <t>主引物</t>
        </is>
      </c>
      <c r="E14" s="4" t="inlineStr">
        <is>
          <t>CARKGGRACTGAGACACGG</t>
        </is>
      </c>
      <c r="F14" s="6" t="inlineStr">
        <is>
          <t>314–332</t>
        </is>
      </c>
      <c r="G14" s="6" t="n">
        <v>19</v>
      </c>
      <c r="H14" s="4" t="n">
        <v>8</v>
      </c>
      <c r="I14" s="6" t="inlineStr">
        <is>
          <t>59.5–65.4</t>
        </is>
      </c>
      <c r="J14" s="6" t="inlineStr">
        <is>
          <t>36</t>
        </is>
      </c>
      <c r="K14" s="6" t="inlineStr">
        <is>
          <t>主</t>
        </is>
      </c>
      <c r="L14" s="7">
        <f>IF(COUNTIFS($C$4:$C$36,C14,$K$4:$K$36,"补")=0,1,IF(K14="补",0.1,0.9))*H14/SUMIFS($H$4:$H$36,$C$4:$C$36,C14,$K$4:$K$36,K14)</f>
        <v/>
      </c>
      <c r="M14" s="8">
        <f>L14*$B$1</f>
        <v/>
      </c>
      <c r="N14" s="6" t="inlineStr"/>
    </row>
    <row r="15">
      <c r="A15" s="6" t="n">
        <v>12</v>
      </c>
      <c r="B15" s="6" t="inlineStr">
        <is>
          <t>16S-A2-R.1</t>
        </is>
      </c>
      <c r="C15" s="6" t="inlineStr">
        <is>
          <t>A2-R</t>
        </is>
      </c>
      <c r="D15" s="6" t="inlineStr">
        <is>
          <t>主引物</t>
        </is>
      </c>
      <c r="E15" s="4" t="inlineStr">
        <is>
          <t>GCTGGCACGKARTTAGCCR</t>
        </is>
      </c>
      <c r="F15" s="6" t="inlineStr">
        <is>
          <t>504–522</t>
        </is>
      </c>
      <c r="G15" s="6" t="n">
        <v>19</v>
      </c>
      <c r="H15" s="4" t="n">
        <v>8</v>
      </c>
      <c r="I15" s="6" t="inlineStr">
        <is>
          <t>61.9–67.2</t>
        </is>
      </c>
      <c r="J15" s="6" t="inlineStr">
        <is>
          <t>28</t>
        </is>
      </c>
      <c r="K15" s="6" t="inlineStr">
        <is>
          <t>主</t>
        </is>
      </c>
      <c r="L15" s="7">
        <f>IF(COUNTIFS($C$4:$C$36,C15,$K$4:$K$36,"补")=0,1,IF(K15="补",0.1,0.9))*H15/SUMIFS($H$4:$H$36,$C$4:$C$36,C15,$K$4:$K$36,K15)</f>
        <v/>
      </c>
      <c r="M15" s="8">
        <f>L15*$B$1</f>
        <v/>
      </c>
      <c r="N15" s="6" t="inlineStr"/>
    </row>
    <row r="16">
      <c r="A16" s="6" t="n">
        <v>13</v>
      </c>
      <c r="B16" s="6" t="inlineStr">
        <is>
          <t>16S-A2-R.2</t>
        </is>
      </c>
      <c r="C16" s="6" t="inlineStr">
        <is>
          <t>A2-R</t>
        </is>
      </c>
      <c r="D16" s="6" t="inlineStr">
        <is>
          <t>主引物</t>
        </is>
      </c>
      <c r="E16" s="4" t="inlineStr">
        <is>
          <t>GCTGGCACGAASTTAGYCS</t>
        </is>
      </c>
      <c r="F16" s="6" t="inlineStr">
        <is>
          <t>504–522</t>
        </is>
      </c>
      <c r="G16" s="6" t="n">
        <v>19</v>
      </c>
      <c r="H16" s="4" t="n">
        <v>8</v>
      </c>
      <c r="I16" s="6" t="inlineStr">
        <is>
          <t>62.1–65.3</t>
        </is>
      </c>
      <c r="J16" s="6" t="inlineStr">
        <is>
          <t>7</t>
        </is>
      </c>
      <c r="K16" s="6" t="inlineStr">
        <is>
          <t>主</t>
        </is>
      </c>
      <c r="L16" s="7">
        <f>IF(COUNTIFS($C$4:$C$36,C16,$K$4:$K$36,"补")=0,1,IF(K16="补",0.1,0.9))*H16/SUMIFS($H$4:$H$36,$C$4:$C$36,C16,$K$4:$K$36,K16)</f>
        <v/>
      </c>
      <c r="M16" s="8">
        <f>L16*$B$1</f>
        <v/>
      </c>
      <c r="N16" s="6" t="inlineStr"/>
    </row>
    <row r="17">
      <c r="A17" s="6" t="n">
        <v>14</v>
      </c>
      <c r="B17" s="6" t="inlineStr">
        <is>
          <t>16S-A2-R.3</t>
        </is>
      </c>
      <c r="C17" s="6" t="inlineStr">
        <is>
          <t>A2-R</t>
        </is>
      </c>
      <c r="D17" s="6" t="inlineStr">
        <is>
          <t>主引物</t>
        </is>
      </c>
      <c r="E17" s="4" t="inlineStr">
        <is>
          <t>GCTGGCACAKAGTTAGYYG</t>
        </is>
      </c>
      <c r="F17" s="6" t="inlineStr">
        <is>
          <t>504–522</t>
        </is>
      </c>
      <c r="G17" s="6" t="n">
        <v>19</v>
      </c>
      <c r="H17" s="4" t="n">
        <v>8</v>
      </c>
      <c r="I17" s="6" t="inlineStr">
        <is>
          <t>57.4–64.7</t>
        </is>
      </c>
      <c r="J17" s="6" t="inlineStr">
        <is>
          <t>41</t>
        </is>
      </c>
      <c r="K17" s="6" t="inlineStr">
        <is>
          <t>主</t>
        </is>
      </c>
      <c r="L17" s="7">
        <f>IF(COUNTIFS($C$4:$C$36,C17,$K$4:$K$36,"补")=0,1,IF(K17="补",0.1,0.9))*H17/SUMIFS($H$4:$H$36,$C$4:$C$36,C17,$K$4:$K$36,K17)</f>
        <v/>
      </c>
      <c r="M17" s="8">
        <f>L17*$B$1</f>
        <v/>
      </c>
      <c r="N17" s="6" t="inlineStr"/>
    </row>
    <row r="18">
      <c r="A18" s="6" t="n">
        <v>15</v>
      </c>
      <c r="B18" s="6" t="inlineStr">
        <is>
          <t>16S-A3-F.1</t>
        </is>
      </c>
      <c r="C18" s="6" t="inlineStr">
        <is>
          <t>A3-F</t>
        </is>
      </c>
      <c r="D18" s="6" t="inlineStr">
        <is>
          <t>主引物</t>
        </is>
      </c>
      <c r="E18" s="4" t="inlineStr">
        <is>
          <t>CCAGCAGCCGCGGTAABWC</t>
        </is>
      </c>
      <c r="F18" s="6" t="inlineStr">
        <is>
          <t>518–536</t>
        </is>
      </c>
      <c r="G18" s="6" t="n">
        <v>19</v>
      </c>
      <c r="H18" s="4" t="n">
        <v>6</v>
      </c>
      <c r="I18" s="6" t="inlineStr">
        <is>
          <t>64.8–67.8</t>
        </is>
      </c>
      <c r="J18" s="6" t="inlineStr">
        <is>
          <t>10</t>
        </is>
      </c>
      <c r="K18" s="6" t="inlineStr">
        <is>
          <t>主</t>
        </is>
      </c>
      <c r="L18" s="7">
        <f>IF(COUNTIFS($C$4:$C$36,C18,$K$4:$K$36,"补")=0,1,IF(K18="补",0.1,0.9))*H18/SUMIFS($H$4:$H$36,$C$4:$C$36,C18,$K$4:$K$36,K18)</f>
        <v/>
      </c>
      <c r="M18" s="8">
        <f>L18*$B$1</f>
        <v/>
      </c>
      <c r="N18" s="6" t="inlineStr"/>
    </row>
    <row r="19">
      <c r="A19" s="6" t="n">
        <v>16</v>
      </c>
      <c r="B19" s="6" t="inlineStr">
        <is>
          <t>16S-A3-F.2</t>
        </is>
      </c>
      <c r="C19" s="6" t="inlineStr">
        <is>
          <t>A3-F</t>
        </is>
      </c>
      <c r="D19" s="6" t="inlineStr">
        <is>
          <t>主引物</t>
        </is>
      </c>
      <c r="E19" s="4" t="inlineStr">
        <is>
          <t>CCAGCAGCCGCGGTAAAAC</t>
        </is>
      </c>
      <c r="F19" s="6" t="inlineStr">
        <is>
          <t>518–536</t>
        </is>
      </c>
      <c r="G19" s="6" t="n">
        <v>19</v>
      </c>
      <c r="H19" s="4" t="n">
        <v>1</v>
      </c>
      <c r="I19" s="6" t="inlineStr">
        <is>
          <t>65.9–65.9</t>
        </is>
      </c>
      <c r="J19" s="6" t="inlineStr">
        <is>
          <t>2</t>
        </is>
      </c>
      <c r="K19" s="6" t="inlineStr">
        <is>
          <t>主</t>
        </is>
      </c>
      <c r="L19" s="7">
        <f>IF(COUNTIFS($C$4:$C$36,C19,$K$4:$K$36,"补")=0,1,IF(K19="补",0.1,0.9))*H19/SUMIFS($H$4:$H$36,$C$4:$C$36,C19,$K$4:$K$36,K19)</f>
        <v/>
      </c>
      <c r="M19" s="8">
        <f>L19*$B$1</f>
        <v/>
      </c>
      <c r="N19" s="6" t="inlineStr"/>
    </row>
    <row r="20">
      <c r="A20" s="6" t="n">
        <v>17</v>
      </c>
      <c r="B20" s="6" t="inlineStr">
        <is>
          <t>16S-A3-R.1</t>
        </is>
      </c>
      <c r="C20" s="6" t="inlineStr">
        <is>
          <t>A3-R</t>
        </is>
      </c>
      <c r="D20" s="6" t="inlineStr">
        <is>
          <t>主引物</t>
        </is>
      </c>
      <c r="E20" s="4" t="inlineStr">
        <is>
          <t>TCTAATCCYGTTYGCTMCC</t>
        </is>
      </c>
      <c r="F20" s="6" t="inlineStr">
        <is>
          <t>774–792</t>
        </is>
      </c>
      <c r="G20" s="6" t="n">
        <v>19</v>
      </c>
      <c r="H20" s="4" t="n">
        <v>8</v>
      </c>
      <c r="I20" s="6" t="inlineStr">
        <is>
          <t>55.2–62.6</t>
        </is>
      </c>
      <c r="J20" s="6" t="inlineStr">
        <is>
          <t>53</t>
        </is>
      </c>
      <c r="K20" s="6" t="inlineStr">
        <is>
          <t>主</t>
        </is>
      </c>
      <c r="L20" s="7">
        <f>IF(COUNTIFS($C$4:$C$36,C20,$K$4:$K$36,"补")=0,1,IF(K20="补",0.1,0.9))*H20/SUMIFS($H$4:$H$36,$C$4:$C$36,C20,$K$4:$K$36,K20)</f>
        <v/>
      </c>
      <c r="M20" s="8">
        <f>L20*$B$1</f>
        <v/>
      </c>
      <c r="N20" s="6" t="inlineStr"/>
    </row>
    <row r="21">
      <c r="A21" s="6" t="n">
        <v>18</v>
      </c>
      <c r="B21" s="6" t="inlineStr">
        <is>
          <t>16S-A4-F.1</t>
        </is>
      </c>
      <c r="C21" s="6" t="inlineStr">
        <is>
          <t>A4-F</t>
        </is>
      </c>
      <c r="D21" s="6" t="inlineStr">
        <is>
          <t>主引物</t>
        </is>
      </c>
      <c r="E21" s="4" t="inlineStr">
        <is>
          <t>GATTAGAKACCCYGGTAGTCY</t>
        </is>
      </c>
      <c r="F21" s="6" t="inlineStr">
        <is>
          <t>786–806</t>
        </is>
      </c>
      <c r="G21" s="6" t="n">
        <v>21</v>
      </c>
      <c r="H21" s="4" t="n">
        <v>8</v>
      </c>
      <c r="I21" s="6" t="inlineStr">
        <is>
          <t>56.5–62.3</t>
        </is>
      </c>
      <c r="J21" s="6" t="inlineStr">
        <is>
          <t>1</t>
        </is>
      </c>
      <c r="K21" s="6" t="inlineStr">
        <is>
          <t>主</t>
        </is>
      </c>
      <c r="L21" s="7">
        <f>IF(COUNTIFS($C$4:$C$36,C21,$K$4:$K$36,"补")=0,1,IF(K21="补",0.1,0.9))*H21/SUMIFS($H$4:$H$36,$C$4:$C$36,C21,$K$4:$K$36,K21)</f>
        <v/>
      </c>
      <c r="M21" s="8">
        <f>L21*$B$1</f>
        <v/>
      </c>
      <c r="N21" s="6" t="inlineStr"/>
    </row>
    <row r="22">
      <c r="A22" s="6" t="n">
        <v>19</v>
      </c>
      <c r="B22" s="6" t="inlineStr">
        <is>
          <t>16S-A4-R.1</t>
        </is>
      </c>
      <c r="C22" s="6" t="inlineStr">
        <is>
          <t>A4-R</t>
        </is>
      </c>
      <c r="D22" s="6" t="inlineStr">
        <is>
          <t>主引物</t>
        </is>
      </c>
      <c r="E22" s="4" t="inlineStr">
        <is>
          <t>CGCGTWGCATCGAATTAADC</t>
        </is>
      </c>
      <c r="F22" s="6" t="inlineStr">
        <is>
          <t>954–973</t>
        </is>
      </c>
      <c r="G22" s="6" t="n">
        <v>20</v>
      </c>
      <c r="H22" s="4" t="n">
        <v>6</v>
      </c>
      <c r="I22" s="6" t="inlineStr">
        <is>
          <t>58.6–62.3</t>
        </is>
      </c>
      <c r="J22" s="6" t="inlineStr">
        <is>
          <t>1</t>
        </is>
      </c>
      <c r="K22" s="6" t="inlineStr">
        <is>
          <t>主</t>
        </is>
      </c>
      <c r="L22" s="7">
        <f>IF(COUNTIFS($C$4:$C$36,C22,$K$4:$K$36,"补")=0,1,IF(K22="补",0.1,0.9))*H22/SUMIFS($H$4:$H$36,$C$4:$C$36,C22,$K$4:$K$36,K22)</f>
        <v/>
      </c>
      <c r="M22" s="8">
        <f>L22*$B$1</f>
        <v/>
      </c>
      <c r="N22" s="6" t="inlineStr"/>
    </row>
    <row r="23">
      <c r="A23" s="6" t="n">
        <v>20</v>
      </c>
      <c r="B23" s="6" t="inlineStr">
        <is>
          <t>16S-A4-R.2</t>
        </is>
      </c>
      <c r="C23" s="6" t="inlineStr">
        <is>
          <t>A4-R</t>
        </is>
      </c>
      <c r="D23" s="6" t="inlineStr">
        <is>
          <t>主引物</t>
        </is>
      </c>
      <c r="E23" s="4" t="inlineStr">
        <is>
          <t>CGCGTWKCKTCGAATTAAAC</t>
        </is>
      </c>
      <c r="F23" s="6" t="inlineStr">
        <is>
          <t>954–973</t>
        </is>
      </c>
      <c r="G23" s="6" t="n">
        <v>20</v>
      </c>
      <c r="H23" s="4" t="n">
        <v>8</v>
      </c>
      <c r="I23" s="6" t="inlineStr">
        <is>
          <t>56.4–62.5</t>
        </is>
      </c>
      <c r="J23" s="6" t="inlineStr">
        <is>
          <t>0</t>
        </is>
      </c>
      <c r="K23" s="6" t="inlineStr">
        <is>
          <t>主</t>
        </is>
      </c>
      <c r="L23" s="7">
        <f>IF(COUNTIFS($C$4:$C$36,C23,$K$4:$K$36,"补")=0,1,IF(K23="补",0.1,0.9))*H23/SUMIFS($H$4:$H$36,$C$4:$C$36,C23,$K$4:$K$36,K23)</f>
        <v/>
      </c>
      <c r="M23" s="8">
        <f>L23*$B$1</f>
        <v/>
      </c>
      <c r="N23" s="6" t="inlineStr"/>
    </row>
    <row r="24">
      <c r="A24" s="6" t="n">
        <v>21</v>
      </c>
      <c r="B24" s="6" t="inlineStr">
        <is>
          <t>16S-A4-R.4s</t>
        </is>
      </c>
      <c r="C24" s="6" t="inlineStr">
        <is>
          <t>A4-R</t>
        </is>
      </c>
      <c r="D24" s="6" t="inlineStr">
        <is>
          <t>补充</t>
        </is>
      </c>
      <c r="E24" s="4" t="inlineStr">
        <is>
          <t>CGTGTATYRTCGAATTAARC</t>
        </is>
      </c>
      <c r="F24" s="6" t="inlineStr">
        <is>
          <t>954–973</t>
        </is>
      </c>
      <c r="G24" s="6" t="n">
        <v>20</v>
      </c>
      <c r="H24" s="4" t="n">
        <v>8</v>
      </c>
      <c r="I24" s="6" t="inlineStr">
        <is>
          <t>51.2–58.2</t>
        </is>
      </c>
      <c r="J24" s="6" t="inlineStr">
        <is>
          <t>6</t>
        </is>
      </c>
      <c r="K24" s="6" t="inlineStr">
        <is>
          <t>补</t>
        </is>
      </c>
      <c r="L24" s="7">
        <f>IF(COUNTIFS($C$4:$C$36,C24,$K$4:$K$36,"补")=0,1,IF(K24="补",0.1,0.9))*H24/SUMIFS($H$4:$H$36,$C$4:$C$36,C24,$K$4:$K$36,K24)</f>
        <v/>
      </c>
      <c r="M24" s="8">
        <f>L24*$B$1</f>
        <v/>
      </c>
      <c r="N24" s="6" t="inlineStr">
        <is>
          <t>Mycoplasma/Ureaplasma</t>
        </is>
      </c>
    </row>
    <row r="25">
      <c r="A25" s="6" t="n">
        <v>22</v>
      </c>
      <c r="B25" s="6" t="inlineStr">
        <is>
          <t>16S-A4-R.5s</t>
        </is>
      </c>
      <c r="C25" s="6" t="inlineStr">
        <is>
          <t>A4-R</t>
        </is>
      </c>
      <c r="D25" s="6" t="inlineStr">
        <is>
          <t>补充</t>
        </is>
      </c>
      <c r="E25" s="4" t="inlineStr">
        <is>
          <t>CGCGTABCTTCRAATTAAAC</t>
        </is>
      </c>
      <c r="F25" s="6" t="inlineStr">
        <is>
          <t>954–973</t>
        </is>
      </c>
      <c r="G25" s="6" t="n">
        <v>20</v>
      </c>
      <c r="H25" s="4" t="n">
        <v>6</v>
      </c>
      <c r="I25" s="6" t="inlineStr">
        <is>
          <t>54.4–59.0</t>
        </is>
      </c>
      <c r="J25" s="6" t="inlineStr">
        <is>
          <t>1</t>
        </is>
      </c>
      <c r="K25" s="6" t="inlineStr">
        <is>
          <t>补</t>
        </is>
      </c>
      <c r="L25" s="7">
        <f>IF(COUNTIFS($C$4:$C$36,C25,$K$4:$K$36,"补")=0,1,IF(K25="补",0.1,0.9))*H25/SUMIFS($H$4:$H$36,$C$4:$C$36,C25,$K$4:$K$36,K25)</f>
        <v/>
      </c>
      <c r="M25" s="8">
        <f>L25*$B$1</f>
        <v/>
      </c>
      <c r="N25" s="6" t="inlineStr">
        <is>
          <t>Mycoplasma/Ureaplasma</t>
        </is>
      </c>
    </row>
    <row r="26">
      <c r="A26" s="6" t="n">
        <v>23</v>
      </c>
      <c r="B26" s="6" t="inlineStr">
        <is>
          <t>16S-A5-F.1</t>
        </is>
      </c>
      <c r="C26" s="6" t="inlineStr">
        <is>
          <t>A5-F</t>
        </is>
      </c>
      <c r="D26" s="6" t="inlineStr">
        <is>
          <t>主引物</t>
        </is>
      </c>
      <c r="E26" s="4" t="inlineStr">
        <is>
          <t>MWACGCGARGAACCTTACC</t>
        </is>
      </c>
      <c r="F26" s="6" t="inlineStr">
        <is>
          <t>967–985</t>
        </is>
      </c>
      <c r="G26" s="6" t="n">
        <v>19</v>
      </c>
      <c r="H26" s="4" t="n">
        <v>8</v>
      </c>
      <c r="I26" s="6" t="inlineStr">
        <is>
          <t>58.3–62.1</t>
        </is>
      </c>
      <c r="J26" s="6" t="inlineStr">
        <is>
          <t>9</t>
        </is>
      </c>
      <c r="K26" s="6" t="inlineStr">
        <is>
          <t>主</t>
        </is>
      </c>
      <c r="L26" s="7">
        <f>IF(COUNTIFS($C$4:$C$36,C26,$K$4:$K$36,"补")=0,1,IF(K26="补",0.1,0.9))*H26/SUMIFS($H$4:$H$36,$C$4:$C$36,C26,$K$4:$K$36,K26)</f>
        <v/>
      </c>
      <c r="M26" s="8">
        <f>L26*$B$1</f>
        <v/>
      </c>
      <c r="N26" s="6" t="inlineStr"/>
    </row>
    <row r="27">
      <c r="A27" s="6" t="n">
        <v>24</v>
      </c>
      <c r="B27" s="6" t="inlineStr">
        <is>
          <t>16S-A5-F.3</t>
        </is>
      </c>
      <c r="C27" s="6" t="inlineStr">
        <is>
          <t>A5-F</t>
        </is>
      </c>
      <c r="D27" s="6" t="inlineStr">
        <is>
          <t>主引物</t>
        </is>
      </c>
      <c r="E27" s="4" t="inlineStr">
        <is>
          <t>RTACMCGAARAACCTTACC</t>
        </is>
      </c>
      <c r="F27" s="6" t="inlineStr">
        <is>
          <t>967–985</t>
        </is>
      </c>
      <c r="G27" s="6" t="n">
        <v>19</v>
      </c>
      <c r="H27" s="4" t="n">
        <v>8</v>
      </c>
      <c r="I27" s="6" t="inlineStr">
        <is>
          <t>53.9–58.2</t>
        </is>
      </c>
      <c r="J27" s="6" t="inlineStr">
        <is>
          <t>18</t>
        </is>
      </c>
      <c r="K27" s="6" t="inlineStr">
        <is>
          <t>主</t>
        </is>
      </c>
      <c r="L27" s="7">
        <f>IF(COUNTIFS($C$4:$C$36,C27,$K$4:$K$36,"补")=0,1,IF(K27="补",0.1,0.9))*H27/SUMIFS($H$4:$H$36,$C$4:$C$36,C27,$K$4:$K$36,K27)</f>
        <v/>
      </c>
      <c r="M27" s="8">
        <f>L27*$B$1</f>
        <v/>
      </c>
      <c r="N27" s="6" t="inlineStr"/>
    </row>
    <row r="28">
      <c r="A28" s="6" t="n">
        <v>25</v>
      </c>
      <c r="B28" s="6" t="inlineStr">
        <is>
          <t>16S-A5-R.1</t>
        </is>
      </c>
      <c r="C28" s="6" t="inlineStr">
        <is>
          <t>A5-R</t>
        </is>
      </c>
      <c r="D28" s="6" t="inlineStr">
        <is>
          <t>主引物</t>
        </is>
      </c>
      <c r="E28" s="4" t="inlineStr">
        <is>
          <t>ATGMTGAYTTGACGTCRTC</t>
        </is>
      </c>
      <c r="F28" s="6" t="inlineStr">
        <is>
          <t>1188–1206</t>
        </is>
      </c>
      <c r="G28" s="6" t="n">
        <v>19</v>
      </c>
      <c r="H28" s="4" t="n">
        <v>8</v>
      </c>
      <c r="I28" s="6" t="inlineStr">
        <is>
          <t>54.2–61.5</t>
        </is>
      </c>
      <c r="J28" s="6" t="inlineStr">
        <is>
          <t>A5-R 两条合计 10</t>
        </is>
      </c>
      <c r="K28" s="6" t="inlineStr">
        <is>
          <t>主</t>
        </is>
      </c>
      <c r="L28" s="7">
        <f>IF(COUNTIFS($C$4:$C$36,C28,$K$4:$K$36,"补")=0,1,IF(K28="补",0.1,0.9))*H28/SUMIFS($H$4:$H$36,$C$4:$C$36,C28,$K$4:$K$36,K28)</f>
        <v/>
      </c>
      <c r="M28" s="8">
        <f>L28*$B$1</f>
        <v/>
      </c>
      <c r="N28" s="6" t="inlineStr">
        <is>
          <t>起点 1188，人基因组命中比旧 A5-R 少约 99%</t>
        </is>
      </c>
    </row>
    <row r="29">
      <c r="A29" s="6" t="n">
        <v>26</v>
      </c>
      <c r="B29" s="6" t="inlineStr">
        <is>
          <t>16S-A5-R.2</t>
        </is>
      </c>
      <c r="C29" s="6" t="inlineStr">
        <is>
          <t>A5-R</t>
        </is>
      </c>
      <c r="D29" s="6" t="inlineStr">
        <is>
          <t>主引物</t>
        </is>
      </c>
      <c r="E29" s="4" t="inlineStr">
        <is>
          <t>ATRCTGACYTGACGTCRTC</t>
        </is>
      </c>
      <c r="F29" s="6" t="inlineStr">
        <is>
          <t>1188–1206</t>
        </is>
      </c>
      <c r="G29" s="6" t="n">
        <v>19</v>
      </c>
      <c r="H29" s="4" t="n">
        <v>8</v>
      </c>
      <c r="I29" s="6" t="inlineStr">
        <is>
          <t>55.4–63.4</t>
        </is>
      </c>
      <c r="J29" s="6" t="inlineStr">
        <is>
          <t>A5-R 两条合计 10</t>
        </is>
      </c>
      <c r="K29" s="6" t="inlineStr">
        <is>
          <t>主</t>
        </is>
      </c>
      <c r="L29" s="7">
        <f>IF(COUNTIFS($C$4:$C$36,C29,$K$4:$K$36,"补")=0,1,IF(K29="补",0.1,0.9))*H29/SUMIFS($H$4:$H$36,$C$4:$C$36,C29,$K$4:$K$36,K29)</f>
        <v/>
      </c>
      <c r="M29" s="8">
        <f>L29*$B$1</f>
        <v/>
      </c>
      <c r="N29" s="6" t="inlineStr">
        <is>
          <t>同上</t>
        </is>
      </c>
    </row>
    <row r="30">
      <c r="A30" s="6" t="n">
        <v>27</v>
      </c>
      <c r="B30" s="6" t="inlineStr">
        <is>
          <t>16S-A6-F.1</t>
        </is>
      </c>
      <c r="C30" s="6" t="inlineStr">
        <is>
          <t>A6-F</t>
        </is>
      </c>
      <c r="D30" s="6" t="inlineStr">
        <is>
          <t>主引物</t>
        </is>
      </c>
      <c r="E30" s="4" t="inlineStr">
        <is>
          <t>GGCTRCACACRTGCTACAA</t>
        </is>
      </c>
      <c r="F30" s="6" t="inlineStr">
        <is>
          <t>1222–1240</t>
        </is>
      </c>
      <c r="G30" s="6" t="n">
        <v>19</v>
      </c>
      <c r="H30" s="4" t="n">
        <v>4</v>
      </c>
      <c r="I30" s="6" t="inlineStr">
        <is>
          <t>58.8–64.9</t>
        </is>
      </c>
      <c r="J30" s="6" t="inlineStr">
        <is>
          <t>40</t>
        </is>
      </c>
      <c r="K30" s="6" t="inlineStr">
        <is>
          <t>主</t>
        </is>
      </c>
      <c r="L30" s="7">
        <f>IF(COUNTIFS($C$4:$C$36,C30,$K$4:$K$36,"补")=0,1,IF(K30="补",0.1,0.9))*H30/SUMIFS($H$4:$H$36,$C$4:$C$36,C30,$K$4:$K$36,K30)</f>
        <v/>
      </c>
      <c r="M30" s="8">
        <f>L30*$B$1</f>
        <v/>
      </c>
      <c r="N30" s="6" t="inlineStr"/>
    </row>
    <row r="31">
      <c r="A31" s="6" t="n">
        <v>28</v>
      </c>
      <c r="B31" s="6" t="inlineStr">
        <is>
          <t>16S-A6-F.2</t>
        </is>
      </c>
      <c r="C31" s="6" t="inlineStr">
        <is>
          <t>A6-F</t>
        </is>
      </c>
      <c r="D31" s="6" t="inlineStr">
        <is>
          <t>主引物</t>
        </is>
      </c>
      <c r="E31" s="4" t="inlineStr">
        <is>
          <t>GGCKACACACGTGMTACAA</t>
        </is>
      </c>
      <c r="F31" s="6" t="inlineStr">
        <is>
          <t>1222–1240</t>
        </is>
      </c>
      <c r="G31" s="6" t="n">
        <v>19</v>
      </c>
      <c r="H31" s="4" t="n">
        <v>4</v>
      </c>
      <c r="I31" s="6" t="inlineStr">
        <is>
          <t>58.6–64.5</t>
        </is>
      </c>
      <c r="J31" s="6" t="inlineStr">
        <is>
          <t>17</t>
        </is>
      </c>
      <c r="K31" s="6" t="inlineStr">
        <is>
          <t>主</t>
        </is>
      </c>
      <c r="L31" s="7">
        <f>IF(COUNTIFS($C$4:$C$36,C31,$K$4:$K$36,"补")=0,1,IF(K31="补",0.1,0.9))*H31/SUMIFS($H$4:$H$36,$C$4:$C$36,C31,$K$4:$K$36,K31)</f>
        <v/>
      </c>
      <c r="M31" s="8">
        <f>L31*$B$1</f>
        <v/>
      </c>
      <c r="N31" s="6" t="inlineStr"/>
    </row>
    <row r="32">
      <c r="A32" s="6" t="n">
        <v>29</v>
      </c>
      <c r="B32" s="6" t="inlineStr">
        <is>
          <t>16S-A6-F.3</t>
        </is>
      </c>
      <c r="C32" s="6" t="inlineStr">
        <is>
          <t>A6-F</t>
        </is>
      </c>
      <c r="D32" s="6" t="inlineStr">
        <is>
          <t>主引物</t>
        </is>
      </c>
      <c r="E32" s="4" t="inlineStr">
        <is>
          <t>GGCTWCACGCGTGCTACAW</t>
        </is>
      </c>
      <c r="F32" s="6" t="inlineStr">
        <is>
          <t>1222–1240</t>
        </is>
      </c>
      <c r="G32" s="6" t="n">
        <v>19</v>
      </c>
      <c r="H32" s="4" t="n">
        <v>4</v>
      </c>
      <c r="I32" s="6" t="inlineStr">
        <is>
          <t>64.1–64.9</t>
        </is>
      </c>
      <c r="J32" s="6" t="inlineStr">
        <is>
          <t>1</t>
        </is>
      </c>
      <c r="K32" s="6" t="inlineStr">
        <is>
          <t>主</t>
        </is>
      </c>
      <c r="L32" s="7">
        <f>IF(COUNTIFS($C$4:$C$36,C32,$K$4:$K$36,"补")=0,1,IF(K32="补",0.1,0.9))*H32/SUMIFS($H$4:$H$36,$C$4:$C$36,C32,$K$4:$K$36,K32)</f>
        <v/>
      </c>
      <c r="M32" s="8">
        <f>L32*$B$1</f>
        <v/>
      </c>
      <c r="N32" s="6" t="inlineStr"/>
    </row>
    <row r="33">
      <c r="A33" s="6" t="n">
        <v>30</v>
      </c>
      <c r="B33" s="6" t="inlineStr">
        <is>
          <t>16S-A6-F.4s</t>
        </is>
      </c>
      <c r="C33" s="6" t="inlineStr">
        <is>
          <t>A6-F</t>
        </is>
      </c>
      <c r="D33" s="6" t="inlineStr">
        <is>
          <t>补充</t>
        </is>
      </c>
      <c r="E33" s="4" t="inlineStr">
        <is>
          <t>GGCYWCACACGTACTACAA</t>
        </is>
      </c>
      <c r="F33" s="6" t="inlineStr">
        <is>
          <t>1222–1240</t>
        </is>
      </c>
      <c r="G33" s="6" t="n">
        <v>19</v>
      </c>
      <c r="H33" s="4" t="n">
        <v>4</v>
      </c>
      <c r="I33" s="6" t="inlineStr">
        <is>
          <t>57.9–61.0</t>
        </is>
      </c>
      <c r="J33" s="6" t="inlineStr">
        <is>
          <t>11</t>
        </is>
      </c>
      <c r="K33" s="6" t="inlineStr">
        <is>
          <t>补</t>
        </is>
      </c>
      <c r="L33" s="7">
        <f>IF(COUNTIFS($C$4:$C$36,C33,$K$4:$K$36,"补")=0,1,IF(K33="补",0.1,0.9))*H33/SUMIFS($H$4:$H$36,$C$4:$C$36,C33,$K$4:$K$36,K33)</f>
        <v/>
      </c>
      <c r="M33" s="8">
        <f>L33*$B$1</f>
        <v/>
      </c>
      <c r="N33" s="6" t="inlineStr">
        <is>
          <t>Oscillospira/Ruminococcus/Faecalibacterium</t>
        </is>
      </c>
    </row>
    <row r="34">
      <c r="A34" s="6" t="n">
        <v>31</v>
      </c>
      <c r="B34" s="6" t="inlineStr">
        <is>
          <t>16S-A6-F.5s</t>
        </is>
      </c>
      <c r="C34" s="6" t="inlineStr">
        <is>
          <t>A6-F</t>
        </is>
      </c>
      <c r="D34" s="6" t="inlineStr">
        <is>
          <t>补充</t>
        </is>
      </c>
      <c r="E34" s="4" t="inlineStr">
        <is>
          <t>GGCTTCACACGTCATACAA</t>
        </is>
      </c>
      <c r="F34" s="6" t="inlineStr">
        <is>
          <t>1222–1240</t>
        </is>
      </c>
      <c r="G34" s="6" t="n">
        <v>19</v>
      </c>
      <c r="H34" s="4" t="n">
        <v>1</v>
      </c>
      <c r="I34" s="6" t="inlineStr">
        <is>
          <t>59.2–59.2</t>
        </is>
      </c>
      <c r="J34" s="6" t="inlineStr">
        <is>
          <t>9</t>
        </is>
      </c>
      <c r="K34" s="6" t="inlineStr">
        <is>
          <t>补</t>
        </is>
      </c>
      <c r="L34" s="7">
        <f>IF(COUNTIFS($C$4:$C$36,C34,$K$4:$K$36,"补")=0,1,IF(K34="补",0.1,0.9))*H34/SUMIFS($H$4:$H$36,$C$4:$C$36,C34,$K$4:$K$36,K34)</f>
        <v/>
      </c>
      <c r="M34" s="8">
        <f>L34*$B$1</f>
        <v/>
      </c>
      <c r="N34" s="6" t="inlineStr">
        <is>
          <t>Neisseria</t>
        </is>
      </c>
    </row>
    <row r="35">
      <c r="A35" s="6" t="n">
        <v>32</v>
      </c>
      <c r="B35" s="6" t="inlineStr">
        <is>
          <t>16S-A6-R.1</t>
        </is>
      </c>
      <c r="C35" s="6" t="inlineStr">
        <is>
          <t>A6-R</t>
        </is>
      </c>
      <c r="D35" s="6" t="inlineStr">
        <is>
          <t>主引物</t>
        </is>
      </c>
      <c r="E35" s="4" t="inlineStr">
        <is>
          <t>CTTGTTACGACTTCRYCCY</t>
        </is>
      </c>
      <c r="F35" s="6" t="inlineStr">
        <is>
          <t>1486–1504</t>
        </is>
      </c>
      <c r="G35" s="6" t="n">
        <v>19</v>
      </c>
      <c r="H35" s="4" t="n">
        <v>8</v>
      </c>
      <c r="I35" s="6" t="inlineStr">
        <is>
          <t>55.6–62.1</t>
        </is>
      </c>
      <c r="J35" s="6" t="inlineStr">
        <is>
          <t>28</t>
        </is>
      </c>
      <c r="K35" s="6" t="inlineStr">
        <is>
          <t>主</t>
        </is>
      </c>
      <c r="L35" s="7">
        <f>IF(COUNTIFS($C$4:$C$36,C35,$K$4:$K$36,"补")=0,1,IF(K35="补",0.1,0.9))*H35/SUMIFS($H$4:$H$36,$C$4:$C$36,C35,$K$4:$K$36,K35)</f>
        <v/>
      </c>
      <c r="M35" s="8">
        <f>L35*$B$1</f>
        <v/>
      </c>
      <c r="N35" s="6" t="inlineStr"/>
    </row>
    <row r="36">
      <c r="A36" s="6" t="n">
        <v>33</v>
      </c>
      <c r="B36" s="6" t="inlineStr">
        <is>
          <t>16S-A6-R.3</t>
        </is>
      </c>
      <c r="C36" s="6" t="inlineStr">
        <is>
          <t>A6-R</t>
        </is>
      </c>
      <c r="D36" s="6" t="inlineStr">
        <is>
          <t>主引物</t>
        </is>
      </c>
      <c r="E36" s="4" t="inlineStr">
        <is>
          <t>CCTTGTTACGACTTMACHCC</t>
        </is>
      </c>
      <c r="F36" s="6" t="inlineStr">
        <is>
          <t>1486–1505</t>
        </is>
      </c>
      <c r="G36" s="6" t="n">
        <v>20</v>
      </c>
      <c r="H36" s="4" t="n">
        <v>6</v>
      </c>
      <c r="I36" s="6" t="inlineStr">
        <is>
          <t>56.9–61.7</t>
        </is>
      </c>
      <c r="J36" s="6" t="inlineStr">
        <is>
          <t>9</t>
        </is>
      </c>
      <c r="K36" s="6" t="inlineStr">
        <is>
          <t>主</t>
        </is>
      </c>
      <c r="L36" s="7">
        <f>IF(COUNTIFS($C$4:$C$36,C36,$K$4:$K$36,"补")=0,1,IF(K36="补",0.1,0.9))*H36/SUMIFS($H$4:$H$36,$C$4:$C$36,C36,$K$4:$K$36,K36)</f>
        <v/>
      </c>
      <c r="M36" s="8">
        <f>L36*$B$1</f>
        <v/>
      </c>
      <c r="N36" s="6" t="inlineStr"/>
    </row>
    <row r="38">
      <c r="B38" s="3" t="inlineStr">
        <is>
          <t>合计</t>
        </is>
      </c>
      <c r="H38" s="3">
        <f>SUM(H4:H36)</f>
        <v/>
      </c>
      <c r="M38" s="3">
        <f>SUM(M4:M36)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36" customWidth="1" min="5" max="5"/>
  </cols>
  <sheetData>
    <row r="1">
      <c r="A1" s="9" t="inlineStr">
        <is>
          <t>位点</t>
        </is>
      </c>
      <c r="B1" s="9" t="inlineStr">
        <is>
          <t>引物数</t>
        </is>
      </c>
      <c r="C1" s="9" t="inlineStr">
        <is>
          <t>展开数</t>
        </is>
      </c>
      <c r="D1" s="9" t="inlineStr">
        <is>
          <t>加入体积 µL（合计）</t>
        </is>
      </c>
      <c r="E1" s="9" t="inlineStr">
        <is>
          <t>覆盖区域</t>
        </is>
      </c>
    </row>
    <row r="2">
      <c r="A2" s="6" t="inlineStr">
        <is>
          <t>A1-F</t>
        </is>
      </c>
      <c r="B2" s="6">
        <f>COUNTIF('订购清单'!$C$4:$C$36,A2)</f>
        <v/>
      </c>
      <c r="C2" s="6">
        <f>SUMIFS('订购清单'!$H$4:$H$36,'订购清单'!$C$4:$C$36,A2)</f>
        <v/>
      </c>
      <c r="D2" s="8">
        <f>SUMIFS('订购清单'!$M$4:$M$36,'订购清单'!$C$4:$C$36,A2)</f>
        <v/>
      </c>
      <c r="E2" s="6" t="inlineStr">
        <is>
          <t>8/9–27</t>
        </is>
      </c>
    </row>
    <row r="3">
      <c r="A3" s="6" t="inlineStr">
        <is>
          <t>A1-R</t>
        </is>
      </c>
      <c r="B3" s="6">
        <f>COUNTIF('订购清单'!$C$4:$C$36,A3)</f>
        <v/>
      </c>
      <c r="C3" s="6">
        <f>SUMIFS('订购清单'!$H$4:$H$36,'订购清单'!$C$4:$C$36,A3)</f>
        <v/>
      </c>
      <c r="D3" s="8">
        <f>SUMIFS('订购清单'!$M$4:$M$36,'订购清单'!$C$4:$C$36,A3)</f>
        <v/>
      </c>
      <c r="E3" s="6" t="inlineStr">
        <is>
          <t>246–265</t>
        </is>
      </c>
    </row>
    <row r="4">
      <c r="A4" s="6" t="inlineStr">
        <is>
          <t>A2-F</t>
        </is>
      </c>
      <c r="B4" s="6">
        <f>COUNTIF('订购清单'!$C$4:$C$36,A4)</f>
        <v/>
      </c>
      <c r="C4" s="6">
        <f>SUMIFS('订购清单'!$H$4:$H$36,'订购清单'!$C$4:$C$36,A4)</f>
        <v/>
      </c>
      <c r="D4" s="8">
        <f>SUMIFS('订购清单'!$M$4:$M$36,'订购清单'!$C$4:$C$36,A4)</f>
        <v/>
      </c>
      <c r="E4" s="6" t="inlineStr">
        <is>
          <t>314–332</t>
        </is>
      </c>
    </row>
    <row r="5">
      <c r="A5" s="6" t="inlineStr">
        <is>
          <t>A2-R</t>
        </is>
      </c>
      <c r="B5" s="6">
        <f>COUNTIF('订购清单'!$C$4:$C$36,A5)</f>
        <v/>
      </c>
      <c r="C5" s="6">
        <f>SUMIFS('订购清单'!$H$4:$H$36,'订购清单'!$C$4:$C$36,A5)</f>
        <v/>
      </c>
      <c r="D5" s="8">
        <f>SUMIFS('订购清单'!$M$4:$M$36,'订购清单'!$C$4:$C$36,A5)</f>
        <v/>
      </c>
      <c r="E5" s="6" t="inlineStr">
        <is>
          <t>504–522</t>
        </is>
      </c>
    </row>
    <row r="6">
      <c r="A6" s="6" t="inlineStr">
        <is>
          <t>A3-F</t>
        </is>
      </c>
      <c r="B6" s="6">
        <f>COUNTIF('订购清单'!$C$4:$C$36,A6)</f>
        <v/>
      </c>
      <c r="C6" s="6">
        <f>SUMIFS('订购清单'!$H$4:$H$36,'订购清单'!$C$4:$C$36,A6)</f>
        <v/>
      </c>
      <c r="D6" s="8">
        <f>SUMIFS('订购清单'!$M$4:$M$36,'订购清单'!$C$4:$C$36,A6)</f>
        <v/>
      </c>
      <c r="E6" s="6" t="inlineStr">
        <is>
          <t>518–536（515F 型）</t>
        </is>
      </c>
    </row>
    <row r="7">
      <c r="A7" s="6" t="inlineStr">
        <is>
          <t>A3-R</t>
        </is>
      </c>
      <c r="B7" s="6">
        <f>COUNTIF('订购清单'!$C$4:$C$36,A7)</f>
        <v/>
      </c>
      <c r="C7" s="6">
        <f>SUMIFS('订购清单'!$H$4:$H$36,'订购清单'!$C$4:$C$36,A7)</f>
        <v/>
      </c>
      <c r="D7" s="8">
        <f>SUMIFS('订购清单'!$M$4:$M$36,'订购清单'!$C$4:$C$36,A7)</f>
        <v/>
      </c>
      <c r="E7" s="6" t="inlineStr">
        <is>
          <t>774–792</t>
        </is>
      </c>
    </row>
    <row r="8">
      <c r="A8" s="6" t="inlineStr">
        <is>
          <t>A4-F</t>
        </is>
      </c>
      <c r="B8" s="6">
        <f>COUNTIF('订购清单'!$C$4:$C$36,A8)</f>
        <v/>
      </c>
      <c r="C8" s="6">
        <f>SUMIFS('订购清单'!$H$4:$H$36,'订购清单'!$C$4:$C$36,A8)</f>
        <v/>
      </c>
      <c r="D8" s="8">
        <f>SUMIFS('订购清单'!$M$4:$M$36,'订购清单'!$C$4:$C$36,A8)</f>
        <v/>
      </c>
      <c r="E8" s="6" t="inlineStr">
        <is>
          <t>788–806（785F 型）</t>
        </is>
      </c>
    </row>
    <row r="9">
      <c r="A9" s="6" t="inlineStr">
        <is>
          <t>A4-R</t>
        </is>
      </c>
      <c r="B9" s="6">
        <f>COUNTIF('订购清单'!$C$4:$C$36,A9)</f>
        <v/>
      </c>
      <c r="C9" s="6">
        <f>SUMIFS('订购清单'!$H$4:$H$36,'订购清单'!$C$4:$C$36,A9)</f>
        <v/>
      </c>
      <c r="D9" s="8">
        <f>SUMIFS('订购清单'!$M$4:$M$36,'订购清单'!$C$4:$C$36,A9)</f>
        <v/>
      </c>
      <c r="E9" s="6" t="inlineStr">
        <is>
          <t>954–972</t>
        </is>
      </c>
    </row>
    <row r="10">
      <c r="A10" s="6" t="inlineStr">
        <is>
          <t>A5-F</t>
        </is>
      </c>
      <c r="B10" s="6">
        <f>COUNTIF('订购清单'!$C$4:$C$36,A10)</f>
        <v/>
      </c>
      <c r="C10" s="6">
        <f>SUMIFS('订购清单'!$H$4:$H$36,'订购清单'!$C$4:$C$36,A10)</f>
        <v/>
      </c>
      <c r="D10" s="8">
        <f>SUMIFS('订购清单'!$M$4:$M$36,'订购清单'!$C$4:$C$36,A10)</f>
        <v/>
      </c>
      <c r="E10" s="6" t="inlineStr">
        <is>
          <t>967–985</t>
        </is>
      </c>
    </row>
    <row r="11">
      <c r="A11" s="6" t="inlineStr">
        <is>
          <t>A5-R</t>
        </is>
      </c>
      <c r="B11" s="6">
        <f>COUNTIF('订购清单'!$C$4:$C$36,A11)</f>
        <v/>
      </c>
      <c r="C11" s="6">
        <f>SUMIFS('订购清单'!$H$4:$H$36,'订购清单'!$C$4:$C$36,A11)</f>
        <v/>
      </c>
      <c r="D11" s="8">
        <f>SUMIFS('订购清单'!$M$4:$M$36,'订购清单'!$C$4:$C$36,A11)</f>
        <v/>
      </c>
      <c r="E11" s="6" t="inlineStr">
        <is>
          <t>1188–1206</t>
        </is>
      </c>
    </row>
    <row r="12">
      <c r="A12" s="6" t="inlineStr">
        <is>
          <t>A6-F</t>
        </is>
      </c>
      <c r="B12" s="6">
        <f>COUNTIF('订购清单'!$C$4:$C$36,A12)</f>
        <v/>
      </c>
      <c r="C12" s="6">
        <f>SUMIFS('订购清单'!$H$4:$H$36,'订购清单'!$C$4:$C$36,A12)</f>
        <v/>
      </c>
      <c r="D12" s="8">
        <f>SUMIFS('订购清单'!$M$4:$M$36,'订购清单'!$C$4:$C$36,A12)</f>
        <v/>
      </c>
      <c r="E12" s="6" t="inlineStr">
        <is>
          <t>1222–1240</t>
        </is>
      </c>
    </row>
    <row r="13">
      <c r="A13" s="6" t="inlineStr">
        <is>
          <t>A6-R</t>
        </is>
      </c>
      <c r="B13" s="6">
        <f>COUNTIF('订购清单'!$C$4:$C$36,A13)</f>
        <v/>
      </c>
      <c r="C13" s="6">
        <f>SUMIFS('订购清单'!$H$4:$H$36,'订购清单'!$C$4:$C$36,A13)</f>
        <v/>
      </c>
      <c r="D13" s="8">
        <f>SUMIFS('订购清单'!$M$4:$M$36,'订购清单'!$C$4:$C$36,A13)</f>
        <v/>
      </c>
      <c r="E13" s="6" t="inlineStr">
        <is>
          <t>1486–1504</t>
        </is>
      </c>
    </row>
    <row r="14">
      <c r="A14" s="3" t="inlineStr">
        <is>
          <t>合计</t>
        </is>
      </c>
      <c r="B14" s="3">
        <f>SUM(B2:B13)</f>
        <v/>
      </c>
      <c r="C14" s="3">
        <f>SUM(C2:C13)</f>
        <v/>
      </c>
      <c r="D14" s="10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4" customWidth="1" min="5" max="5"/>
    <col width="14" customWidth="1" min="6" max="6"/>
    <col width="34" customWidth="1" min="7" max="7"/>
  </cols>
  <sheetData>
    <row r="1">
      <c r="A1" s="9" t="inlineStr">
        <is>
          <t>扩增子</t>
        </is>
      </c>
      <c r="B1" s="9" t="inlineStr">
        <is>
          <t>区域</t>
        </is>
      </c>
      <c r="C1" s="9" t="inlineStr">
        <is>
          <t>正向引物位点</t>
        </is>
      </c>
      <c r="D1" s="9" t="inlineStr">
        <is>
          <t>反向引物位点</t>
        </is>
      </c>
      <c r="E1" s="9" t="inlineStr">
        <is>
          <t>扩增子范围</t>
        </is>
      </c>
      <c r="F1" s="9" t="inlineStr">
        <is>
          <t>长度 bp（约）</t>
        </is>
      </c>
      <c r="G1" s="9" t="inlineStr">
        <is>
          <t>2×150 内联 UDP 可读通</t>
        </is>
      </c>
    </row>
    <row r="2">
      <c r="A2" s="6" t="inlineStr">
        <is>
          <t>A1</t>
        </is>
      </c>
      <c r="B2" s="6" t="inlineStr">
        <is>
          <t>V1·V2</t>
        </is>
      </c>
      <c r="C2" s="6" t="inlineStr">
        <is>
          <t>8/9–27</t>
        </is>
      </c>
      <c r="D2" s="6" t="inlineStr">
        <is>
          <t>246–265</t>
        </is>
      </c>
      <c r="E2" s="6" t="inlineStr">
        <is>
          <t>9–264</t>
        </is>
      </c>
      <c r="F2" s="6" t="n">
        <v>256</v>
      </c>
      <c r="G2" s="6">
        <f>IF(F2&lt;=280,"是","基本（中间 "&amp;(F2-280)&amp;" bp 未读到）")</f>
        <v/>
      </c>
    </row>
    <row r="3">
      <c r="A3" s="6" t="inlineStr">
        <is>
          <t>A2</t>
        </is>
      </c>
      <c r="B3" s="6" t="inlineStr">
        <is>
          <t>V3</t>
        </is>
      </c>
      <c r="C3" s="6" t="inlineStr">
        <is>
          <t>314–332</t>
        </is>
      </c>
      <c r="D3" s="6" t="inlineStr">
        <is>
          <t>504–522</t>
        </is>
      </c>
      <c r="E3" s="6" t="inlineStr">
        <is>
          <t>314–522</t>
        </is>
      </c>
      <c r="F3" s="6" t="n">
        <v>209</v>
      </c>
      <c r="G3" s="6">
        <f>IF(F3&lt;=280,"是","基本（中间 "&amp;(F3-280)&amp;" bp 未读到）")</f>
        <v/>
      </c>
    </row>
    <row r="4">
      <c r="A4" s="6" t="inlineStr">
        <is>
          <t>A3</t>
        </is>
      </c>
      <c r="B4" s="6" t="inlineStr">
        <is>
          <t>V4</t>
        </is>
      </c>
      <c r="C4" s="6" t="inlineStr">
        <is>
          <t>518–536</t>
        </is>
      </c>
      <c r="D4" s="6" t="inlineStr">
        <is>
          <t>774–792</t>
        </is>
      </c>
      <c r="E4" s="6" t="inlineStr">
        <is>
          <t>518–792</t>
        </is>
      </c>
      <c r="F4" s="6" t="n">
        <v>275</v>
      </c>
      <c r="G4" s="6">
        <f>IF(F4&lt;=280,"是","基本（中间 "&amp;(F4-280)&amp;" bp 未读到）")</f>
        <v/>
      </c>
    </row>
    <row r="5">
      <c r="A5" s="6" t="inlineStr">
        <is>
          <t>A4</t>
        </is>
      </c>
      <c r="B5" s="6" t="inlineStr">
        <is>
          <t>V5</t>
        </is>
      </c>
      <c r="C5" s="6" t="inlineStr">
        <is>
          <t>788–806</t>
        </is>
      </c>
      <c r="D5" s="6" t="inlineStr">
        <is>
          <t>954–972</t>
        </is>
      </c>
      <c r="E5" s="6" t="inlineStr">
        <is>
          <t>788–972</t>
        </is>
      </c>
      <c r="F5" s="6" t="n">
        <v>185</v>
      </c>
      <c r="G5" s="6">
        <f>IF(F5&lt;=280,"是","基本（中间 "&amp;(F5-280)&amp;" bp 未读到）")</f>
        <v/>
      </c>
    </row>
    <row r="6">
      <c r="A6" s="6" t="inlineStr">
        <is>
          <t>A5</t>
        </is>
      </c>
      <c r="B6" s="6" t="inlineStr">
        <is>
          <t>V6·V7</t>
        </is>
      </c>
      <c r="C6" s="6" t="inlineStr">
        <is>
          <t>967–985</t>
        </is>
      </c>
      <c r="D6" s="6" t="inlineStr">
        <is>
          <t>1188–1206</t>
        </is>
      </c>
      <c r="E6" s="6" t="inlineStr">
        <is>
          <t>967–1206</t>
        </is>
      </c>
      <c r="F6" s="6" t="n">
        <v>240</v>
      </c>
      <c r="G6" s="6">
        <f>IF(F6&lt;=280,"是","基本（中间 "&amp;(F6-280)&amp;" bp 未读到）")</f>
        <v/>
      </c>
    </row>
    <row r="7">
      <c r="A7" s="6" t="inlineStr">
        <is>
          <t>A6</t>
        </is>
      </c>
      <c r="B7" s="6" t="inlineStr">
        <is>
          <t>V8·V9</t>
        </is>
      </c>
      <c r="C7" s="6" t="inlineStr">
        <is>
          <t>1222–1240</t>
        </is>
      </c>
      <c r="D7" s="6" t="inlineStr">
        <is>
          <t>1486–1504</t>
        </is>
      </c>
      <c r="E7" s="6" t="inlineStr">
        <is>
          <t>1222–1504</t>
        </is>
      </c>
      <c r="F7" s="6" t="n">
        <v>283</v>
      </c>
      <c r="G7" s="6">
        <f>IF(F7&lt;=280,"是","基本（中间 "&amp;(F7-280)&amp;" bp 未读到）")</f>
        <v/>
      </c>
    </row>
    <row r="9">
      <c r="A9" s="6" t="inlineStr">
        <is>
          <t>相邻扩增子的引物位点 5′端重叠 5–6 nt（如 A3 反向 774–792 与 A4 正向 788–806），3′端不重叠，管内无短于 185 bp 的交叉产物。注意 A5 长度因 A5-R 换为 1188 版而增加到约 240 bp；A4-R 为 954–972。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2026-10-06T10:10:39Z</dcterms:created>
  <dcterms:modified xsi:type="dcterms:W3CDTF">2026-10-06T10:10:39Z</dcterms:modified>
</cp:coreProperties>
</file>