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96管汇总" sheetId="2" state="visible" r:id="rId2"/>
    <sheet name="统计" sheetId="3" state="visible" r:id="rId3"/>
    <sheet name="推荐48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UDP 内联尾巴对 33 条引物池的二聚体、发夹和脱靶的影响（Illumina UDP Set A，UDP0001–0096）</t>
        </is>
      </c>
    </row>
    <row r="2">
      <c r="A2" s="2" t="inlineStr">
        <is>
          <t>做法：每个管里，i5（“Bases in Adapter”那一列的 10 nt）加在所有正向引物 5′端，同编号的 i7 加在所有反向引物 5′端，没有接头；198 个展开序列两两评估，58 °C，primer3（50 mM Na⁺、2 mM Mg²⁺、0.2 mM dNTP、250 nM），再与无尾巴基线比较。我把 UDP0001 的 i5/i7 当作你说的 UDP501/UDP701，以此类推；如果你的编号对应不同，请告诉我。</t>
        </is>
      </c>
    </row>
    <row r="3">
      <c r="A3" s="2" t="inlineStr">
        <is>
          <t>基线（无尾巴，58 °C）：全局二聚体最差 ΔG -5.7，3′端锚定最差 -3.8，发夹最差 -1.2 kcal/mol，Olivar 总坏度 35652。</t>
        </is>
      </c>
    </row>
    <row r="4">
      <c r="A4" s="2" t="inlineStr">
        <is>
          <t>分级（阈值是我按基线设的经验阈值，没有文献依据）：A = 全局 ΔG ≥ −7 且 3′端 ≥ −4.5；B = 全局 ≥ −8.5 且 3′端 ≥ −5.5；C = 其余。96 管中 A 17、B 35、C 44。推荐 48 管 = 全部 A + B 中 Olivar 坏度最低的 31 个，仍含 B 级管，最差全局 −8.5、3′端 −5.4。</t>
        </is>
      </c>
    </row>
    <row r="5">
      <c r="A5" s="2" t="inlineStr">
        <is>
          <t>结论：UDP 尾巴使二聚体明显变差，主要是尾巴与别的引物特异部分形成互补（例如 UDP0034 的 i7 含 CGCGGCTG，与 A3-F 的 CAGCCGCG 完全互补，全局 ΔG −14.2）。脱靶基本不受影响：尾巴在 5′端，3′端种子不变，全长错配数只会增加。</t>
        </is>
      </c>
    </row>
    <row r="6">
      <c r="A6" s="2" t="inlineStr">
        <is>
          <t>脱靶：把尾巴并入后，人和猪基因组全长 ≤2 错配的位点在所有管里都是 0；≤3 错配最多 2 个，且都是基因特异部分本来就 ≤3 错配的位点。</t>
        </is>
      </c>
    </row>
    <row r="7">
      <c r="A7" s="2" t="inlineStr">
        <is>
          <t>没有评估的：真实接头（只评估内联 UDP）；管间（不同样本的）串扰；i5 与 i7 的重新配对（可以从更多 UDP 里挑出互补性更低的组合，需要 UDP0097–0384 的序列）。</t>
        </is>
      </c>
    </row>
    <row r="8">
      <c r="A8" s="2" t="inlineStr">
        <is>
          <t>数据：96 管完整引物见 docs/primer_design/udp_tail_full_oligos_96tubes.csv；UDP 序列见 docs/primer_design/udp_tail/udp_set_A_1_96.tsv。</t>
        </is>
      </c>
    </row>
    <row r="9">
      <c r="A9" s="2" t="inlineStr">
        <is>
          <t>版权：Illumina 序列文件要求发表或分发时注明 “Oligonucleotide sequences © 2025 Illumina, Inc. All rights reserved.”，并限定衍生序列只用于 Illumina 仪器和产品。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6" customWidth="1" min="5" max="5"/>
    <col width="8" customWidth="1" min="6" max="6"/>
    <col width="6" customWidth="1" min="7" max="7"/>
    <col width="10" customWidth="1" min="8" max="8"/>
    <col width="34" customWidth="1" min="9" max="9"/>
    <col width="10" customWidth="1" min="10" max="10"/>
    <col width="9" customWidth="1" min="11" max="11"/>
    <col width="9" customWidth="1" min="12" max="12"/>
    <col width="10" customWidth="1" min="13" max="13"/>
    <col width="40" customWidth="1" min="14" max="14"/>
    <col width="10" customWidth="1" min="15" max="15"/>
    <col width="10" customWidth="1" min="16" max="16"/>
    <col width="8" customWidth="1" min="17" max="17"/>
    <col width="9" customWidth="1" min="18" max="18"/>
    <col width="9" customWidth="1" min="19" max="19"/>
    <col width="9" customWidth="1" min="20" max="20"/>
    <col width="9" customWidth="1" min="21" max="21"/>
    <col width="18" customWidth="1" min="22" max="22"/>
    <col width="10" customWidth="1" min="23" max="23"/>
    <col width="9" customWidth="1" min="24" max="24"/>
    <col width="12" customWidth="1" min="25" max="25"/>
    <col width="9" customWidth="1" min="26" max="26"/>
    <col width="8" customWidth="1" min="27" max="27"/>
    <col width="9" customWidth="1" min="28" max="28"/>
    <col width="8" customWidth="1" min="29" max="29"/>
  </cols>
  <sheetData>
    <row r="1" ht="58" customHeight="1">
      <c r="A1" s="3" t="inlineStr">
        <is>
          <t>管</t>
        </is>
      </c>
      <c r="B1" s="3" t="inlineStr">
        <is>
          <t>UDP</t>
        </is>
      </c>
      <c r="C1" s="3" t="inlineStr">
        <is>
          <t>i5（正向引物尾巴）</t>
        </is>
      </c>
      <c r="D1" s="3" t="inlineStr">
        <is>
          <t>i7（反向引物尾巴）</t>
        </is>
      </c>
      <c r="E1" s="3" t="inlineStr">
        <is>
          <t>分级</t>
        </is>
      </c>
      <c r="F1" s="3" t="inlineStr">
        <is>
          <t>推荐48</t>
        </is>
      </c>
      <c r="G1" s="3" t="inlineStr">
        <is>
          <t>排名</t>
        </is>
      </c>
      <c r="H1" s="3" t="inlineStr">
        <is>
          <t>全局二聚体最差 ΔG</t>
        </is>
      </c>
      <c r="I1" s="3" t="inlineStr">
        <is>
          <t>最差配对</t>
        </is>
      </c>
      <c r="J1" s="3" t="inlineStr">
        <is>
          <t>该配对基线 ΔG</t>
        </is>
      </c>
      <c r="K1" s="3" t="inlineStr">
        <is>
          <t>ΔG≤−6 的配对数</t>
        </is>
      </c>
      <c r="L1" s="3" t="inlineStr">
        <is>
          <t>ΔG≤−7 的配对数</t>
        </is>
      </c>
      <c r="M1" s="3" t="inlineStr">
        <is>
          <t>3′端最差 ΔG</t>
        </is>
      </c>
      <c r="N1" s="3" t="inlineStr">
        <is>
          <t>最差 3′配对（前者 3′端延伸）</t>
        </is>
      </c>
      <c r="O1" s="3" t="inlineStr">
        <is>
          <t xml:space="preserve">该配对基线 ΔG </t>
        </is>
      </c>
      <c r="P1" s="3" t="inlineStr">
        <is>
          <t>3′ΔG≤−4 的有向配对数</t>
        </is>
      </c>
      <c r="Q1" s="3" t="inlineStr">
        <is>
          <t>3′ΔG≤−5</t>
        </is>
      </c>
      <c r="R1" s="3" t="inlineStr">
        <is>
          <t>正向×正向最差</t>
        </is>
      </c>
      <c r="S1" s="3" t="inlineStr">
        <is>
          <t>反向×反向最差</t>
        </is>
      </c>
      <c r="T1" s="3" t="inlineStr">
        <is>
          <t>正向×反向最差</t>
        </is>
      </c>
      <c r="U1" s="3" t="inlineStr">
        <is>
          <t>发夹最差 ΔG</t>
        </is>
      </c>
      <c r="V1" s="3" t="inlineStr">
        <is>
          <t>发夹最差引物</t>
        </is>
      </c>
      <c r="W1" s="3" t="inlineStr">
        <is>
          <t>发夹 ΔG≤−3 的展开数</t>
        </is>
      </c>
      <c r="X1" s="3" t="inlineStr">
        <is>
          <t>尾巴×尾巴 ΔG</t>
        </is>
      </c>
      <c r="Y1" s="3" t="inlineStr">
        <is>
          <t>Olivar 总坏度</t>
        </is>
      </c>
      <c r="Z1" s="3" t="inlineStr">
        <is>
          <t>人 全长≤3错配位点</t>
        </is>
      </c>
      <c r="AA1" s="3" t="inlineStr">
        <is>
          <t>人 全长≤4</t>
        </is>
      </c>
      <c r="AB1" s="3" t="inlineStr">
        <is>
          <t>猪 全长≤3错配位点</t>
        </is>
      </c>
      <c r="AC1" s="3" t="inlineStr">
        <is>
          <t>猪 全长≤4</t>
        </is>
      </c>
    </row>
    <row r="2">
      <c r="A2" s="4" t="n">
        <v>1</v>
      </c>
      <c r="B2" s="4" t="inlineStr">
        <is>
          <t>UDP0001</t>
        </is>
      </c>
      <c r="C2" s="4" t="inlineStr">
        <is>
          <t>TCGTGGAGCG</t>
        </is>
      </c>
      <c r="D2" s="4" t="inlineStr">
        <is>
          <t>CGCTCAGTTC</t>
        </is>
      </c>
      <c r="E2" s="5" t="inlineStr">
        <is>
          <t>C</t>
        </is>
      </c>
      <c r="F2" s="4" t="inlineStr"/>
      <c r="G2" s="4" t="n">
        <v>80</v>
      </c>
      <c r="H2" s="4" t="n">
        <v>-8.779999999999999</v>
      </c>
      <c r="I2" s="4" t="inlineStr">
        <is>
          <t>16S-A5-F.1 × 16S-A5-F.1</t>
        </is>
      </c>
      <c r="J2" s="4" t="n">
        <v>-5.14</v>
      </c>
      <c r="K2" s="4" t="n">
        <v>130</v>
      </c>
      <c r="L2" s="4" t="n">
        <v>26</v>
      </c>
      <c r="M2" s="4" t="n">
        <v>-4.39</v>
      </c>
      <c r="N2" s="4" t="inlineStr">
        <is>
          <t>16S-A3-F.1(3′) → 16S-A6-F.1</t>
        </is>
      </c>
      <c r="O2" s="4" t="n">
        <v>0.1</v>
      </c>
      <c r="P2" s="4" t="n">
        <v>1</v>
      </c>
      <c r="Q2" s="4" t="n">
        <v>0</v>
      </c>
      <c r="R2" s="4" t="n">
        <v>-8.779999999999999</v>
      </c>
      <c r="S2" s="4" t="n">
        <v>-5.23</v>
      </c>
      <c r="T2" s="4" t="n">
        <v>-6.74</v>
      </c>
      <c r="U2" s="4" t="n">
        <v>-3.21</v>
      </c>
      <c r="V2" s="4" t="inlineStr">
        <is>
          <t>16S-A6-F.3</t>
        </is>
      </c>
      <c r="W2" s="4" t="n">
        <v>4</v>
      </c>
      <c r="X2" s="4" t="n">
        <v>-2.89</v>
      </c>
      <c r="Y2" s="4" t="n">
        <v>127379</v>
      </c>
      <c r="Z2" s="4" t="n">
        <v>0</v>
      </c>
      <c r="AA2" s="4" t="n">
        <v>0</v>
      </c>
      <c r="AB2" s="4" t="n">
        <v>0</v>
      </c>
      <c r="AC2" s="4" t="n">
        <v>0</v>
      </c>
    </row>
    <row r="3">
      <c r="A3" s="4" t="n">
        <v>2</v>
      </c>
      <c r="B3" s="4" t="inlineStr">
        <is>
          <t>UDP0002</t>
        </is>
      </c>
      <c r="C3" s="4" t="inlineStr">
        <is>
          <t>CTACAAGATA</t>
        </is>
      </c>
      <c r="D3" s="4" t="inlineStr">
        <is>
          <t>TATCTGACCT</t>
        </is>
      </c>
      <c r="E3" s="5" t="inlineStr">
        <is>
          <t>C</t>
        </is>
      </c>
      <c r="F3" s="4" t="inlineStr"/>
      <c r="G3" s="4" t="n">
        <v>71</v>
      </c>
      <c r="H3" s="4" t="n">
        <v>-8.98</v>
      </c>
      <c r="I3" s="4" t="inlineStr">
        <is>
          <t>16S-A4-R.2 × 16S-A5-F.1</t>
        </is>
      </c>
      <c r="J3" s="4" t="n">
        <v>-5.17</v>
      </c>
      <c r="K3" s="4" t="n">
        <v>73</v>
      </c>
      <c r="L3" s="4" t="n">
        <v>70</v>
      </c>
      <c r="M3" s="4" t="n">
        <v>-3.83</v>
      </c>
      <c r="N3" s="4" t="inlineStr">
        <is>
          <t>16S-A2-R.2(3′) → 16S-A6-F.5s</t>
        </is>
      </c>
      <c r="O3" s="4" t="n">
        <v>-3.45</v>
      </c>
      <c r="P3" s="4" t="n">
        <v>0</v>
      </c>
      <c r="Q3" s="4" t="n">
        <v>0</v>
      </c>
      <c r="R3" s="4" t="n">
        <v>-5.74</v>
      </c>
      <c r="S3" s="4" t="n">
        <v>-4.7</v>
      </c>
      <c r="T3" s="4" t="n">
        <v>-8.98</v>
      </c>
      <c r="U3" s="4" t="n">
        <v>-1.59</v>
      </c>
      <c r="V3" s="4" t="inlineStr">
        <is>
          <t>16S-A4-R.2</t>
        </is>
      </c>
      <c r="W3" s="4" t="n">
        <v>0</v>
      </c>
      <c r="X3" s="4" t="n">
        <v>-0.09</v>
      </c>
      <c r="Y3" s="4" t="n">
        <v>89271</v>
      </c>
      <c r="Z3" s="4" t="n">
        <v>0</v>
      </c>
      <c r="AA3" s="4" t="n">
        <v>0</v>
      </c>
      <c r="AB3" s="4" t="n">
        <v>0</v>
      </c>
      <c r="AC3" s="4" t="n">
        <v>0</v>
      </c>
    </row>
    <row r="4">
      <c r="A4" s="4" t="n">
        <v>3</v>
      </c>
      <c r="B4" s="4" t="inlineStr">
        <is>
          <t>UDP0003V3</t>
        </is>
      </c>
      <c r="C4" s="4" t="inlineStr">
        <is>
          <t>TACGTTCATT</t>
        </is>
      </c>
      <c r="D4" s="4" t="inlineStr">
        <is>
          <t>TCGGATGTCG</t>
        </is>
      </c>
      <c r="E4" s="6" t="inlineStr">
        <is>
          <t>A</t>
        </is>
      </c>
      <c r="F4" s="4" t="inlineStr">
        <is>
          <t>推荐</t>
        </is>
      </c>
      <c r="G4" s="4" t="n">
        <v>4</v>
      </c>
      <c r="H4" s="4" t="n">
        <v>-6.09</v>
      </c>
      <c r="I4" s="4" t="inlineStr">
        <is>
          <t>16S-A4-R.2 × 16S-A4-R.2</t>
        </is>
      </c>
      <c r="J4" s="4" t="n">
        <v>-0.75</v>
      </c>
      <c r="K4" s="4" t="n">
        <v>66</v>
      </c>
      <c r="L4" s="4" t="n">
        <v>0</v>
      </c>
      <c r="M4" s="4" t="n">
        <v>-3.88</v>
      </c>
      <c r="N4" s="4" t="inlineStr">
        <is>
          <t>16S-A2-R.1(3′) → 16S-A2-R.2</t>
        </is>
      </c>
      <c r="O4" s="4" t="n">
        <v>2.09</v>
      </c>
      <c r="P4" s="4" t="n">
        <v>0</v>
      </c>
      <c r="Q4" s="4" t="n">
        <v>0</v>
      </c>
      <c r="R4" s="4" t="n">
        <v>-5.74</v>
      </c>
      <c r="S4" s="4" t="n">
        <v>-6.09</v>
      </c>
      <c r="T4" s="4" t="n">
        <v>-5.93</v>
      </c>
      <c r="U4" s="4" t="n">
        <v>-1.77</v>
      </c>
      <c r="V4" s="4" t="inlineStr">
        <is>
          <t>16S-A4-R.2</t>
        </is>
      </c>
      <c r="W4" s="4" t="n">
        <v>0</v>
      </c>
      <c r="X4" s="4" t="n">
        <v>-0.6</v>
      </c>
      <c r="Y4" s="4" t="n">
        <v>38887</v>
      </c>
      <c r="Z4" s="4" t="n">
        <v>0</v>
      </c>
      <c r="AA4" s="4" t="n">
        <v>0</v>
      </c>
      <c r="AB4" s="4" t="n">
        <v>0</v>
      </c>
      <c r="AC4" s="4" t="n">
        <v>1</v>
      </c>
    </row>
    <row r="5">
      <c r="A5" s="4" t="n">
        <v>4</v>
      </c>
      <c r="B5" s="4" t="inlineStr">
        <is>
          <t>UDP0004</t>
        </is>
      </c>
      <c r="C5" s="4" t="inlineStr">
        <is>
          <t>TGCCTGGTGG</t>
        </is>
      </c>
      <c r="D5" s="4" t="inlineStr">
        <is>
          <t>CTTATGGAAT</t>
        </is>
      </c>
      <c r="E5" s="7" t="inlineStr">
        <is>
          <t>B</t>
        </is>
      </c>
      <c r="F5" s="4" t="inlineStr">
        <is>
          <t>推荐</t>
        </is>
      </c>
      <c r="G5" s="4" t="n">
        <v>46</v>
      </c>
      <c r="H5" s="4" t="n">
        <v>-8.220000000000001</v>
      </c>
      <c r="I5" s="4" t="inlineStr">
        <is>
          <t>16S-A3-F.1 × 16S-A3-F.1</t>
        </is>
      </c>
      <c r="J5" s="4" t="n">
        <v>-5.74</v>
      </c>
      <c r="K5" s="4" t="n">
        <v>131</v>
      </c>
      <c r="L5" s="4" t="n">
        <v>40</v>
      </c>
      <c r="M5" s="4" t="n">
        <v>-3.93</v>
      </c>
      <c r="N5" s="4" t="inlineStr">
        <is>
          <t>16S-A6-R.1(3′) → 16S-A6-F.2</t>
        </is>
      </c>
      <c r="O5" s="4" t="n">
        <v>3.35</v>
      </c>
      <c r="P5" s="4" t="n">
        <v>0</v>
      </c>
      <c r="Q5" s="4" t="n">
        <v>0</v>
      </c>
      <c r="R5" s="4" t="n">
        <v>-8.220000000000001</v>
      </c>
      <c r="S5" s="4" t="n">
        <v>-5.11</v>
      </c>
      <c r="T5" s="4" t="n">
        <v>-7.71</v>
      </c>
      <c r="U5" s="4" t="n">
        <v>-1.59</v>
      </c>
      <c r="V5" s="4" t="inlineStr">
        <is>
          <t>16S-A4-R.2</t>
        </is>
      </c>
      <c r="W5" s="4" t="n">
        <v>0</v>
      </c>
      <c r="X5" s="4" t="n">
        <v>-0.97</v>
      </c>
      <c r="Y5" s="4" t="n">
        <v>167559</v>
      </c>
      <c r="Z5" s="4" t="n">
        <v>0</v>
      </c>
      <c r="AA5" s="4" t="n">
        <v>0</v>
      </c>
      <c r="AB5" s="4" t="n">
        <v>0</v>
      </c>
      <c r="AC5" s="4" t="n">
        <v>2</v>
      </c>
    </row>
    <row r="6">
      <c r="A6" s="4" t="n">
        <v>5</v>
      </c>
      <c r="B6" s="4" t="inlineStr">
        <is>
          <t>UDP0005V3</t>
        </is>
      </c>
      <c r="C6" s="4" t="inlineStr">
        <is>
          <t>TCCATCCGAG</t>
        </is>
      </c>
      <c r="D6" s="4" t="inlineStr">
        <is>
          <t>TCCTATTGTG</t>
        </is>
      </c>
      <c r="E6" s="7" t="inlineStr">
        <is>
          <t>B</t>
        </is>
      </c>
      <c r="F6" s="4" t="inlineStr">
        <is>
          <t>推荐</t>
        </is>
      </c>
      <c r="G6" s="4" t="n">
        <v>40</v>
      </c>
      <c r="H6" s="4" t="n">
        <v>-7.68</v>
      </c>
      <c r="I6" s="4" t="inlineStr">
        <is>
          <t>16S-A2-F.1 × 16S-A2-R.1</t>
        </is>
      </c>
      <c r="J6" s="4" t="n">
        <v>-2.02</v>
      </c>
      <c r="K6" s="4" t="n">
        <v>61</v>
      </c>
      <c r="L6" s="4" t="n">
        <v>20</v>
      </c>
      <c r="M6" s="4" t="n">
        <v>-4.19</v>
      </c>
      <c r="N6" s="4" t="inlineStr">
        <is>
          <t>16S-A1-R.8s(3′) → 16S-A3-F.1</t>
        </is>
      </c>
      <c r="O6" s="4" t="n">
        <v>1.57</v>
      </c>
      <c r="P6" s="4" t="n">
        <v>2</v>
      </c>
      <c r="Q6" s="4" t="n">
        <v>0</v>
      </c>
      <c r="R6" s="4" t="n">
        <v>-6.52</v>
      </c>
      <c r="S6" s="4" t="n">
        <v>-4.91</v>
      </c>
      <c r="T6" s="4" t="n">
        <v>-7.68</v>
      </c>
      <c r="U6" s="4" t="n">
        <v>-1.77</v>
      </c>
      <c r="V6" s="4" t="inlineStr">
        <is>
          <t>16S-A4-R.2</t>
        </is>
      </c>
      <c r="W6" s="4" t="n">
        <v>0</v>
      </c>
      <c r="X6" s="4" t="n">
        <v>0.67</v>
      </c>
      <c r="Y6" s="4" t="n">
        <v>108814</v>
      </c>
      <c r="Z6" s="4" t="n">
        <v>0</v>
      </c>
      <c r="AA6" s="4" t="n">
        <v>0</v>
      </c>
      <c r="AB6" s="4" t="n">
        <v>1</v>
      </c>
      <c r="AC6" s="4" t="n">
        <v>4</v>
      </c>
    </row>
    <row r="7">
      <c r="A7" s="4" t="n">
        <v>6</v>
      </c>
      <c r="B7" s="4" t="inlineStr">
        <is>
          <t>UDP0006</t>
        </is>
      </c>
      <c r="C7" s="4" t="inlineStr">
        <is>
          <t>GTCCACTTGT</t>
        </is>
      </c>
      <c r="D7" s="4" t="inlineStr">
        <is>
          <t>GCGCGATGTT</t>
        </is>
      </c>
      <c r="E7" s="7" t="inlineStr">
        <is>
          <t>B</t>
        </is>
      </c>
      <c r="F7" s="4" t="inlineStr">
        <is>
          <t>推荐</t>
        </is>
      </c>
      <c r="G7" s="4" t="n">
        <v>28</v>
      </c>
      <c r="H7" s="4" t="n">
        <v>-7.91</v>
      </c>
      <c r="I7" s="4" t="inlineStr">
        <is>
          <t>16S-A6-F.2 × 16S-A6-F.2</t>
        </is>
      </c>
      <c r="J7" s="4" t="n">
        <v>-5.38</v>
      </c>
      <c r="K7" s="4" t="n">
        <v>10</v>
      </c>
      <c r="L7" s="4" t="n">
        <v>2</v>
      </c>
      <c r="M7" s="4" t="n">
        <v>-3.79</v>
      </c>
      <c r="N7" s="4" t="inlineStr">
        <is>
          <t>16S-A2-R.1(3′) → 16S-A6-F.2</t>
        </is>
      </c>
      <c r="O7" s="4" t="n">
        <v>2.7</v>
      </c>
      <c r="P7" s="4" t="n">
        <v>0</v>
      </c>
      <c r="Q7" s="4" t="n">
        <v>0</v>
      </c>
      <c r="R7" s="4" t="n">
        <v>-7.91</v>
      </c>
      <c r="S7" s="4" t="n">
        <v>-4.79</v>
      </c>
      <c r="T7" s="4" t="n">
        <v>-6.16</v>
      </c>
      <c r="U7" s="4" t="n">
        <v>-1.91</v>
      </c>
      <c r="V7" s="4" t="inlineStr">
        <is>
          <t>16S-A4-R.1</t>
        </is>
      </c>
      <c r="W7" s="4" t="n">
        <v>0</v>
      </c>
      <c r="X7" s="4" t="n">
        <v>0.34</v>
      </c>
      <c r="Y7" s="4" t="n">
        <v>50850</v>
      </c>
      <c r="Z7" s="4" t="n">
        <v>0</v>
      </c>
      <c r="AA7" s="4" t="n">
        <v>1</v>
      </c>
      <c r="AB7" s="4" t="n">
        <v>0</v>
      </c>
      <c r="AC7" s="4" t="n">
        <v>0</v>
      </c>
    </row>
    <row r="8">
      <c r="A8" s="4" t="n">
        <v>7</v>
      </c>
      <c r="B8" s="4" t="inlineStr">
        <is>
          <t>UDP0007</t>
        </is>
      </c>
      <c r="C8" s="4" t="inlineStr">
        <is>
          <t>TGGAACAGTA</t>
        </is>
      </c>
      <c r="D8" s="4" t="inlineStr">
        <is>
          <t>AGAGCACTAG</t>
        </is>
      </c>
      <c r="E8" s="5" t="inlineStr">
        <is>
          <t>C</t>
        </is>
      </c>
      <c r="F8" s="4" t="inlineStr"/>
      <c r="G8" s="4" t="n">
        <v>65</v>
      </c>
      <c r="H8" s="4" t="n">
        <v>-8.85</v>
      </c>
      <c r="I8" s="4" t="inlineStr">
        <is>
          <t>16S-A2-R.3 × 16S-A2-R.3</t>
        </is>
      </c>
      <c r="J8" s="4" t="n">
        <v>1.21</v>
      </c>
      <c r="K8" s="4" t="n">
        <v>163</v>
      </c>
      <c r="L8" s="4" t="n">
        <v>44</v>
      </c>
      <c r="M8" s="4" t="n">
        <v>-3.99</v>
      </c>
      <c r="N8" s="4" t="inlineStr">
        <is>
          <t>16S-A6-R.1(3′) → 16S-A5-R.1</t>
        </is>
      </c>
      <c r="O8" s="4" t="n">
        <v>-0.75</v>
      </c>
      <c r="P8" s="4" t="n">
        <v>0</v>
      </c>
      <c r="Q8" s="4" t="n">
        <v>0</v>
      </c>
      <c r="R8" s="4" t="n">
        <v>-5.74</v>
      </c>
      <c r="S8" s="4" t="n">
        <v>-8.85</v>
      </c>
      <c r="T8" s="4" t="n">
        <v>-7.94</v>
      </c>
      <c r="U8" s="4" t="n">
        <v>-1.77</v>
      </c>
      <c r="V8" s="4" t="inlineStr">
        <is>
          <t>16S-A4-R.2</t>
        </is>
      </c>
      <c r="W8" s="4" t="n">
        <v>0</v>
      </c>
      <c r="X8" s="4" t="n">
        <v>-0.22</v>
      </c>
      <c r="Y8" s="4" t="n">
        <v>76318</v>
      </c>
      <c r="Z8" s="4" t="n">
        <v>0</v>
      </c>
      <c r="AA8" s="4" t="n">
        <v>1</v>
      </c>
      <c r="AB8" s="4" t="n">
        <v>0</v>
      </c>
      <c r="AC8" s="4" t="n">
        <v>0</v>
      </c>
    </row>
    <row r="9">
      <c r="A9" s="4" t="n">
        <v>8</v>
      </c>
      <c r="B9" s="4" t="inlineStr">
        <is>
          <t>UDP0008</t>
        </is>
      </c>
      <c r="C9" s="4" t="inlineStr">
        <is>
          <t>CCTTGTTAAT</t>
        </is>
      </c>
      <c r="D9" s="4" t="inlineStr">
        <is>
          <t>TGCCTTGATC</t>
        </is>
      </c>
      <c r="E9" s="6" t="inlineStr">
        <is>
          <t>A</t>
        </is>
      </c>
      <c r="F9" s="4" t="inlineStr">
        <is>
          <t>推荐</t>
        </is>
      </c>
      <c r="G9" s="4" t="n">
        <v>11</v>
      </c>
      <c r="H9" s="4" t="n">
        <v>-5.74</v>
      </c>
      <c r="I9" s="4" t="inlineStr">
        <is>
          <t>16S-A3-F.1 × 16S-A3-F.1</t>
        </is>
      </c>
      <c r="J9" s="4" t="n">
        <v>-5.74</v>
      </c>
      <c r="K9" s="4" t="n">
        <v>0</v>
      </c>
      <c r="L9" s="4" t="n">
        <v>0</v>
      </c>
      <c r="M9" s="4" t="n">
        <v>-4.17</v>
      </c>
      <c r="N9" s="4" t="inlineStr">
        <is>
          <t>16S-A2-R.1(3′) → 16S-A6-F.2</t>
        </is>
      </c>
      <c r="O9" s="4" t="n">
        <v>2.7</v>
      </c>
      <c r="P9" s="4" t="n">
        <v>2</v>
      </c>
      <c r="Q9" s="4" t="n">
        <v>0</v>
      </c>
      <c r="R9" s="4" t="n">
        <v>-5.74</v>
      </c>
      <c r="S9" s="4" t="n">
        <v>-4.7</v>
      </c>
      <c r="T9" s="4" t="n">
        <v>-5.69</v>
      </c>
      <c r="U9" s="4" t="n">
        <v>-1.62</v>
      </c>
      <c r="V9" s="4" t="inlineStr">
        <is>
          <t>16S-A4-R.2</t>
        </is>
      </c>
      <c r="W9" s="4" t="n">
        <v>0</v>
      </c>
      <c r="X9" s="4" t="n">
        <v>0.49</v>
      </c>
      <c r="Y9" s="4" t="n">
        <v>49641</v>
      </c>
      <c r="Z9" s="4" t="n">
        <v>0</v>
      </c>
      <c r="AA9" s="4" t="n">
        <v>0</v>
      </c>
      <c r="AB9" s="4" t="n">
        <v>0</v>
      </c>
      <c r="AC9" s="4" t="n">
        <v>0</v>
      </c>
    </row>
    <row r="10">
      <c r="A10" s="4" t="n">
        <v>9</v>
      </c>
      <c r="B10" s="4" t="inlineStr">
        <is>
          <t>UDP0009</t>
        </is>
      </c>
      <c r="C10" s="4" t="inlineStr">
        <is>
          <t>GTTGATAGTG</t>
        </is>
      </c>
      <c r="D10" s="4" t="inlineStr">
        <is>
          <t>CTACTCAGTC</t>
        </is>
      </c>
      <c r="E10" s="5" t="inlineStr">
        <is>
          <t>C</t>
        </is>
      </c>
      <c r="F10" s="4" t="inlineStr"/>
      <c r="G10" s="4" t="n">
        <v>92</v>
      </c>
      <c r="H10" s="4" t="n">
        <v>-9.69</v>
      </c>
      <c r="I10" s="4" t="inlineStr">
        <is>
          <t>16S-A6-F.4s × 16S-A6-F.4s</t>
        </is>
      </c>
      <c r="J10" s="4" t="n">
        <v>-3.46</v>
      </c>
      <c r="K10" s="4" t="n">
        <v>95</v>
      </c>
      <c r="L10" s="4" t="n">
        <v>73</v>
      </c>
      <c r="M10" s="4" t="n">
        <v>-4.23</v>
      </c>
      <c r="N10" s="4" t="inlineStr">
        <is>
          <t>16S-A6-F.4s(3′) → 16S-A6-F.4s</t>
        </is>
      </c>
      <c r="O10" s="4" t="n">
        <v>2.56</v>
      </c>
      <c r="P10" s="4" t="n">
        <v>1</v>
      </c>
      <c r="Q10" s="4" t="n">
        <v>0</v>
      </c>
      <c r="R10" s="4" t="n">
        <v>-9.69</v>
      </c>
      <c r="S10" s="4" t="n">
        <v>-4.81</v>
      </c>
      <c r="T10" s="4" t="n">
        <v>-8.029999999999999</v>
      </c>
      <c r="U10" s="4" t="n">
        <v>-1.62</v>
      </c>
      <c r="V10" s="4" t="inlineStr">
        <is>
          <t>16S-A4-R.2</t>
        </is>
      </c>
      <c r="W10" s="4" t="n">
        <v>0</v>
      </c>
      <c r="X10" s="4" t="n">
        <v>-1.03</v>
      </c>
      <c r="Y10" s="4" t="n">
        <v>274149</v>
      </c>
      <c r="Z10" s="4" t="n">
        <v>0</v>
      </c>
      <c r="AA10" s="4" t="n">
        <v>1</v>
      </c>
      <c r="AB10" s="4" t="n">
        <v>0</v>
      </c>
      <c r="AC10" s="4" t="n">
        <v>1</v>
      </c>
    </row>
    <row r="11">
      <c r="A11" s="4" t="n">
        <v>10</v>
      </c>
      <c r="B11" s="4" t="inlineStr">
        <is>
          <t>UDP0010</t>
        </is>
      </c>
      <c r="C11" s="4" t="inlineStr">
        <is>
          <t>ACCAGCGACA</t>
        </is>
      </c>
      <c r="D11" s="4" t="inlineStr">
        <is>
          <t>TCGTCTGACT</t>
        </is>
      </c>
      <c r="E11" s="5" t="inlineStr">
        <is>
          <t>C</t>
        </is>
      </c>
      <c r="F11" s="4" t="inlineStr"/>
      <c r="G11" s="4" t="n">
        <v>69</v>
      </c>
      <c r="H11" s="4" t="n">
        <v>-9.039999999999999</v>
      </c>
      <c r="I11" s="4" t="inlineStr">
        <is>
          <t>16S-A4-R.2 × 16S-A5-F.1</t>
        </is>
      </c>
      <c r="J11" s="4" t="n">
        <v>-5.17</v>
      </c>
      <c r="K11" s="4" t="n">
        <v>35</v>
      </c>
      <c r="L11" s="4" t="n">
        <v>15</v>
      </c>
      <c r="M11" s="4" t="n">
        <v>-4.16</v>
      </c>
      <c r="N11" s="4" t="inlineStr">
        <is>
          <t>16S-A2-F.2(3′) → 16S-A4-R.2</t>
        </is>
      </c>
      <c r="O11" s="4" t="n">
        <v>2.06</v>
      </c>
      <c r="P11" s="4" t="n">
        <v>2</v>
      </c>
      <c r="Q11" s="4" t="n">
        <v>0</v>
      </c>
      <c r="R11" s="4" t="n">
        <v>-5.77</v>
      </c>
      <c r="S11" s="4" t="n">
        <v>-4.7</v>
      </c>
      <c r="T11" s="4" t="n">
        <v>-9.039999999999999</v>
      </c>
      <c r="U11" s="4" t="n">
        <v>-1.92</v>
      </c>
      <c r="V11" s="4" t="inlineStr">
        <is>
          <t>16S-A6-F.3</t>
        </is>
      </c>
      <c r="W11" s="4" t="n">
        <v>0</v>
      </c>
      <c r="X11" s="4" t="n">
        <v>0.19</v>
      </c>
      <c r="Y11" s="4" t="n">
        <v>84032</v>
      </c>
      <c r="Z11" s="4" t="n">
        <v>0</v>
      </c>
      <c r="AA11" s="4" t="n">
        <v>1</v>
      </c>
      <c r="AB11" s="4" t="n">
        <v>0</v>
      </c>
      <c r="AC11" s="4" t="n">
        <v>0</v>
      </c>
    </row>
    <row r="12">
      <c r="A12" s="4" t="n">
        <v>11</v>
      </c>
      <c r="B12" s="4" t="inlineStr">
        <is>
          <t>UDP0011</t>
        </is>
      </c>
      <c r="C12" s="4" t="inlineStr">
        <is>
          <t>CATACACTGT</t>
        </is>
      </c>
      <c r="D12" s="4" t="inlineStr">
        <is>
          <t>GAACATACGG</t>
        </is>
      </c>
      <c r="E12" s="7" t="inlineStr">
        <is>
          <t>B</t>
        </is>
      </c>
      <c r="F12" s="4" t="inlineStr">
        <is>
          <t>推荐</t>
        </is>
      </c>
      <c r="G12" s="4" t="n">
        <v>20</v>
      </c>
      <c r="H12" s="4" t="n">
        <v>-8.09</v>
      </c>
      <c r="I12" s="4" t="inlineStr">
        <is>
          <t>16S-A1-R.3 × 16S-A1-R.3</t>
        </is>
      </c>
      <c r="J12" s="4" t="n">
        <v>0.6</v>
      </c>
      <c r="K12" s="4" t="n">
        <v>40</v>
      </c>
      <c r="L12" s="4" t="n">
        <v>36</v>
      </c>
      <c r="M12" s="4" t="n">
        <v>-4.6</v>
      </c>
      <c r="N12" s="4" t="inlineStr">
        <is>
          <t>16S-A1-F.SNAP(3′) → 16S-A5-R.1</t>
        </is>
      </c>
      <c r="O12" s="4" t="n">
        <v>1.52</v>
      </c>
      <c r="P12" s="4" t="n">
        <v>46</v>
      </c>
      <c r="Q12" s="4" t="n">
        <v>0</v>
      </c>
      <c r="R12" s="4" t="n">
        <v>-6.29</v>
      </c>
      <c r="S12" s="4" t="n">
        <v>-8.09</v>
      </c>
      <c r="T12" s="4" t="n">
        <v>-5.93</v>
      </c>
      <c r="U12" s="4" t="n">
        <v>-3.69</v>
      </c>
      <c r="V12" s="4" t="inlineStr">
        <is>
          <t>16S-A4-R.2</t>
        </is>
      </c>
      <c r="W12" s="4" t="n">
        <v>1</v>
      </c>
      <c r="X12" s="4" t="n">
        <v>0.11</v>
      </c>
      <c r="Y12" s="4" t="n">
        <v>39662</v>
      </c>
      <c r="Z12" s="4" t="n">
        <v>0</v>
      </c>
      <c r="AA12" s="4" t="n">
        <v>0</v>
      </c>
      <c r="AB12" s="4" t="n">
        <v>0</v>
      </c>
      <c r="AC12" s="4" t="n">
        <v>0</v>
      </c>
    </row>
    <row r="13">
      <c r="A13" s="4" t="n">
        <v>12</v>
      </c>
      <c r="B13" s="4" t="inlineStr">
        <is>
          <t>UDP0012</t>
        </is>
      </c>
      <c r="C13" s="4" t="inlineStr">
        <is>
          <t>GTGTGGCGCT</t>
        </is>
      </c>
      <c r="D13" s="4" t="inlineStr">
        <is>
          <t>CCTATGACTC</t>
        </is>
      </c>
      <c r="E13" s="5" t="inlineStr">
        <is>
          <t>C</t>
        </is>
      </c>
      <c r="F13" s="4" t="inlineStr"/>
      <c r="G13" s="4" t="n">
        <v>55</v>
      </c>
      <c r="H13" s="4" t="n">
        <v>-8.43</v>
      </c>
      <c r="I13" s="4" t="inlineStr">
        <is>
          <t>16S-A6-F.4s × 16S-A6-F.4s</t>
        </is>
      </c>
      <c r="J13" s="4" t="n">
        <v>-3.46</v>
      </c>
      <c r="K13" s="4" t="n">
        <v>26</v>
      </c>
      <c r="L13" s="4" t="n">
        <v>6</v>
      </c>
      <c r="M13" s="4" t="n">
        <v>-5.74</v>
      </c>
      <c r="N13" s="4" t="inlineStr">
        <is>
          <t>16S-A2-F.1(3′) → 16S-A1-R.3</t>
        </is>
      </c>
      <c r="O13" s="4" t="n">
        <v>2.14</v>
      </c>
      <c r="P13" s="4" t="n">
        <v>64</v>
      </c>
      <c r="Q13" s="4" t="n">
        <v>48</v>
      </c>
      <c r="R13" s="4" t="n">
        <v>-8.43</v>
      </c>
      <c r="S13" s="4" t="n">
        <v>-5.2</v>
      </c>
      <c r="T13" s="4" t="n">
        <v>-6.53</v>
      </c>
      <c r="U13" s="4" t="n">
        <v>-2.03</v>
      </c>
      <c r="V13" s="4" t="inlineStr">
        <is>
          <t>16S-A2-F.2</t>
        </is>
      </c>
      <c r="W13" s="4" t="n">
        <v>0</v>
      </c>
      <c r="X13" s="4" t="n">
        <v>-0.33</v>
      </c>
      <c r="Y13" s="4" t="n">
        <v>58717</v>
      </c>
      <c r="Z13" s="4" t="n">
        <v>0</v>
      </c>
      <c r="AA13" s="4" t="n">
        <v>0</v>
      </c>
      <c r="AB13" s="4" t="n">
        <v>0</v>
      </c>
      <c r="AC13" s="4" t="n">
        <v>0</v>
      </c>
    </row>
    <row r="14">
      <c r="A14" s="4" t="n">
        <v>13</v>
      </c>
      <c r="B14" s="4" t="inlineStr">
        <is>
          <t>UDP0013</t>
        </is>
      </c>
      <c r="C14" s="4" t="inlineStr">
        <is>
          <t>ATCACGAAGG</t>
        </is>
      </c>
      <c r="D14" s="4" t="inlineStr">
        <is>
          <t>TAATGGCAAG</t>
        </is>
      </c>
      <c r="E14" s="7" t="inlineStr">
        <is>
          <t>B</t>
        </is>
      </c>
      <c r="F14" s="4" t="inlineStr">
        <is>
          <t>推荐</t>
        </is>
      </c>
      <c r="G14" s="4" t="n">
        <v>35</v>
      </c>
      <c r="H14" s="4" t="n">
        <v>-7.82</v>
      </c>
      <c r="I14" s="4" t="inlineStr">
        <is>
          <t>16S-A4-R.1 × 16S-A5-F.1</t>
        </is>
      </c>
      <c r="J14" s="4" t="n">
        <v>-5.17</v>
      </c>
      <c r="K14" s="4" t="n">
        <v>36</v>
      </c>
      <c r="L14" s="4" t="n">
        <v>22</v>
      </c>
      <c r="M14" s="4" t="n">
        <v>-3.99</v>
      </c>
      <c r="N14" s="4" t="inlineStr">
        <is>
          <t>16S-A6-R.1(3′) → 16S-A5-R.1</t>
        </is>
      </c>
      <c r="O14" s="4" t="n">
        <v>-0.75</v>
      </c>
      <c r="P14" s="4" t="n">
        <v>0</v>
      </c>
      <c r="Q14" s="4" t="n">
        <v>0</v>
      </c>
      <c r="R14" s="4" t="n">
        <v>-5.91</v>
      </c>
      <c r="S14" s="4" t="n">
        <v>-5.04</v>
      </c>
      <c r="T14" s="4" t="n">
        <v>-7.82</v>
      </c>
      <c r="U14" s="4" t="n">
        <v>-1.77</v>
      </c>
      <c r="V14" s="4" t="inlineStr">
        <is>
          <t>16S-A4-R.2</t>
        </is>
      </c>
      <c r="W14" s="4" t="n">
        <v>0</v>
      </c>
      <c r="X14" s="4" t="n">
        <v>0.09</v>
      </c>
      <c r="Y14" s="4" t="n">
        <v>84882</v>
      </c>
      <c r="Z14" s="4" t="n">
        <v>0</v>
      </c>
      <c r="AA14" s="4" t="n">
        <v>0</v>
      </c>
      <c r="AB14" s="4" t="n">
        <v>0</v>
      </c>
      <c r="AC14" s="4" t="n">
        <v>0</v>
      </c>
    </row>
    <row r="15">
      <c r="A15" s="4" t="n">
        <v>14</v>
      </c>
      <c r="B15" s="4" t="inlineStr">
        <is>
          <t>UDP0014</t>
        </is>
      </c>
      <c r="C15" s="4" t="inlineStr">
        <is>
          <t>CGGCTCTACT</t>
        </is>
      </c>
      <c r="D15" s="4" t="inlineStr">
        <is>
          <t>GTGCCGCTTC</t>
        </is>
      </c>
      <c r="E15" s="7" t="inlineStr">
        <is>
          <t>B</t>
        </is>
      </c>
      <c r="F15" s="4" t="inlineStr">
        <is>
          <t>推荐</t>
        </is>
      </c>
      <c r="G15" s="4" t="n">
        <v>29</v>
      </c>
      <c r="H15" s="4" t="n">
        <v>-6.27</v>
      </c>
      <c r="I15" s="4" t="inlineStr">
        <is>
          <t>16S-A2-F.2 × 16S-A2-F.2</t>
        </is>
      </c>
      <c r="J15" s="4" t="n">
        <v>-2.36</v>
      </c>
      <c r="K15" s="4" t="n">
        <v>1</v>
      </c>
      <c r="L15" s="4" t="n">
        <v>0</v>
      </c>
      <c r="M15" s="4" t="n">
        <v>-4.96</v>
      </c>
      <c r="N15" s="4" t="inlineStr">
        <is>
          <t>16S-A2-F.1(3′) → 16S-A1-R.3</t>
        </is>
      </c>
      <c r="O15" s="4" t="n">
        <v>2.14</v>
      </c>
      <c r="P15" s="4" t="n">
        <v>48</v>
      </c>
      <c r="Q15" s="4" t="n">
        <v>0</v>
      </c>
      <c r="R15" s="4" t="n">
        <v>-6.27</v>
      </c>
      <c r="S15" s="4" t="n">
        <v>-4.7</v>
      </c>
      <c r="T15" s="4" t="n">
        <v>-5.7</v>
      </c>
      <c r="U15" s="4" t="n">
        <v>-2.05</v>
      </c>
      <c r="V15" s="4" t="inlineStr">
        <is>
          <t>16S-A2-F.2</t>
        </is>
      </c>
      <c r="W15" s="4" t="n">
        <v>0</v>
      </c>
      <c r="X15" s="4" t="n">
        <v>-2.8</v>
      </c>
      <c r="Y15" s="4" t="n">
        <v>51311</v>
      </c>
      <c r="Z15" s="4" t="n">
        <v>0</v>
      </c>
      <c r="AA15" s="4" t="n">
        <v>0</v>
      </c>
      <c r="AB15" s="4" t="n">
        <v>0</v>
      </c>
      <c r="AC15" s="4" t="n">
        <v>0</v>
      </c>
    </row>
    <row r="16">
      <c r="A16" s="4" t="n">
        <v>15</v>
      </c>
      <c r="B16" s="4" t="inlineStr">
        <is>
          <t>UDP0015</t>
        </is>
      </c>
      <c r="C16" s="4" t="inlineStr">
        <is>
          <t>GAATGCACGA</t>
        </is>
      </c>
      <c r="D16" s="4" t="inlineStr">
        <is>
          <t>CGGCAATGGA</t>
        </is>
      </c>
      <c r="E16" s="5" t="inlineStr">
        <is>
          <t>C</t>
        </is>
      </c>
      <c r="F16" s="4" t="inlineStr"/>
      <c r="G16" s="4" t="n">
        <v>58</v>
      </c>
      <c r="H16" s="4" t="n">
        <v>-9.050000000000001</v>
      </c>
      <c r="I16" s="4" t="inlineStr">
        <is>
          <t>16S-A6-F.1 × 16S-A6-F.1</t>
        </is>
      </c>
      <c r="J16" s="4" t="n">
        <v>-2.53</v>
      </c>
      <c r="K16" s="4" t="n">
        <v>1</v>
      </c>
      <c r="L16" s="4" t="n">
        <v>1</v>
      </c>
      <c r="M16" s="4" t="n">
        <v>-5.64</v>
      </c>
      <c r="N16" s="4" t="inlineStr">
        <is>
          <t>16S-A3-F.1(3′) → 16S-A1-R.8s</t>
        </is>
      </c>
      <c r="O16" s="4" t="n">
        <v>-0.05</v>
      </c>
      <c r="P16" s="4" t="n">
        <v>3</v>
      </c>
      <c r="Q16" s="4" t="n">
        <v>2</v>
      </c>
      <c r="R16" s="4" t="n">
        <v>-9.050000000000001</v>
      </c>
      <c r="S16" s="4" t="n">
        <v>-5.18</v>
      </c>
      <c r="T16" s="4" t="n">
        <v>-5.95</v>
      </c>
      <c r="U16" s="4" t="n">
        <v>-2.61</v>
      </c>
      <c r="V16" s="4" t="inlineStr">
        <is>
          <t>16S-A4-R.2</t>
        </is>
      </c>
      <c r="W16" s="4" t="n">
        <v>0</v>
      </c>
      <c r="X16" s="4" t="n">
        <v>-1.57</v>
      </c>
      <c r="Y16" s="4" t="n">
        <v>66918</v>
      </c>
      <c r="Z16" s="4" t="n">
        <v>0</v>
      </c>
      <c r="AA16" s="4" t="n">
        <v>0</v>
      </c>
      <c r="AB16" s="4" t="n">
        <v>0</v>
      </c>
      <c r="AC16" s="4" t="n">
        <v>0</v>
      </c>
    </row>
    <row r="17">
      <c r="A17" s="4" t="n">
        <v>16</v>
      </c>
      <c r="B17" s="4" t="inlineStr">
        <is>
          <t>UDP0016</t>
        </is>
      </c>
      <c r="C17" s="4" t="inlineStr">
        <is>
          <t>AAGACTATAG</t>
        </is>
      </c>
      <c r="D17" s="4" t="inlineStr">
        <is>
          <t>GCCGTAACCG</t>
        </is>
      </c>
      <c r="E17" s="5" t="inlineStr">
        <is>
          <t>C</t>
        </is>
      </c>
      <c r="F17" s="4" t="inlineStr"/>
      <c r="G17" s="4" t="n">
        <v>81</v>
      </c>
      <c r="H17" s="4" t="n">
        <v>-9.66</v>
      </c>
      <c r="I17" s="4" t="inlineStr">
        <is>
          <t>16S-A4-R.2 × 16S-A5-F.1</t>
        </is>
      </c>
      <c r="J17" s="4" t="n">
        <v>-5.17</v>
      </c>
      <c r="K17" s="4" t="n">
        <v>124</v>
      </c>
      <c r="L17" s="4" t="n">
        <v>29</v>
      </c>
      <c r="M17" s="4" t="n">
        <v>-4.02</v>
      </c>
      <c r="N17" s="4" t="inlineStr">
        <is>
          <t>16S-A6-R.3(3′) → 16S-A1-F.6s</t>
        </is>
      </c>
      <c r="O17" s="4" t="n">
        <v>-0.64</v>
      </c>
      <c r="P17" s="4" t="n">
        <v>1</v>
      </c>
      <c r="Q17" s="4" t="n">
        <v>0</v>
      </c>
      <c r="R17" s="4" t="n">
        <v>-6.52</v>
      </c>
      <c r="S17" s="4" t="n">
        <v>-6.18</v>
      </c>
      <c r="T17" s="4" t="n">
        <v>-9.66</v>
      </c>
      <c r="U17" s="4" t="n">
        <v>-1.77</v>
      </c>
      <c r="V17" s="4" t="inlineStr">
        <is>
          <t>16S-A4-R.2</t>
        </is>
      </c>
      <c r="W17" s="4" t="n">
        <v>0</v>
      </c>
      <c r="X17" s="4" t="n">
        <v>0.47</v>
      </c>
      <c r="Y17" s="4" t="n">
        <v>138226</v>
      </c>
      <c r="Z17" s="4" t="n">
        <v>1</v>
      </c>
      <c r="AA17" s="4" t="n">
        <v>4</v>
      </c>
      <c r="AB17" s="4" t="n">
        <v>0</v>
      </c>
      <c r="AC17" s="4" t="n">
        <v>2</v>
      </c>
    </row>
    <row r="18">
      <c r="A18" s="4" t="n">
        <v>17</v>
      </c>
      <c r="B18" s="4" t="inlineStr">
        <is>
          <t>UDP0017</t>
        </is>
      </c>
      <c r="C18" s="4" t="inlineStr">
        <is>
          <t>TCGGCAGCAA</t>
        </is>
      </c>
      <c r="D18" s="4" t="inlineStr">
        <is>
          <t>AACCATTCTC</t>
        </is>
      </c>
      <c r="E18" s="6" t="inlineStr">
        <is>
          <t>A</t>
        </is>
      </c>
      <c r="F18" s="4" t="inlineStr">
        <is>
          <t>推荐</t>
        </is>
      </c>
      <c r="G18" s="4" t="n">
        <v>14</v>
      </c>
      <c r="H18" s="4" t="n">
        <v>-6.71</v>
      </c>
      <c r="I18" s="4" t="inlineStr">
        <is>
          <t>16S-A1-R.8s × 16S-A6-F.2</t>
        </is>
      </c>
      <c r="J18" s="4" t="n">
        <v>-3.54</v>
      </c>
      <c r="K18" s="4" t="n">
        <v>9</v>
      </c>
      <c r="L18" s="4" t="n">
        <v>0</v>
      </c>
      <c r="M18" s="4" t="n">
        <v>-3.83</v>
      </c>
      <c r="N18" s="4" t="inlineStr">
        <is>
          <t>16S-A2-R.2(3′) → 16S-A6-F.5s</t>
        </is>
      </c>
      <c r="O18" s="4" t="n">
        <v>-3.45</v>
      </c>
      <c r="P18" s="4" t="n">
        <v>0</v>
      </c>
      <c r="Q18" s="4" t="n">
        <v>0</v>
      </c>
      <c r="R18" s="4" t="n">
        <v>-5.38</v>
      </c>
      <c r="S18" s="4" t="n">
        <v>-4.7</v>
      </c>
      <c r="T18" s="4" t="n">
        <v>-6.71</v>
      </c>
      <c r="U18" s="4" t="n">
        <v>-2.22</v>
      </c>
      <c r="V18" s="4" t="inlineStr">
        <is>
          <t>16S-A6-F.1</t>
        </is>
      </c>
      <c r="W18" s="4" t="n">
        <v>0</v>
      </c>
      <c r="X18" s="4" t="n">
        <v>-0.43</v>
      </c>
      <c r="Y18" s="4" t="n">
        <v>75762</v>
      </c>
      <c r="Z18" s="4" t="n">
        <v>0</v>
      </c>
      <c r="AA18" s="4" t="n">
        <v>3</v>
      </c>
      <c r="AB18" s="4" t="n">
        <v>0</v>
      </c>
      <c r="AC18" s="4" t="n">
        <v>0</v>
      </c>
    </row>
    <row r="19">
      <c r="A19" s="4" t="n">
        <v>18</v>
      </c>
      <c r="B19" s="4" t="inlineStr">
        <is>
          <t>UDP0018</t>
        </is>
      </c>
      <c r="C19" s="4" t="inlineStr">
        <is>
          <t>CTAATGATGG</t>
        </is>
      </c>
      <c r="D19" s="4" t="inlineStr">
        <is>
          <t>GGTTGCCTCT</t>
        </is>
      </c>
      <c r="E19" s="7" t="inlineStr">
        <is>
          <t>B</t>
        </is>
      </c>
      <c r="F19" s="4" t="inlineStr"/>
      <c r="G19" s="4" t="n">
        <v>50</v>
      </c>
      <c r="H19" s="4" t="n">
        <v>-8.35</v>
      </c>
      <c r="I19" s="4" t="inlineStr">
        <is>
          <t>16S-A4-R.1 × 16S-A5-F.1</t>
        </is>
      </c>
      <c r="J19" s="4" t="n">
        <v>-5.17</v>
      </c>
      <c r="K19" s="4" t="n">
        <v>99</v>
      </c>
      <c r="L19" s="4" t="n">
        <v>11</v>
      </c>
      <c r="M19" s="4" t="n">
        <v>-5.38</v>
      </c>
      <c r="N19" s="4" t="inlineStr">
        <is>
          <t>16S-A2-F.1(3′) → 16S-A4-R.4s</t>
        </is>
      </c>
      <c r="O19" s="4" t="n">
        <v>3.93</v>
      </c>
      <c r="P19" s="4" t="n">
        <v>189</v>
      </c>
      <c r="Q19" s="4" t="n">
        <v>44</v>
      </c>
      <c r="R19" s="4" t="n">
        <v>-6.32</v>
      </c>
      <c r="S19" s="4" t="n">
        <v>-4.7</v>
      </c>
      <c r="T19" s="4" t="n">
        <v>-8.35</v>
      </c>
      <c r="U19" s="4" t="n">
        <v>-1.59</v>
      </c>
      <c r="V19" s="4" t="inlineStr">
        <is>
          <t>16S-A4-R.2</t>
        </is>
      </c>
      <c r="W19" s="4" t="n">
        <v>0</v>
      </c>
      <c r="X19" s="4" t="n">
        <v>-0.16</v>
      </c>
      <c r="Y19" s="4" t="n">
        <v>237030</v>
      </c>
      <c r="Z19" s="4" t="n">
        <v>0</v>
      </c>
      <c r="AA19" s="4" t="n">
        <v>1</v>
      </c>
      <c r="AB19" s="4" t="n">
        <v>1</v>
      </c>
      <c r="AC19" s="4" t="n">
        <v>6</v>
      </c>
    </row>
    <row r="20">
      <c r="A20" s="4" t="n">
        <v>19</v>
      </c>
      <c r="B20" s="4" t="inlineStr">
        <is>
          <t>UDP0019</t>
        </is>
      </c>
      <c r="C20" s="4" t="inlineStr">
        <is>
          <t>GGTTGCCTCT</t>
        </is>
      </c>
      <c r="D20" s="4" t="inlineStr">
        <is>
          <t>CTAATGATGG</t>
        </is>
      </c>
      <c r="E20" s="7" t="inlineStr">
        <is>
          <t>B</t>
        </is>
      </c>
      <c r="F20" s="4" t="inlineStr">
        <is>
          <t>推荐</t>
        </is>
      </c>
      <c r="G20" s="4" t="n">
        <v>26</v>
      </c>
      <c r="H20" s="4" t="n">
        <v>-5.93</v>
      </c>
      <c r="I20" s="4" t="inlineStr">
        <is>
          <t>16S-A4-R.2 × 16S-A5-F.1</t>
        </is>
      </c>
      <c r="J20" s="4" t="n">
        <v>-4.65</v>
      </c>
      <c r="K20" s="4" t="n">
        <v>0</v>
      </c>
      <c r="L20" s="4" t="n">
        <v>0</v>
      </c>
      <c r="M20" s="4" t="n">
        <v>-4.68</v>
      </c>
      <c r="N20" s="4" t="inlineStr">
        <is>
          <t>16S-A3-F.1(3′) → 16S-A1-R.8s</t>
        </is>
      </c>
      <c r="O20" s="4" t="n">
        <v>-0.35</v>
      </c>
      <c r="P20" s="4" t="n">
        <v>2</v>
      </c>
      <c r="Q20" s="4" t="n">
        <v>0</v>
      </c>
      <c r="R20" s="4" t="n">
        <v>-5.74</v>
      </c>
      <c r="S20" s="4" t="n">
        <v>-5.57</v>
      </c>
      <c r="T20" s="4" t="n">
        <v>-5.93</v>
      </c>
      <c r="U20" s="4" t="n">
        <v>-2.3</v>
      </c>
      <c r="V20" s="4" t="inlineStr">
        <is>
          <t>16S-A4-R.2</t>
        </is>
      </c>
      <c r="W20" s="4" t="n">
        <v>0</v>
      </c>
      <c r="X20" s="4" t="n">
        <v>-0.16</v>
      </c>
      <c r="Y20" s="4" t="n">
        <v>47027</v>
      </c>
      <c r="Z20" s="4" t="n">
        <v>0</v>
      </c>
      <c r="AA20" s="4" t="n">
        <v>0</v>
      </c>
      <c r="AB20" s="4" t="n">
        <v>0</v>
      </c>
      <c r="AC20" s="4" t="n">
        <v>1</v>
      </c>
    </row>
    <row r="21">
      <c r="A21" s="4" t="n">
        <v>20</v>
      </c>
      <c r="B21" s="4" t="inlineStr">
        <is>
          <t>UDP0020</t>
        </is>
      </c>
      <c r="C21" s="4" t="inlineStr">
        <is>
          <t>CGCACATGGC</t>
        </is>
      </c>
      <c r="D21" s="4" t="inlineStr">
        <is>
          <t>TCGGCCTATC</t>
        </is>
      </c>
      <c r="E21" s="7" t="inlineStr">
        <is>
          <t>B</t>
        </is>
      </c>
      <c r="F21" s="4" t="inlineStr">
        <is>
          <t>推荐</t>
        </is>
      </c>
      <c r="G21" s="4" t="n">
        <v>33</v>
      </c>
      <c r="H21" s="4" t="n">
        <v>-8.029999999999999</v>
      </c>
      <c r="I21" s="4" t="inlineStr">
        <is>
          <t>16S-A2-F.1 × 16S-A6-F.4s</t>
        </is>
      </c>
      <c r="J21" s="4" t="n">
        <v>-0.13</v>
      </c>
      <c r="K21" s="4" t="n">
        <v>71</v>
      </c>
      <c r="L21" s="4" t="n">
        <v>3</v>
      </c>
      <c r="M21" s="4" t="n">
        <v>-4.78</v>
      </c>
      <c r="N21" s="4" t="inlineStr">
        <is>
          <t>16S-A2-R.1(3′) → 16S-A6-F.2</t>
        </is>
      </c>
      <c r="O21" s="4" t="n">
        <v>-0.12</v>
      </c>
      <c r="P21" s="4" t="n">
        <v>5</v>
      </c>
      <c r="Q21" s="4" t="n">
        <v>0</v>
      </c>
      <c r="R21" s="4" t="n">
        <v>-8.029999999999999</v>
      </c>
      <c r="S21" s="4" t="n">
        <v>-4.7</v>
      </c>
      <c r="T21" s="4" t="n">
        <v>-6.54</v>
      </c>
      <c r="U21" s="4" t="n">
        <v>-1.62</v>
      </c>
      <c r="V21" s="4" t="inlineStr">
        <is>
          <t>16S-A4-R.2</t>
        </is>
      </c>
      <c r="W21" s="4" t="n">
        <v>0</v>
      </c>
      <c r="X21" s="4" t="n">
        <v>-1.52</v>
      </c>
      <c r="Y21" s="4" t="n">
        <v>71056</v>
      </c>
      <c r="Z21" s="4" t="n">
        <v>0</v>
      </c>
      <c r="AA21" s="4" t="n">
        <v>0</v>
      </c>
      <c r="AB21" s="4" t="n">
        <v>0</v>
      </c>
      <c r="AC21" s="4" t="n">
        <v>0</v>
      </c>
    </row>
    <row r="22">
      <c r="A22" s="4" t="n">
        <v>21</v>
      </c>
      <c r="B22" s="4" t="inlineStr">
        <is>
          <t>UDP0021</t>
        </is>
      </c>
      <c r="C22" s="4" t="inlineStr">
        <is>
          <t>GGCCTGTCCT</t>
        </is>
      </c>
      <c r="D22" s="4" t="inlineStr">
        <is>
          <t>AGTCAACCAT</t>
        </is>
      </c>
      <c r="E22" s="7" t="inlineStr">
        <is>
          <t>B</t>
        </is>
      </c>
      <c r="F22" s="4" t="inlineStr">
        <is>
          <t>推荐</t>
        </is>
      </c>
      <c r="G22" s="4" t="n">
        <v>37</v>
      </c>
      <c r="H22" s="4" t="n">
        <v>-7.64</v>
      </c>
      <c r="I22" s="4" t="inlineStr">
        <is>
          <t>16S-A5-R.1 × 16S-A5-R.1</t>
        </is>
      </c>
      <c r="J22" s="4" t="n">
        <v>-2.76</v>
      </c>
      <c r="K22" s="4" t="n">
        <v>17</v>
      </c>
      <c r="L22" s="4" t="n">
        <v>1</v>
      </c>
      <c r="M22" s="4" t="n">
        <v>-3.84</v>
      </c>
      <c r="N22" s="4" t="inlineStr">
        <is>
          <t>16S-A2-F.2(3′) → 16S-A2-F.2</t>
        </is>
      </c>
      <c r="O22" s="4" t="n">
        <v>-0.01</v>
      </c>
      <c r="P22" s="4" t="n">
        <v>0</v>
      </c>
      <c r="Q22" s="4" t="n">
        <v>0</v>
      </c>
      <c r="R22" s="4" t="n">
        <v>-6.67</v>
      </c>
      <c r="S22" s="4" t="n">
        <v>-7.64</v>
      </c>
      <c r="T22" s="4" t="n">
        <v>-6.04</v>
      </c>
      <c r="U22" s="4" t="n">
        <v>-2.61</v>
      </c>
      <c r="V22" s="4" t="inlineStr">
        <is>
          <t>16S-A2-F.2</t>
        </is>
      </c>
      <c r="W22" s="4" t="n">
        <v>0</v>
      </c>
      <c r="X22" s="4" t="n">
        <v>-0.37</v>
      </c>
      <c r="Y22" s="4" t="n">
        <v>93292</v>
      </c>
      <c r="Z22" s="4" t="n">
        <v>0</v>
      </c>
      <c r="AA22" s="4" t="n">
        <v>1</v>
      </c>
      <c r="AB22" s="4" t="n">
        <v>0</v>
      </c>
      <c r="AC22" s="4" t="n">
        <v>0</v>
      </c>
    </row>
    <row r="23">
      <c r="A23" s="4" t="n">
        <v>22</v>
      </c>
      <c r="B23" s="4" t="inlineStr">
        <is>
          <t>UDP0022</t>
        </is>
      </c>
      <c r="C23" s="4" t="inlineStr">
        <is>
          <t>CTGTGTTAGG</t>
        </is>
      </c>
      <c r="D23" s="4" t="inlineStr">
        <is>
          <t>GAGCGCAATA</t>
        </is>
      </c>
      <c r="E23" s="7" t="inlineStr">
        <is>
          <t>B</t>
        </is>
      </c>
      <c r="F23" s="4" t="inlineStr">
        <is>
          <t>推荐</t>
        </is>
      </c>
      <c r="G23" s="4" t="n">
        <v>38</v>
      </c>
      <c r="H23" s="4" t="n">
        <v>-7.9</v>
      </c>
      <c r="I23" s="4" t="inlineStr">
        <is>
          <t>16S-A4-R.1 × 16S-A5-F.1</t>
        </is>
      </c>
      <c r="J23" s="4" t="n">
        <v>-5.17</v>
      </c>
      <c r="K23" s="4" t="n">
        <v>29</v>
      </c>
      <c r="L23" s="4" t="n">
        <v>24</v>
      </c>
      <c r="M23" s="4" t="n">
        <v>-5.04</v>
      </c>
      <c r="N23" s="4" t="inlineStr">
        <is>
          <t>16S-A3-F.1(3′) → 16S-A6-F.1</t>
        </is>
      </c>
      <c r="O23" s="4" t="n">
        <v>0.1</v>
      </c>
      <c r="P23" s="4" t="n">
        <v>6</v>
      </c>
      <c r="Q23" s="4" t="n">
        <v>1</v>
      </c>
      <c r="R23" s="4" t="n">
        <v>-5.74</v>
      </c>
      <c r="S23" s="4" t="n">
        <v>-6.11</v>
      </c>
      <c r="T23" s="4" t="n">
        <v>-7.9</v>
      </c>
      <c r="U23" s="4" t="n">
        <v>-2.61</v>
      </c>
      <c r="V23" s="4" t="inlineStr">
        <is>
          <t>16S-A4-R.2</t>
        </is>
      </c>
      <c r="W23" s="4" t="n">
        <v>0</v>
      </c>
      <c r="X23" s="4" t="n">
        <v>0.39</v>
      </c>
      <c r="Y23" s="4" t="n">
        <v>98234</v>
      </c>
      <c r="Z23" s="4" t="n">
        <v>0</v>
      </c>
      <c r="AA23" s="4" t="n">
        <v>0</v>
      </c>
      <c r="AB23" s="4" t="n">
        <v>0</v>
      </c>
      <c r="AC23" s="4" t="n">
        <v>0</v>
      </c>
    </row>
    <row r="24">
      <c r="A24" s="4" t="n">
        <v>23</v>
      </c>
      <c r="B24" s="4" t="inlineStr">
        <is>
          <t>UDP0023</t>
        </is>
      </c>
      <c r="C24" s="4" t="inlineStr">
        <is>
          <t>TAAGGAACGT</t>
        </is>
      </c>
      <c r="D24" s="4" t="inlineStr">
        <is>
          <t>AACAAGGCGT</t>
        </is>
      </c>
      <c r="E24" s="5" t="inlineStr">
        <is>
          <t>C</t>
        </is>
      </c>
      <c r="F24" s="4" t="inlineStr"/>
      <c r="G24" s="4" t="n">
        <v>72</v>
      </c>
      <c r="H24" s="4" t="n">
        <v>-8.609999999999999</v>
      </c>
      <c r="I24" s="4" t="inlineStr">
        <is>
          <t>16S-A6-F.1 × 16S-A6-F.1</t>
        </is>
      </c>
      <c r="J24" s="4" t="n">
        <v>-2.53</v>
      </c>
      <c r="K24" s="4" t="n">
        <v>141</v>
      </c>
      <c r="L24" s="4" t="n">
        <v>66</v>
      </c>
      <c r="M24" s="4" t="n">
        <v>-5.68</v>
      </c>
      <c r="N24" s="4" t="inlineStr">
        <is>
          <t>16S-A3-F.1(3′) → 16S-A1-R.8s</t>
        </is>
      </c>
      <c r="O24" s="4" t="n">
        <v>-0.35</v>
      </c>
      <c r="P24" s="4" t="n">
        <v>17</v>
      </c>
      <c r="Q24" s="4" t="n">
        <v>2</v>
      </c>
      <c r="R24" s="4" t="n">
        <v>-8.609999999999999</v>
      </c>
      <c r="S24" s="4" t="n">
        <v>-7.15</v>
      </c>
      <c r="T24" s="4" t="n">
        <v>-7.98</v>
      </c>
      <c r="U24" s="4" t="n">
        <v>-1.59</v>
      </c>
      <c r="V24" s="4" t="inlineStr">
        <is>
          <t>16S-A4-R.2</t>
        </is>
      </c>
      <c r="W24" s="4" t="n">
        <v>0</v>
      </c>
      <c r="X24" s="4" t="n">
        <v>-0.72</v>
      </c>
      <c r="Y24" s="4" t="n">
        <v>93841</v>
      </c>
      <c r="Z24" s="4" t="n">
        <v>0</v>
      </c>
      <c r="AA24" s="4" t="n">
        <v>0</v>
      </c>
      <c r="AB24" s="4" t="n">
        <v>0</v>
      </c>
      <c r="AC24" s="4" t="n">
        <v>0</v>
      </c>
    </row>
    <row r="25">
      <c r="A25" s="4" t="n">
        <v>24</v>
      </c>
      <c r="B25" s="4" t="inlineStr">
        <is>
          <t>UDP0024</t>
        </is>
      </c>
      <c r="C25" s="4" t="inlineStr">
        <is>
          <t>CTAACTGTAA</t>
        </is>
      </c>
      <c r="D25" s="4" t="inlineStr">
        <is>
          <t>GTATGTAGAA</t>
        </is>
      </c>
      <c r="E25" s="6" t="inlineStr">
        <is>
          <t>A</t>
        </is>
      </c>
      <c r="F25" s="4" t="inlineStr">
        <is>
          <t>推荐</t>
        </is>
      </c>
      <c r="G25" s="4" t="n">
        <v>6</v>
      </c>
      <c r="H25" s="4" t="n">
        <v>-6.68</v>
      </c>
      <c r="I25" s="4" t="inlineStr">
        <is>
          <t>16S-A4-R.1 × 16S-A4-R.1</t>
        </is>
      </c>
      <c r="J25" s="4" t="n">
        <v>-3.09</v>
      </c>
      <c r="K25" s="4" t="n">
        <v>35</v>
      </c>
      <c r="L25" s="4" t="n">
        <v>0</v>
      </c>
      <c r="M25" s="4" t="n">
        <v>-3.87</v>
      </c>
      <c r="N25" s="4" t="inlineStr">
        <is>
          <t>16S-A6-F.3(3′) → 16S-A5-R.1</t>
        </is>
      </c>
      <c r="O25" s="4" t="n">
        <v>0.15</v>
      </c>
      <c r="P25" s="4" t="n">
        <v>0</v>
      </c>
      <c r="Q25" s="4" t="n">
        <v>0</v>
      </c>
      <c r="R25" s="4" t="n">
        <v>-5.74</v>
      </c>
      <c r="S25" s="4" t="n">
        <v>-6.68</v>
      </c>
      <c r="T25" s="4" t="n">
        <v>-6.44</v>
      </c>
      <c r="U25" s="4" t="n">
        <v>-2.61</v>
      </c>
      <c r="V25" s="4" t="inlineStr">
        <is>
          <t>16S-A4-R.2</t>
        </is>
      </c>
      <c r="W25" s="4" t="n">
        <v>0</v>
      </c>
      <c r="X25" s="4" t="n">
        <v>-0.78</v>
      </c>
      <c r="Y25" s="4" t="n">
        <v>45471</v>
      </c>
      <c r="Z25" s="4" t="n">
        <v>0</v>
      </c>
      <c r="AA25" s="4" t="n">
        <v>0</v>
      </c>
      <c r="AB25" s="4" t="n">
        <v>0</v>
      </c>
      <c r="AC25" s="4" t="n">
        <v>0</v>
      </c>
    </row>
    <row r="26">
      <c r="A26" s="4" t="n">
        <v>25</v>
      </c>
      <c r="B26" s="4" t="inlineStr">
        <is>
          <t>UDP0025</t>
        </is>
      </c>
      <c r="C26" s="4" t="inlineStr">
        <is>
          <t>GGCGAGATGG</t>
        </is>
      </c>
      <c r="D26" s="4" t="inlineStr">
        <is>
          <t>TTCTATGGTT</t>
        </is>
      </c>
      <c r="E26" s="7" t="inlineStr">
        <is>
          <t>B</t>
        </is>
      </c>
      <c r="F26" s="4" t="inlineStr">
        <is>
          <t>推荐</t>
        </is>
      </c>
      <c r="G26" s="4" t="n">
        <v>39</v>
      </c>
      <c r="H26" s="4" t="n">
        <v>-7.22</v>
      </c>
      <c r="I26" s="4" t="inlineStr">
        <is>
          <t>16S-A4-R.5s × 16S-A5-F.1</t>
        </is>
      </c>
      <c r="J26" s="4" t="n">
        <v>-4.63</v>
      </c>
      <c r="K26" s="4" t="n">
        <v>6</v>
      </c>
      <c r="L26" s="4" t="n">
        <v>1</v>
      </c>
      <c r="M26" s="4" t="n">
        <v>-4.53</v>
      </c>
      <c r="N26" s="4" t="inlineStr">
        <is>
          <t>16S-A5-F.1(3′) → 16S-A4-R.5s</t>
        </is>
      </c>
      <c r="O26" s="4" t="n">
        <v>3.88</v>
      </c>
      <c r="P26" s="4" t="n">
        <v>2</v>
      </c>
      <c r="Q26" s="4" t="n">
        <v>0</v>
      </c>
      <c r="R26" s="4" t="n">
        <v>-6.32</v>
      </c>
      <c r="S26" s="4" t="n">
        <v>-5.6</v>
      </c>
      <c r="T26" s="4" t="n">
        <v>-7.22</v>
      </c>
      <c r="U26" s="4" t="n">
        <v>-1.59</v>
      </c>
      <c r="V26" s="4" t="inlineStr">
        <is>
          <t>16S-A4-R.2</t>
        </is>
      </c>
      <c r="W26" s="4" t="n">
        <v>0</v>
      </c>
      <c r="X26" s="4" t="n">
        <v>-0.09</v>
      </c>
      <c r="Y26" s="4" t="n">
        <v>107258</v>
      </c>
      <c r="Z26" s="4" t="n">
        <v>0</v>
      </c>
      <c r="AA26" s="4" t="n">
        <v>0</v>
      </c>
      <c r="AB26" s="4" t="n">
        <v>0</v>
      </c>
      <c r="AC26" s="4" t="n">
        <v>1</v>
      </c>
    </row>
    <row r="27">
      <c r="A27" s="4" t="n">
        <v>26</v>
      </c>
      <c r="B27" s="4" t="inlineStr">
        <is>
          <t>UDP0026</t>
        </is>
      </c>
      <c r="C27" s="4" t="inlineStr">
        <is>
          <t>AATAGAGCAA</t>
        </is>
      </c>
      <c r="D27" s="4" t="inlineStr">
        <is>
          <t>CCTCGCAACC</t>
        </is>
      </c>
      <c r="E27" s="6" t="inlineStr">
        <is>
          <t>A</t>
        </is>
      </c>
      <c r="F27" s="4" t="inlineStr">
        <is>
          <t>推荐</t>
        </is>
      </c>
      <c r="G27" s="4" t="n">
        <v>7</v>
      </c>
      <c r="H27" s="4" t="n">
        <v>-6.52</v>
      </c>
      <c r="I27" s="4" t="inlineStr">
        <is>
          <t>16S-A4-R.2 × 16S-A4-R.2</t>
        </is>
      </c>
      <c r="J27" s="4" t="n">
        <v>-2.37</v>
      </c>
      <c r="K27" s="4" t="n">
        <v>6</v>
      </c>
      <c r="L27" s="4" t="n">
        <v>0</v>
      </c>
      <c r="M27" s="4" t="n">
        <v>-3.83</v>
      </c>
      <c r="N27" s="4" t="inlineStr">
        <is>
          <t>16S-A2-R.2(3′) → 16S-A6-F.5s</t>
        </is>
      </c>
      <c r="O27" s="4" t="n">
        <v>-3.45</v>
      </c>
      <c r="P27" s="4" t="n">
        <v>0</v>
      </c>
      <c r="Q27" s="4" t="n">
        <v>0</v>
      </c>
      <c r="R27" s="4" t="n">
        <v>-5.74</v>
      </c>
      <c r="S27" s="4" t="n">
        <v>-6.52</v>
      </c>
      <c r="T27" s="4" t="n">
        <v>-6.03</v>
      </c>
      <c r="U27" s="4" t="n">
        <v>-1.94</v>
      </c>
      <c r="V27" s="4" t="inlineStr">
        <is>
          <t>16S-A4-R.2</t>
        </is>
      </c>
      <c r="W27" s="4" t="n">
        <v>0</v>
      </c>
      <c r="X27" s="4" t="n">
        <v>-0.76</v>
      </c>
      <c r="Y27" s="4" t="n">
        <v>46366</v>
      </c>
      <c r="Z27" s="4" t="n">
        <v>0</v>
      </c>
      <c r="AA27" s="4" t="n">
        <v>0</v>
      </c>
      <c r="AB27" s="4" t="n">
        <v>0</v>
      </c>
      <c r="AC27" s="4" t="n">
        <v>1</v>
      </c>
    </row>
    <row r="28">
      <c r="A28" s="4" t="n">
        <v>27</v>
      </c>
      <c r="B28" s="4" t="inlineStr">
        <is>
          <t>UDP0027</t>
        </is>
      </c>
      <c r="C28" s="4" t="inlineStr">
        <is>
          <t>TCAATCCATT</t>
        </is>
      </c>
      <c r="D28" s="4" t="inlineStr">
        <is>
          <t>TGGATGCTTA</t>
        </is>
      </c>
      <c r="E28" s="6" t="inlineStr">
        <is>
          <t>A</t>
        </is>
      </c>
      <c r="F28" s="4" t="inlineStr">
        <is>
          <t>推荐</t>
        </is>
      </c>
      <c r="G28" s="4" t="n">
        <v>10</v>
      </c>
      <c r="H28" s="4" t="n">
        <v>-6.1</v>
      </c>
      <c r="I28" s="4" t="inlineStr">
        <is>
          <t>16S-A4-R.2 × 16S-A5-F.1</t>
        </is>
      </c>
      <c r="J28" s="4" t="n">
        <v>-4.65</v>
      </c>
      <c r="K28" s="4" t="n">
        <v>14</v>
      </c>
      <c r="L28" s="4" t="n">
        <v>0</v>
      </c>
      <c r="M28" s="4" t="n">
        <v>-3.79</v>
      </c>
      <c r="N28" s="4" t="inlineStr">
        <is>
          <t>16S-A2-R.1(3′) → 16S-A6-F.2</t>
        </is>
      </c>
      <c r="O28" s="4" t="n">
        <v>2.7</v>
      </c>
      <c r="P28" s="4" t="n">
        <v>0</v>
      </c>
      <c r="Q28" s="4" t="n">
        <v>0</v>
      </c>
      <c r="R28" s="4" t="n">
        <v>-5.74</v>
      </c>
      <c r="S28" s="4" t="n">
        <v>-5.65</v>
      </c>
      <c r="T28" s="4" t="n">
        <v>-6.1</v>
      </c>
      <c r="U28" s="4" t="n">
        <v>-2.61</v>
      </c>
      <c r="V28" s="4" t="inlineStr">
        <is>
          <t>16S-A4-R.2</t>
        </is>
      </c>
      <c r="W28" s="4" t="n">
        <v>0</v>
      </c>
      <c r="X28" s="4" t="n">
        <v>-1.49</v>
      </c>
      <c r="Y28" s="4" t="n">
        <v>48463</v>
      </c>
      <c r="Z28" s="4" t="n">
        <v>0</v>
      </c>
      <c r="AA28" s="4" t="n">
        <v>5</v>
      </c>
      <c r="AB28" s="4" t="n">
        <v>0</v>
      </c>
      <c r="AC28" s="4" t="n">
        <v>1</v>
      </c>
    </row>
    <row r="29">
      <c r="A29" s="4" t="n">
        <v>28</v>
      </c>
      <c r="B29" s="4" t="inlineStr">
        <is>
          <t>UDP0028</t>
        </is>
      </c>
      <c r="C29" s="4" t="inlineStr">
        <is>
          <t>TCGTATGCGG</t>
        </is>
      </c>
      <c r="D29" s="4" t="inlineStr">
        <is>
          <t>ATGTCGTGGT</t>
        </is>
      </c>
      <c r="E29" s="5" t="inlineStr">
        <is>
          <t>C</t>
        </is>
      </c>
      <c r="F29" s="4" t="inlineStr"/>
      <c r="G29" s="4" t="n">
        <v>82</v>
      </c>
      <c r="H29" s="4" t="n">
        <v>-9.69</v>
      </c>
      <c r="I29" s="4" t="inlineStr">
        <is>
          <t>16S-A5-F.3 × 16S-A5-F.3</t>
        </is>
      </c>
      <c r="J29" s="4" t="n">
        <v>-1.39</v>
      </c>
      <c r="K29" s="4" t="n">
        <v>120</v>
      </c>
      <c r="L29" s="4" t="n">
        <v>35</v>
      </c>
      <c r="M29" s="4" t="n">
        <v>-5.08</v>
      </c>
      <c r="N29" s="4" t="inlineStr">
        <is>
          <t>16S-A3-F.1(3′) → 16S-A2-R.3</t>
        </is>
      </c>
      <c r="O29" s="4" t="n">
        <v>0.68</v>
      </c>
      <c r="P29" s="4" t="n">
        <v>39</v>
      </c>
      <c r="Q29" s="4" t="n">
        <v>8</v>
      </c>
      <c r="R29" s="4" t="n">
        <v>-9.69</v>
      </c>
      <c r="S29" s="4" t="n">
        <v>-5.6</v>
      </c>
      <c r="T29" s="4" t="n">
        <v>-8.17</v>
      </c>
      <c r="U29" s="4" t="n">
        <v>-3.69</v>
      </c>
      <c r="V29" s="4" t="inlineStr">
        <is>
          <t>16S-A3-F.1</t>
        </is>
      </c>
      <c r="W29" s="4" t="n">
        <v>7</v>
      </c>
      <c r="X29" s="4" t="n">
        <v>-0.42</v>
      </c>
      <c r="Y29" s="4" t="n">
        <v>140965</v>
      </c>
      <c r="Z29" s="4" t="n">
        <v>0</v>
      </c>
      <c r="AA29" s="4" t="n">
        <v>2</v>
      </c>
      <c r="AB29" s="4" t="n">
        <v>0</v>
      </c>
      <c r="AC29" s="4" t="n">
        <v>0</v>
      </c>
    </row>
    <row r="30">
      <c r="A30" s="4" t="n">
        <v>29</v>
      </c>
      <c r="B30" s="4" t="inlineStr">
        <is>
          <t>UDP0029</t>
        </is>
      </c>
      <c r="C30" s="4" t="inlineStr">
        <is>
          <t>TCCGACCTCG</t>
        </is>
      </c>
      <c r="D30" s="4" t="inlineStr">
        <is>
          <t>AGAGTGCGGC</t>
        </is>
      </c>
      <c r="E30" s="5" t="inlineStr">
        <is>
          <t>C</t>
        </is>
      </c>
      <c r="F30" s="4" t="inlineStr"/>
      <c r="G30" s="4" t="n">
        <v>93</v>
      </c>
      <c r="H30" s="4" t="n">
        <v>-11.36</v>
      </c>
      <c r="I30" s="4" t="inlineStr">
        <is>
          <t>16S-A2-R.3 × 16S-A3-F.1</t>
        </is>
      </c>
      <c r="J30" s="4" t="n">
        <v>-3.16</v>
      </c>
      <c r="K30" s="4" t="n">
        <v>625</v>
      </c>
      <c r="L30" s="4" t="n">
        <v>376</v>
      </c>
      <c r="M30" s="4" t="n">
        <v>-10.25</v>
      </c>
      <c r="N30" s="4" t="inlineStr">
        <is>
          <t>16S-A3-F.1(3′) → 16S-A2-R.3</t>
        </is>
      </c>
      <c r="O30" s="4" t="n">
        <v>3.47</v>
      </c>
      <c r="P30" s="4" t="n">
        <v>261</v>
      </c>
      <c r="Q30" s="4" t="n">
        <v>107</v>
      </c>
      <c r="R30" s="4" t="n">
        <v>-8.15</v>
      </c>
      <c r="S30" s="4" t="n">
        <v>-7.92</v>
      </c>
      <c r="T30" s="4" t="n">
        <v>-11.36</v>
      </c>
      <c r="U30" s="4" t="n">
        <v>-2.54</v>
      </c>
      <c r="V30" s="4" t="inlineStr">
        <is>
          <t>16S-A5-F.1</t>
        </is>
      </c>
      <c r="W30" s="4" t="n">
        <v>0</v>
      </c>
      <c r="X30" s="4" t="n">
        <v>-2.24</v>
      </c>
      <c r="Y30" s="4" t="n">
        <v>419969</v>
      </c>
      <c r="Z30" s="4" t="n">
        <v>0</v>
      </c>
      <c r="AA30" s="4" t="n">
        <v>0</v>
      </c>
      <c r="AB30" s="4" t="n">
        <v>0</v>
      </c>
      <c r="AC30" s="4" t="n">
        <v>1</v>
      </c>
    </row>
    <row r="31">
      <c r="A31" s="4" t="n">
        <v>30</v>
      </c>
      <c r="B31" s="4" t="inlineStr">
        <is>
          <t>UDP0030</t>
        </is>
      </c>
      <c r="C31" s="4" t="inlineStr">
        <is>
          <t>CTTATGGAAT</t>
        </is>
      </c>
      <c r="D31" s="4" t="inlineStr">
        <is>
          <t>TGCCTGGTGG</t>
        </is>
      </c>
      <c r="E31" s="7" t="inlineStr">
        <is>
          <t>B</t>
        </is>
      </c>
      <c r="F31" s="4" t="inlineStr">
        <is>
          <t>推荐</t>
        </is>
      </c>
      <c r="G31" s="4" t="n">
        <v>36</v>
      </c>
      <c r="H31" s="4" t="n">
        <v>-6.88</v>
      </c>
      <c r="I31" s="4" t="inlineStr">
        <is>
          <t>16S-A1-R.1 × 16S-A1-R.1</t>
        </is>
      </c>
      <c r="J31" s="4" t="n">
        <v>0.07000000000000001</v>
      </c>
      <c r="K31" s="4" t="n">
        <v>81</v>
      </c>
      <c r="L31" s="4" t="n">
        <v>0</v>
      </c>
      <c r="M31" s="4" t="n">
        <v>-4.68</v>
      </c>
      <c r="N31" s="4" t="inlineStr">
        <is>
          <t>16S-A3-F.1(3′) → 16S-A1-R.8s</t>
        </is>
      </c>
      <c r="O31" s="4" t="n">
        <v>-0.35</v>
      </c>
      <c r="P31" s="4" t="n">
        <v>4</v>
      </c>
      <c r="Q31" s="4" t="n">
        <v>0</v>
      </c>
      <c r="R31" s="4" t="n">
        <v>-5.74</v>
      </c>
      <c r="S31" s="4" t="n">
        <v>-6.88</v>
      </c>
      <c r="T31" s="4" t="n">
        <v>-5.93</v>
      </c>
      <c r="U31" s="4" t="n">
        <v>-3.08</v>
      </c>
      <c r="V31" s="4" t="inlineStr">
        <is>
          <t>16S-A1-R.1</t>
        </is>
      </c>
      <c r="W31" s="4" t="n">
        <v>7</v>
      </c>
      <c r="X31" s="4" t="n">
        <v>-0.97</v>
      </c>
      <c r="Y31" s="4" t="n">
        <v>92810</v>
      </c>
      <c r="Z31" s="4" t="n">
        <v>0</v>
      </c>
      <c r="AA31" s="4" t="n">
        <v>0</v>
      </c>
      <c r="AB31" s="4" t="n">
        <v>0</v>
      </c>
      <c r="AC31" s="4" t="n">
        <v>2</v>
      </c>
    </row>
    <row r="32">
      <c r="A32" s="4" t="n">
        <v>31</v>
      </c>
      <c r="B32" s="4" t="inlineStr">
        <is>
          <t>UDP0031</t>
        </is>
      </c>
      <c r="C32" s="4" t="inlineStr">
        <is>
          <t>GCTTACGGAC</t>
        </is>
      </c>
      <c r="D32" s="4" t="inlineStr">
        <is>
          <t>TGCGTGTCAC</t>
        </is>
      </c>
      <c r="E32" s="7" t="inlineStr">
        <is>
          <t>B</t>
        </is>
      </c>
      <c r="F32" s="4" t="inlineStr">
        <is>
          <t>推荐</t>
        </is>
      </c>
      <c r="G32" s="4" t="n">
        <v>25</v>
      </c>
      <c r="H32" s="4" t="n">
        <v>-6.72</v>
      </c>
      <c r="I32" s="4" t="inlineStr">
        <is>
          <t>16S-A2-R.1 × 16S-A2-R.1</t>
        </is>
      </c>
      <c r="J32" s="4" t="n">
        <v>0.11</v>
      </c>
      <c r="K32" s="4" t="n">
        <v>136</v>
      </c>
      <c r="L32" s="4" t="n">
        <v>0</v>
      </c>
      <c r="M32" s="4" t="n">
        <v>-5.14</v>
      </c>
      <c r="N32" s="4" t="inlineStr">
        <is>
          <t>16S-A3-F.1(3′) → 16S-A4-R.2</t>
        </is>
      </c>
      <c r="O32" s="4" t="n">
        <v>2.93</v>
      </c>
      <c r="P32" s="4" t="n">
        <v>37</v>
      </c>
      <c r="Q32" s="4" t="n">
        <v>10</v>
      </c>
      <c r="R32" s="4" t="n">
        <v>-5.74</v>
      </c>
      <c r="S32" s="4" t="n">
        <v>-6.72</v>
      </c>
      <c r="T32" s="4" t="n">
        <v>-5.77</v>
      </c>
      <c r="U32" s="4" t="n">
        <v>-1.62</v>
      </c>
      <c r="V32" s="4" t="inlineStr">
        <is>
          <t>16S-A4-R.2</t>
        </is>
      </c>
      <c r="W32" s="4" t="n">
        <v>0</v>
      </c>
      <c r="X32" s="4" t="n">
        <v>-1.53</v>
      </c>
      <c r="Y32" s="4" t="n">
        <v>46768</v>
      </c>
      <c r="Z32" s="4" t="n">
        <v>0</v>
      </c>
      <c r="AA32" s="4" t="n">
        <v>0</v>
      </c>
      <c r="AB32" s="4" t="n">
        <v>0</v>
      </c>
      <c r="AC32" s="4" t="n">
        <v>0</v>
      </c>
    </row>
    <row r="33">
      <c r="A33" s="4" t="n">
        <v>32</v>
      </c>
      <c r="B33" s="4" t="inlineStr">
        <is>
          <t>UDP0032</t>
        </is>
      </c>
      <c r="C33" s="4" t="inlineStr">
        <is>
          <t>GAACATACGG</t>
        </is>
      </c>
      <c r="D33" s="4" t="inlineStr">
        <is>
          <t>CATACACTGT</t>
        </is>
      </c>
      <c r="E33" s="5" t="inlineStr">
        <is>
          <t>C</t>
        </is>
      </c>
      <c r="F33" s="4" t="inlineStr"/>
      <c r="G33" s="4" t="n">
        <v>83</v>
      </c>
      <c r="H33" s="4" t="n">
        <v>-10.03</v>
      </c>
      <c r="I33" s="4" t="inlineStr">
        <is>
          <t>16S-A5-F.3 × 16S-A5-F.3</t>
        </is>
      </c>
      <c r="J33" s="4" t="n">
        <v>-1.39</v>
      </c>
      <c r="K33" s="4" t="n">
        <v>44</v>
      </c>
      <c r="L33" s="4" t="n">
        <v>24</v>
      </c>
      <c r="M33" s="4" t="n">
        <v>-4.34</v>
      </c>
      <c r="N33" s="4" t="inlineStr">
        <is>
          <t>16S-A3-F.1(3′) → 16S-A1-R.8s</t>
        </is>
      </c>
      <c r="O33" s="4" t="n">
        <v>-0.35</v>
      </c>
      <c r="P33" s="4" t="n">
        <v>2</v>
      </c>
      <c r="Q33" s="4" t="n">
        <v>0</v>
      </c>
      <c r="R33" s="4" t="n">
        <v>-10.03</v>
      </c>
      <c r="S33" s="4" t="n">
        <v>-4.7</v>
      </c>
      <c r="T33" s="4" t="n">
        <v>-7.64</v>
      </c>
      <c r="U33" s="4" t="n">
        <v>-2.19</v>
      </c>
      <c r="V33" s="4" t="inlineStr">
        <is>
          <t>16S-A3-F.1</t>
        </is>
      </c>
      <c r="W33" s="4" t="n">
        <v>0</v>
      </c>
      <c r="X33" s="4" t="n">
        <v>0.11</v>
      </c>
      <c r="Y33" s="4" t="n">
        <v>154471</v>
      </c>
      <c r="Z33" s="4" t="n">
        <v>0</v>
      </c>
      <c r="AA33" s="4" t="n">
        <v>0</v>
      </c>
      <c r="AB33" s="4" t="n">
        <v>0</v>
      </c>
      <c r="AC33" s="4" t="n">
        <v>1</v>
      </c>
    </row>
    <row r="34">
      <c r="A34" s="4" t="n">
        <v>33</v>
      </c>
      <c r="B34" s="4" t="inlineStr">
        <is>
          <t>UDP0033</t>
        </is>
      </c>
      <c r="C34" s="4" t="inlineStr">
        <is>
          <t>GTCGATTACA</t>
        </is>
      </c>
      <c r="D34" s="4" t="inlineStr">
        <is>
          <t>CGTATAATCA</t>
        </is>
      </c>
      <c r="E34" s="6" t="inlineStr">
        <is>
          <t>A</t>
        </is>
      </c>
      <c r="F34" s="4" t="inlineStr">
        <is>
          <t>推荐</t>
        </is>
      </c>
      <c r="G34" s="4" t="n">
        <v>5</v>
      </c>
      <c r="H34" s="4" t="n">
        <v>-6.44</v>
      </c>
      <c r="I34" s="4" t="inlineStr">
        <is>
          <t>16S-A4-R.2 × 16S-A5-F.1</t>
        </is>
      </c>
      <c r="J34" s="4" t="n">
        <v>-5.17</v>
      </c>
      <c r="K34" s="4" t="n">
        <v>18</v>
      </c>
      <c r="L34" s="4" t="n">
        <v>0</v>
      </c>
      <c r="M34" s="4" t="n">
        <v>-3.83</v>
      </c>
      <c r="N34" s="4" t="inlineStr">
        <is>
          <t>16S-A2-R.2(3′) → 16S-A6-F.5s</t>
        </is>
      </c>
      <c r="O34" s="4" t="n">
        <v>-3.45</v>
      </c>
      <c r="P34" s="4" t="n">
        <v>0</v>
      </c>
      <c r="Q34" s="4" t="n">
        <v>0</v>
      </c>
      <c r="R34" s="4" t="n">
        <v>-5.77</v>
      </c>
      <c r="S34" s="4" t="n">
        <v>-6.02</v>
      </c>
      <c r="T34" s="4" t="n">
        <v>-6.44</v>
      </c>
      <c r="U34" s="4" t="n">
        <v>-2.61</v>
      </c>
      <c r="V34" s="4" t="inlineStr">
        <is>
          <t>16S-A4-R.2</t>
        </is>
      </c>
      <c r="W34" s="4" t="n">
        <v>0</v>
      </c>
      <c r="X34" s="4" t="n">
        <v>-0.26</v>
      </c>
      <c r="Y34" s="4" t="n">
        <v>43551</v>
      </c>
      <c r="Z34" s="4" t="n">
        <v>0</v>
      </c>
      <c r="AA34" s="4" t="n">
        <v>0</v>
      </c>
      <c r="AB34" s="4" t="n">
        <v>0</v>
      </c>
      <c r="AC34" s="4" t="n">
        <v>0</v>
      </c>
    </row>
    <row r="35">
      <c r="A35" s="4" t="n">
        <v>34</v>
      </c>
      <c r="B35" s="4" t="inlineStr">
        <is>
          <t>UDP0034</t>
        </is>
      </c>
      <c r="C35" s="4" t="inlineStr">
        <is>
          <t>ACTAGCCGTG</t>
        </is>
      </c>
      <c r="D35" s="4" t="inlineStr">
        <is>
          <t>TACGCGGCTG</t>
        </is>
      </c>
      <c r="E35" s="5" t="inlineStr">
        <is>
          <t>C</t>
        </is>
      </c>
      <c r="F35" s="4" t="inlineStr"/>
      <c r="G35" s="4" t="n">
        <v>96</v>
      </c>
      <c r="H35" s="4" t="n">
        <v>-14.22</v>
      </c>
      <c r="I35" s="4" t="inlineStr">
        <is>
          <t>16S-A2-R.1 × 16S-A3-F.1</t>
        </is>
      </c>
      <c r="J35" s="4" t="n">
        <v>-2.72</v>
      </c>
      <c r="K35" s="4" t="n">
        <v>1477</v>
      </c>
      <c r="L35" s="4" t="n">
        <v>1199</v>
      </c>
      <c r="M35" s="4" t="n">
        <v>-7.63</v>
      </c>
      <c r="N35" s="4" t="inlineStr">
        <is>
          <t>16S-A2-R.2(3′) → 16S-A3-F.1</t>
        </is>
      </c>
      <c r="O35" s="4" t="n">
        <v>-0.36</v>
      </c>
      <c r="P35" s="4" t="n">
        <v>335</v>
      </c>
      <c r="Q35" s="4" t="n">
        <v>169</v>
      </c>
      <c r="R35" s="4" t="n">
        <v>-9.029999999999999</v>
      </c>
      <c r="S35" s="4" t="n">
        <v>-8.81</v>
      </c>
      <c r="T35" s="4" t="n">
        <v>-14.22</v>
      </c>
      <c r="U35" s="4" t="n">
        <v>-2.31</v>
      </c>
      <c r="V35" s="4" t="inlineStr">
        <is>
          <t>16S-A1-R.8s</t>
        </is>
      </c>
      <c r="W35" s="4" t="n">
        <v>0</v>
      </c>
      <c r="X35" s="4" t="n">
        <v>-4.49</v>
      </c>
      <c r="Y35" s="4" t="n">
        <v>2132468</v>
      </c>
      <c r="Z35" s="4" t="n">
        <v>0</v>
      </c>
      <c r="AA35" s="4" t="n">
        <v>0</v>
      </c>
      <c r="AB35" s="4" t="n">
        <v>0</v>
      </c>
      <c r="AC35" s="4" t="n">
        <v>0</v>
      </c>
    </row>
    <row r="36">
      <c r="A36" s="4" t="n">
        <v>35</v>
      </c>
      <c r="B36" s="4" t="inlineStr">
        <is>
          <t>UDP0035</t>
        </is>
      </c>
      <c r="C36" s="4" t="inlineStr">
        <is>
          <t>AAGTTGGTGA</t>
        </is>
      </c>
      <c r="D36" s="4" t="inlineStr">
        <is>
          <t>GCGAGTTACC</t>
        </is>
      </c>
      <c r="E36" s="5" t="inlineStr">
        <is>
          <t>C</t>
        </is>
      </c>
      <c r="F36" s="4" t="inlineStr"/>
      <c r="G36" s="4" t="n">
        <v>94</v>
      </c>
      <c r="H36" s="4" t="n">
        <v>-7.18</v>
      </c>
      <c r="I36" s="4" t="inlineStr">
        <is>
          <t>16S-A1-R.1 × 16S-A6-F.1</t>
        </is>
      </c>
      <c r="J36" s="4" t="n">
        <v>-0.66</v>
      </c>
      <c r="K36" s="4" t="n">
        <v>97</v>
      </c>
      <c r="L36" s="4" t="n">
        <v>30</v>
      </c>
      <c r="M36" s="4" t="n">
        <v>-6.05</v>
      </c>
      <c r="N36" s="4" t="inlineStr">
        <is>
          <t>16S-A3-F.1(3′) → 16S-A2-R.1</t>
        </is>
      </c>
      <c r="O36" s="4" t="n">
        <v>1.51</v>
      </c>
      <c r="P36" s="4" t="n">
        <v>45</v>
      </c>
      <c r="Q36" s="4" t="n">
        <v>12</v>
      </c>
      <c r="R36" s="4" t="n">
        <v>-5.74</v>
      </c>
      <c r="S36" s="4" t="n">
        <v>-4.96</v>
      </c>
      <c r="T36" s="4" t="n">
        <v>-7.18</v>
      </c>
      <c r="U36" s="4" t="n">
        <v>-1.62</v>
      </c>
      <c r="V36" s="4" t="inlineStr">
        <is>
          <t>16S-A4-R.2</t>
        </is>
      </c>
      <c r="W36" s="4" t="n">
        <v>0</v>
      </c>
      <c r="X36" s="4" t="n">
        <v>-1.03</v>
      </c>
      <c r="Y36" s="4" t="n">
        <v>505830</v>
      </c>
      <c r="Z36" s="4" t="n">
        <v>0</v>
      </c>
      <c r="AA36" s="4" t="n">
        <v>1</v>
      </c>
      <c r="AB36" s="4" t="n">
        <v>0</v>
      </c>
      <c r="AC36" s="4" t="n">
        <v>1</v>
      </c>
    </row>
    <row r="37">
      <c r="A37" s="4" t="n">
        <v>36</v>
      </c>
      <c r="B37" s="4" t="inlineStr">
        <is>
          <t>UDP0036</t>
        </is>
      </c>
      <c r="C37" s="4" t="inlineStr">
        <is>
          <t>TGGCAATATT</t>
        </is>
      </c>
      <c r="D37" s="4" t="inlineStr">
        <is>
          <t>TACGGCCGGT</t>
        </is>
      </c>
      <c r="E37" s="5" t="inlineStr">
        <is>
          <t>C</t>
        </is>
      </c>
      <c r="F37" s="4" t="inlineStr"/>
      <c r="G37" s="4" t="n">
        <v>70</v>
      </c>
      <c r="H37" s="4" t="n">
        <v>-8.25</v>
      </c>
      <c r="I37" s="4" t="inlineStr">
        <is>
          <t>16S-A4-R.4s × 16S-A4-R.4s</t>
        </is>
      </c>
      <c r="J37" s="4" t="n">
        <v>-1.84</v>
      </c>
      <c r="K37" s="4" t="n">
        <v>9280</v>
      </c>
      <c r="L37" s="4" t="n">
        <v>196</v>
      </c>
      <c r="M37" s="4" t="n">
        <v>-5.92</v>
      </c>
      <c r="N37" s="4" t="inlineStr">
        <is>
          <t>16S-A3-F.1(3′) → 16S-A1-R.8s</t>
        </is>
      </c>
      <c r="O37" s="4" t="n">
        <v>-0.35</v>
      </c>
      <c r="P37" s="4" t="n">
        <v>3</v>
      </c>
      <c r="Q37" s="4" t="n">
        <v>2</v>
      </c>
      <c r="R37" s="4" t="n">
        <v>-5.74</v>
      </c>
      <c r="S37" s="4" t="n">
        <v>-8.25</v>
      </c>
      <c r="T37" s="4" t="n">
        <v>-5.92</v>
      </c>
      <c r="U37" s="4" t="n">
        <v>-1.59</v>
      </c>
      <c r="V37" s="4" t="inlineStr">
        <is>
          <t>16S-A4-R.2</t>
        </is>
      </c>
      <c r="W37" s="4" t="n">
        <v>0</v>
      </c>
      <c r="X37" s="4" t="n">
        <v>-1.48</v>
      </c>
      <c r="Y37" s="4" t="n">
        <v>89231</v>
      </c>
      <c r="Z37" s="4" t="n">
        <v>0</v>
      </c>
      <c r="AA37" s="4" t="n">
        <v>0</v>
      </c>
      <c r="AB37" s="4" t="n">
        <v>0</v>
      </c>
      <c r="AC37" s="4" t="n">
        <v>0</v>
      </c>
    </row>
    <row r="38">
      <c r="A38" s="4" t="n">
        <v>37</v>
      </c>
      <c r="B38" s="4" t="inlineStr">
        <is>
          <t>UDP0037</t>
        </is>
      </c>
      <c r="C38" s="4" t="inlineStr">
        <is>
          <t>GATCACCGCG</t>
        </is>
      </c>
      <c r="D38" s="4" t="inlineStr">
        <is>
          <t>GTCGATTACA</t>
        </is>
      </c>
      <c r="E38" s="7" t="inlineStr">
        <is>
          <t>B</t>
        </is>
      </c>
      <c r="F38" s="4" t="inlineStr">
        <is>
          <t>推荐</t>
        </is>
      </c>
      <c r="G38" s="4" t="n">
        <v>47</v>
      </c>
      <c r="H38" s="4" t="n">
        <v>-8.27</v>
      </c>
      <c r="I38" s="4" t="inlineStr">
        <is>
          <t>16S-A4-R.2 × 16S-A5-F.1</t>
        </is>
      </c>
      <c r="J38" s="4" t="n">
        <v>-5.17</v>
      </c>
      <c r="K38" s="4" t="n">
        <v>612</v>
      </c>
      <c r="L38" s="4" t="n">
        <v>173</v>
      </c>
      <c r="M38" s="4" t="n">
        <v>-3.98</v>
      </c>
      <c r="N38" s="4" t="inlineStr">
        <is>
          <t>16S-A4-R.1(3′) → 16S-A5-F.1</t>
        </is>
      </c>
      <c r="O38" s="4" t="n">
        <v>0.35</v>
      </c>
      <c r="P38" s="4" t="n">
        <v>0</v>
      </c>
      <c r="Q38" s="4" t="n">
        <v>0</v>
      </c>
      <c r="R38" s="4" t="n">
        <v>-7.58</v>
      </c>
      <c r="S38" s="4" t="n">
        <v>-6.39</v>
      </c>
      <c r="T38" s="4" t="n">
        <v>-8.27</v>
      </c>
      <c r="U38" s="4" t="n">
        <v>-2.61</v>
      </c>
      <c r="V38" s="4" t="inlineStr">
        <is>
          <t>16S-A4-R.2</t>
        </is>
      </c>
      <c r="W38" s="4" t="n">
        <v>0</v>
      </c>
      <c r="X38" s="4" t="n">
        <v>-0.98</v>
      </c>
      <c r="Y38" s="4" t="n">
        <v>177368</v>
      </c>
      <c r="Z38" s="4" t="n">
        <v>0</v>
      </c>
      <c r="AA38" s="4" t="n">
        <v>0</v>
      </c>
      <c r="AB38" s="4" t="n">
        <v>0</v>
      </c>
      <c r="AC38" s="4" t="n">
        <v>0</v>
      </c>
    </row>
    <row r="39">
      <c r="A39" s="4" t="n">
        <v>38</v>
      </c>
      <c r="B39" s="4" t="inlineStr">
        <is>
          <t>UDP0038</t>
        </is>
      </c>
      <c r="C39" s="4" t="inlineStr">
        <is>
          <t>TACCATCCGT</t>
        </is>
      </c>
      <c r="D39" s="4" t="inlineStr">
        <is>
          <t>CTGTCTGCAC</t>
        </is>
      </c>
      <c r="E39" s="7" t="inlineStr">
        <is>
          <t>B</t>
        </is>
      </c>
      <c r="F39" s="4" t="inlineStr">
        <is>
          <t>推荐</t>
        </is>
      </c>
      <c r="G39" s="4" t="n">
        <v>24</v>
      </c>
      <c r="H39" s="4" t="n">
        <v>-7.5</v>
      </c>
      <c r="I39" s="4" t="inlineStr">
        <is>
          <t>16S-A5-F.3 × 16S-A5-F.3</t>
        </is>
      </c>
      <c r="J39" s="4" t="n">
        <v>-2.21</v>
      </c>
      <c r="K39" s="4" t="n">
        <v>20</v>
      </c>
      <c r="L39" s="4" t="n">
        <v>4</v>
      </c>
      <c r="M39" s="4" t="n">
        <v>-3.89</v>
      </c>
      <c r="N39" s="4" t="inlineStr">
        <is>
          <t>16S-A3-F.1(3′) → 16S-A4-R.2</t>
        </is>
      </c>
      <c r="O39" s="4" t="n">
        <v>3.9</v>
      </c>
      <c r="P39" s="4" t="n">
        <v>0</v>
      </c>
      <c r="Q39" s="4" t="n">
        <v>0</v>
      </c>
      <c r="R39" s="4" t="n">
        <v>-7.5</v>
      </c>
      <c r="S39" s="4" t="n">
        <v>-6.59</v>
      </c>
      <c r="T39" s="4" t="n">
        <v>-5.69</v>
      </c>
      <c r="U39" s="4" t="n">
        <v>-1.62</v>
      </c>
      <c r="V39" s="4" t="inlineStr">
        <is>
          <t>16S-A4-R.2</t>
        </is>
      </c>
      <c r="W39" s="4" t="n">
        <v>0</v>
      </c>
      <c r="X39" s="4" t="n">
        <v>-0.08</v>
      </c>
      <c r="Y39" s="4" t="n">
        <v>46512</v>
      </c>
      <c r="Z39" s="4" t="n">
        <v>0</v>
      </c>
      <c r="AA39" s="4" t="n">
        <v>1</v>
      </c>
      <c r="AB39" s="4" t="n">
        <v>0</v>
      </c>
      <c r="AC39" s="4" t="n">
        <v>0</v>
      </c>
    </row>
    <row r="40">
      <c r="A40" s="4" t="n">
        <v>39</v>
      </c>
      <c r="B40" s="4" t="inlineStr">
        <is>
          <t>UDP0039</t>
        </is>
      </c>
      <c r="C40" s="4" t="inlineStr">
        <is>
          <t>GCTGTAGGAA</t>
        </is>
      </c>
      <c r="D40" s="4" t="inlineStr">
        <is>
          <t>CAGCCGATTG</t>
        </is>
      </c>
      <c r="E40" s="6" t="inlineStr">
        <is>
          <t>A</t>
        </is>
      </c>
      <c r="F40" s="4" t="inlineStr">
        <is>
          <t>推荐</t>
        </is>
      </c>
      <c r="G40" s="4" t="n">
        <v>1</v>
      </c>
      <c r="H40" s="4" t="n">
        <v>-6.27</v>
      </c>
      <c r="I40" s="4" t="inlineStr">
        <is>
          <t>16S-A4-R.1 × 16S-A5-F.1</t>
        </is>
      </c>
      <c r="J40" s="4" t="n">
        <v>-5.17</v>
      </c>
      <c r="K40" s="4" t="n">
        <v>146</v>
      </c>
      <c r="L40" s="4" t="n">
        <v>0</v>
      </c>
      <c r="M40" s="4" t="n">
        <v>-3.93</v>
      </c>
      <c r="N40" s="4" t="inlineStr">
        <is>
          <t>16S-A6-R.1(3′) → 16S-A5-R.1</t>
        </is>
      </c>
      <c r="O40" s="4" t="n">
        <v>-0.75</v>
      </c>
      <c r="P40" s="4" t="n">
        <v>0</v>
      </c>
      <c r="Q40" s="4" t="n">
        <v>0</v>
      </c>
      <c r="R40" s="4" t="n">
        <v>-5.74</v>
      </c>
      <c r="S40" s="4" t="n">
        <v>-6.11</v>
      </c>
      <c r="T40" s="4" t="n">
        <v>-6.27</v>
      </c>
      <c r="U40" s="4" t="n">
        <v>-1.77</v>
      </c>
      <c r="V40" s="4" t="inlineStr">
        <is>
          <t>16S-A4-R.2</t>
        </is>
      </c>
      <c r="W40" s="4" t="n">
        <v>0</v>
      </c>
      <c r="X40" s="4" t="n">
        <v>-1.1</v>
      </c>
      <c r="Y40" s="4" t="n">
        <v>36148</v>
      </c>
      <c r="Z40" s="4" t="n">
        <v>0</v>
      </c>
      <c r="AA40" s="4" t="n">
        <v>0</v>
      </c>
      <c r="AB40" s="4" t="n">
        <v>0</v>
      </c>
      <c r="AC40" s="4" t="n">
        <v>3</v>
      </c>
    </row>
    <row r="41">
      <c r="A41" s="4" t="n">
        <v>40</v>
      </c>
      <c r="B41" s="4" t="inlineStr">
        <is>
          <t>UDP0040</t>
        </is>
      </c>
      <c r="C41" s="4" t="inlineStr">
        <is>
          <t>CGCACTAATG</t>
        </is>
      </c>
      <c r="D41" s="4" t="inlineStr">
        <is>
          <t>TGACTACATA</t>
        </is>
      </c>
      <c r="E41" s="5" t="inlineStr">
        <is>
          <t>C</t>
        </is>
      </c>
      <c r="F41" s="4" t="inlineStr"/>
      <c r="G41" s="4" t="n">
        <v>77</v>
      </c>
      <c r="H41" s="4" t="n">
        <v>-8.69</v>
      </c>
      <c r="I41" s="4" t="inlineStr">
        <is>
          <t>16S-A4-R.1 × 16S-A5-F.1</t>
        </is>
      </c>
      <c r="J41" s="4" t="n">
        <v>-5.17</v>
      </c>
      <c r="K41" s="4" t="n">
        <v>35</v>
      </c>
      <c r="L41" s="4" t="n">
        <v>23</v>
      </c>
      <c r="M41" s="4" t="n">
        <v>-3.96</v>
      </c>
      <c r="N41" s="4" t="inlineStr">
        <is>
          <t>16S-A6-R.3(3′) → 16S-A1-F.6s</t>
        </is>
      </c>
      <c r="O41" s="4" t="n">
        <v>-0.64</v>
      </c>
      <c r="P41" s="4" t="n">
        <v>0</v>
      </c>
      <c r="Q41" s="4" t="n">
        <v>0</v>
      </c>
      <c r="R41" s="4" t="n">
        <v>-7.71</v>
      </c>
      <c r="S41" s="4" t="n">
        <v>-5.65</v>
      </c>
      <c r="T41" s="4" t="n">
        <v>-8.69</v>
      </c>
      <c r="U41" s="4" t="n">
        <v>-2.61</v>
      </c>
      <c r="V41" s="4" t="inlineStr">
        <is>
          <t>16S-A4-R.2</t>
        </is>
      </c>
      <c r="W41" s="4" t="n">
        <v>0</v>
      </c>
      <c r="X41" s="4" t="n">
        <v>-0.1</v>
      </c>
      <c r="Y41" s="4" t="n">
        <v>108536</v>
      </c>
      <c r="Z41" s="4" t="n">
        <v>0</v>
      </c>
      <c r="AA41" s="4" t="n">
        <v>0</v>
      </c>
      <c r="AB41" s="4" t="n">
        <v>0</v>
      </c>
      <c r="AC41" s="4" t="n">
        <v>0</v>
      </c>
    </row>
    <row r="42">
      <c r="A42" s="4" t="n">
        <v>41</v>
      </c>
      <c r="B42" s="4" t="inlineStr">
        <is>
          <t>UDP0041</t>
        </is>
      </c>
      <c r="C42" s="4" t="inlineStr">
        <is>
          <t>GACAACTGAA</t>
        </is>
      </c>
      <c r="D42" s="4" t="inlineStr">
        <is>
          <t>ATTGCCGAGT</t>
        </is>
      </c>
      <c r="E42" s="5" t="inlineStr">
        <is>
          <t>C</t>
        </is>
      </c>
      <c r="F42" s="4" t="inlineStr"/>
      <c r="G42" s="4" t="n">
        <v>59</v>
      </c>
      <c r="H42" s="4" t="n">
        <v>-6.18</v>
      </c>
      <c r="I42" s="4" t="inlineStr">
        <is>
          <t>16S-A4-R.1 × 16S-A5-F.1</t>
        </is>
      </c>
      <c r="J42" s="4" t="n">
        <v>-5.17</v>
      </c>
      <c r="K42" s="4" t="n">
        <v>11</v>
      </c>
      <c r="L42" s="4" t="n">
        <v>0</v>
      </c>
      <c r="M42" s="4" t="n">
        <v>-6.01</v>
      </c>
      <c r="N42" s="4" t="inlineStr">
        <is>
          <t>16S-A3-F.1(3′) → 16S-A1-R.8s</t>
        </is>
      </c>
      <c r="O42" s="4" t="n">
        <v>-0.35</v>
      </c>
      <c r="P42" s="4" t="n">
        <v>3</v>
      </c>
      <c r="Q42" s="4" t="n">
        <v>2</v>
      </c>
      <c r="R42" s="4" t="n">
        <v>-5.74</v>
      </c>
      <c r="S42" s="4" t="n">
        <v>-4.7</v>
      </c>
      <c r="T42" s="4" t="n">
        <v>-6.18</v>
      </c>
      <c r="U42" s="4" t="n">
        <v>-1.59</v>
      </c>
      <c r="V42" s="4" t="inlineStr">
        <is>
          <t>16S-A4-R.2</t>
        </is>
      </c>
      <c r="W42" s="4" t="n">
        <v>0</v>
      </c>
      <c r="X42" s="4" t="n">
        <v>-0.5</v>
      </c>
      <c r="Y42" s="4" t="n">
        <v>69186</v>
      </c>
      <c r="Z42" s="4" t="n">
        <v>0</v>
      </c>
      <c r="AA42" s="4" t="n">
        <v>0</v>
      </c>
      <c r="AB42" s="4" t="n">
        <v>0</v>
      </c>
      <c r="AC42" s="4" t="n">
        <v>2</v>
      </c>
    </row>
    <row r="43">
      <c r="A43" s="4" t="n">
        <v>42</v>
      </c>
      <c r="B43" s="4" t="inlineStr">
        <is>
          <t>UDP0042</t>
        </is>
      </c>
      <c r="C43" s="4" t="inlineStr">
        <is>
          <t>AGTGGTCAGG</t>
        </is>
      </c>
      <c r="D43" s="4" t="inlineStr">
        <is>
          <t>GCCATTAGAC</t>
        </is>
      </c>
      <c r="E43" s="7" t="inlineStr">
        <is>
          <t>B</t>
        </is>
      </c>
      <c r="F43" s="4" t="inlineStr">
        <is>
          <t>推荐</t>
        </is>
      </c>
      <c r="G43" s="4" t="n">
        <v>43</v>
      </c>
      <c r="H43" s="4" t="n">
        <v>-7.49</v>
      </c>
      <c r="I43" s="4" t="inlineStr">
        <is>
          <t>16S-A4-R.1 × 16S-A5-F.1</t>
        </is>
      </c>
      <c r="J43" s="4" t="n">
        <v>-5.17</v>
      </c>
      <c r="K43" s="4" t="n">
        <v>85</v>
      </c>
      <c r="L43" s="4" t="n">
        <v>8</v>
      </c>
      <c r="M43" s="4" t="n">
        <v>-3.99</v>
      </c>
      <c r="N43" s="4" t="inlineStr">
        <is>
          <t>16S-A6-R.1(3′) → 16S-A6-F.2</t>
        </is>
      </c>
      <c r="O43" s="4" t="n">
        <v>3.35</v>
      </c>
      <c r="P43" s="4" t="n">
        <v>0</v>
      </c>
      <c r="Q43" s="4" t="n">
        <v>0</v>
      </c>
      <c r="R43" s="4" t="n">
        <v>-6.32</v>
      </c>
      <c r="S43" s="4" t="n">
        <v>-4.7</v>
      </c>
      <c r="T43" s="4" t="n">
        <v>-7.49</v>
      </c>
      <c r="U43" s="4" t="n">
        <v>-1.62</v>
      </c>
      <c r="V43" s="4" t="inlineStr">
        <is>
          <t>16S-A4-R.2</t>
        </is>
      </c>
      <c r="W43" s="4" t="n">
        <v>0</v>
      </c>
      <c r="X43" s="4" t="n">
        <v>-0.92</v>
      </c>
      <c r="Y43" s="4" t="n">
        <v>125791</v>
      </c>
      <c r="Z43" s="4" t="n">
        <v>0</v>
      </c>
      <c r="AA43" s="4" t="n">
        <v>2</v>
      </c>
      <c r="AB43" s="4" t="n">
        <v>0</v>
      </c>
      <c r="AC43" s="4" t="n">
        <v>0</v>
      </c>
    </row>
    <row r="44">
      <c r="A44" s="4" t="n">
        <v>43</v>
      </c>
      <c r="B44" s="4" t="inlineStr">
        <is>
          <t>UDP0043</t>
        </is>
      </c>
      <c r="C44" s="4" t="inlineStr">
        <is>
          <t>TTCTATGGTT</t>
        </is>
      </c>
      <c r="D44" s="4" t="inlineStr">
        <is>
          <t>GGCGAGATGG</t>
        </is>
      </c>
      <c r="E44" s="7" t="inlineStr">
        <is>
          <t>B</t>
        </is>
      </c>
      <c r="F44" s="4" t="inlineStr">
        <is>
          <t>推荐</t>
        </is>
      </c>
      <c r="G44" s="4" t="n">
        <v>19</v>
      </c>
      <c r="H44" s="4" t="n">
        <v>-5.93</v>
      </c>
      <c r="I44" s="4" t="inlineStr">
        <is>
          <t>16S-A4-R.2 × 16S-A5-F.1</t>
        </is>
      </c>
      <c r="J44" s="4" t="n">
        <v>-4.65</v>
      </c>
      <c r="K44" s="4" t="n">
        <v>0</v>
      </c>
      <c r="L44" s="4" t="n">
        <v>0</v>
      </c>
      <c r="M44" s="4" t="n">
        <v>-4.68</v>
      </c>
      <c r="N44" s="4" t="inlineStr">
        <is>
          <t>16S-A3-F.1(3′) → 16S-A1-R.8s</t>
        </is>
      </c>
      <c r="O44" s="4" t="n">
        <v>-0.35</v>
      </c>
      <c r="P44" s="4" t="n">
        <v>2</v>
      </c>
      <c r="Q44" s="4" t="n">
        <v>0</v>
      </c>
      <c r="R44" s="4" t="n">
        <v>-5.74</v>
      </c>
      <c r="S44" s="4" t="n">
        <v>-5.85</v>
      </c>
      <c r="T44" s="4" t="n">
        <v>-5.93</v>
      </c>
      <c r="U44" s="4" t="n">
        <v>-2.3</v>
      </c>
      <c r="V44" s="4" t="inlineStr">
        <is>
          <t>16S-A4-R.2</t>
        </is>
      </c>
      <c r="W44" s="4" t="n">
        <v>0</v>
      </c>
      <c r="X44" s="4" t="n">
        <v>-0.09</v>
      </c>
      <c r="Y44" s="4" t="n">
        <v>38734</v>
      </c>
      <c r="Z44" s="4" t="n">
        <v>0</v>
      </c>
      <c r="AA44" s="4" t="n">
        <v>0</v>
      </c>
      <c r="AB44" s="4" t="n">
        <v>0</v>
      </c>
      <c r="AC44" s="4" t="n">
        <v>0</v>
      </c>
    </row>
    <row r="45">
      <c r="A45" s="4" t="n">
        <v>44</v>
      </c>
      <c r="B45" s="4" t="inlineStr">
        <is>
          <t>UDP0044</t>
        </is>
      </c>
      <c r="C45" s="4" t="inlineStr">
        <is>
          <t>AATCCGGCCA</t>
        </is>
      </c>
      <c r="D45" s="4" t="inlineStr">
        <is>
          <t>TGGCTCGCAG</t>
        </is>
      </c>
      <c r="E45" s="5" t="inlineStr">
        <is>
          <t>C</t>
        </is>
      </c>
      <c r="F45" s="4" t="inlineStr"/>
      <c r="G45" s="4" t="n">
        <v>53</v>
      </c>
      <c r="H45" s="4" t="n">
        <v>-9.48</v>
      </c>
      <c r="I45" s="4" t="inlineStr">
        <is>
          <t>16S-A4-R.2 × 16S-A4-R.2</t>
        </is>
      </c>
      <c r="J45" s="4" t="n">
        <v>-2.37</v>
      </c>
      <c r="K45" s="4" t="n">
        <v>52</v>
      </c>
      <c r="L45" s="4" t="n">
        <v>5</v>
      </c>
      <c r="M45" s="4" t="n">
        <v>-5.22</v>
      </c>
      <c r="N45" s="4" t="inlineStr">
        <is>
          <t>16S-A2-F.1(3′) → 16S-A2-F.2</t>
        </is>
      </c>
      <c r="O45" s="4" t="n">
        <v>-1.67</v>
      </c>
      <c r="P45" s="4" t="n">
        <v>7</v>
      </c>
      <c r="Q45" s="4" t="n">
        <v>5</v>
      </c>
      <c r="R45" s="4" t="n">
        <v>-5.74</v>
      </c>
      <c r="S45" s="4" t="n">
        <v>-9.48</v>
      </c>
      <c r="T45" s="4" t="n">
        <v>-6.27</v>
      </c>
      <c r="U45" s="4" t="n">
        <v>-2.11</v>
      </c>
      <c r="V45" s="4" t="inlineStr">
        <is>
          <t>16S-A2-F.2</t>
        </is>
      </c>
      <c r="W45" s="4" t="n">
        <v>0</v>
      </c>
      <c r="X45" s="4" t="n">
        <v>-2.06</v>
      </c>
      <c r="Y45" s="4" t="n">
        <v>37695</v>
      </c>
      <c r="Z45" s="4" t="n">
        <v>0</v>
      </c>
      <c r="AA45" s="4" t="n">
        <v>1</v>
      </c>
      <c r="AB45" s="4" t="n">
        <v>0</v>
      </c>
      <c r="AC45" s="4" t="n">
        <v>1</v>
      </c>
    </row>
    <row r="46">
      <c r="A46" s="4" t="n">
        <v>45</v>
      </c>
      <c r="B46" s="4" t="inlineStr">
        <is>
          <t>UDP0045</t>
        </is>
      </c>
      <c r="C46" s="4" t="inlineStr">
        <is>
          <t>CCATAAGGTT</t>
        </is>
      </c>
      <c r="D46" s="4" t="inlineStr">
        <is>
          <t>TAGAATAACG</t>
        </is>
      </c>
      <c r="E46" s="5" t="inlineStr">
        <is>
          <t>C</t>
        </is>
      </c>
      <c r="F46" s="4" t="inlineStr"/>
      <c r="G46" s="4" t="n">
        <v>91</v>
      </c>
      <c r="H46" s="4" t="n">
        <v>-9.300000000000001</v>
      </c>
      <c r="I46" s="4" t="inlineStr">
        <is>
          <t>16S-A4-R.2 × 16S-A4-R.2</t>
        </is>
      </c>
      <c r="J46" s="4" t="n">
        <v>-2.07</v>
      </c>
      <c r="K46" s="4" t="n">
        <v>176</v>
      </c>
      <c r="L46" s="4" t="n">
        <v>153</v>
      </c>
      <c r="M46" s="4" t="n">
        <v>-5.21</v>
      </c>
      <c r="N46" s="4" t="inlineStr">
        <is>
          <t>16S-A4-F.1(3′) → 16S-A5-R.1</t>
        </is>
      </c>
      <c r="O46" s="4" t="n">
        <v>2.03</v>
      </c>
      <c r="P46" s="4" t="n">
        <v>17</v>
      </c>
      <c r="Q46" s="4" t="n">
        <v>8</v>
      </c>
      <c r="R46" s="4" t="n">
        <v>-6.06</v>
      </c>
      <c r="S46" s="4" t="n">
        <v>-9.300000000000001</v>
      </c>
      <c r="T46" s="4" t="n">
        <v>-5.93</v>
      </c>
      <c r="U46" s="4" t="n">
        <v>-1.69</v>
      </c>
      <c r="V46" s="4" t="inlineStr">
        <is>
          <t>16S-A4-R.2</t>
        </is>
      </c>
      <c r="W46" s="4" t="n">
        <v>0</v>
      </c>
      <c r="X46" s="4" t="n">
        <v>0.53</v>
      </c>
      <c r="Y46" s="4" t="n">
        <v>247842</v>
      </c>
      <c r="Z46" s="4" t="n">
        <v>0</v>
      </c>
      <c r="AA46" s="4" t="n">
        <v>0</v>
      </c>
      <c r="AB46" s="4" t="n">
        <v>0</v>
      </c>
      <c r="AC46" s="4" t="n">
        <v>0</v>
      </c>
    </row>
    <row r="47">
      <c r="A47" s="4" t="n">
        <v>46</v>
      </c>
      <c r="B47" s="4" t="inlineStr">
        <is>
          <t>UDP0046V3</t>
        </is>
      </c>
      <c r="C47" s="4" t="inlineStr">
        <is>
          <t>CTTGTCTTAA</t>
        </is>
      </c>
      <c r="D47" s="4" t="inlineStr">
        <is>
          <t>TCCATGTTGC</t>
        </is>
      </c>
      <c r="E47" s="6" t="inlineStr">
        <is>
          <t>A</t>
        </is>
      </c>
      <c r="F47" s="4" t="inlineStr">
        <is>
          <t>推荐</t>
        </is>
      </c>
      <c r="G47" s="4" t="n">
        <v>16</v>
      </c>
      <c r="H47" s="4" t="n">
        <v>-6.38</v>
      </c>
      <c r="I47" s="4" t="inlineStr">
        <is>
          <t>16S-A2-R.3 × 16S-A3-F.1</t>
        </is>
      </c>
      <c r="J47" s="4" t="n">
        <v>-3.16</v>
      </c>
      <c r="K47" s="4" t="n">
        <v>62</v>
      </c>
      <c r="L47" s="4" t="n">
        <v>0</v>
      </c>
      <c r="M47" s="4" t="n">
        <v>-4.44</v>
      </c>
      <c r="N47" s="4" t="inlineStr">
        <is>
          <t>16S-A6-F.3(3′) → 16S-A5-R.1</t>
        </is>
      </c>
      <c r="O47" s="4" t="n">
        <v>-1.06</v>
      </c>
      <c r="P47" s="4" t="n">
        <v>2</v>
      </c>
      <c r="Q47" s="4" t="n">
        <v>0</v>
      </c>
      <c r="R47" s="4" t="n">
        <v>-5.74</v>
      </c>
      <c r="S47" s="4" t="n">
        <v>-5.49</v>
      </c>
      <c r="T47" s="4" t="n">
        <v>-6.38</v>
      </c>
      <c r="U47" s="4" t="n">
        <v>-1.62</v>
      </c>
      <c r="V47" s="4" t="inlineStr">
        <is>
          <t>16S-A4-R.2</t>
        </is>
      </c>
      <c r="W47" s="4" t="n">
        <v>0</v>
      </c>
      <c r="X47" s="4" t="n">
        <v>0.67</v>
      </c>
      <c r="Y47" s="4" t="n">
        <v>91657</v>
      </c>
      <c r="Z47" s="4" t="n">
        <v>0</v>
      </c>
      <c r="AA47" s="4" t="n">
        <v>0</v>
      </c>
      <c r="AB47" s="4" t="n">
        <v>2</v>
      </c>
      <c r="AC47" s="4" t="n">
        <v>5</v>
      </c>
    </row>
    <row r="48">
      <c r="A48" s="4" t="n">
        <v>47</v>
      </c>
      <c r="B48" s="4" t="inlineStr">
        <is>
          <t>UDP0047</t>
        </is>
      </c>
      <c r="C48" s="4" t="inlineStr">
        <is>
          <t>CGGTGGCGAA</t>
        </is>
      </c>
      <c r="D48" s="4" t="inlineStr">
        <is>
          <t>TATCCAGGAC</t>
        </is>
      </c>
      <c r="E48" s="5" t="inlineStr">
        <is>
          <t>C</t>
        </is>
      </c>
      <c r="F48" s="4" t="inlineStr"/>
      <c r="G48" s="4" t="n">
        <v>67</v>
      </c>
      <c r="H48" s="4" t="n">
        <v>-6.09</v>
      </c>
      <c r="I48" s="4" t="inlineStr">
        <is>
          <t>16S-A3-R.1 × 16S-A6-F.4s</t>
        </is>
      </c>
      <c r="J48" s="4" t="n">
        <v>-0.87</v>
      </c>
      <c r="K48" s="4" t="n">
        <v>10</v>
      </c>
      <c r="L48" s="4" t="n">
        <v>0</v>
      </c>
      <c r="M48" s="4" t="n">
        <v>-6.09</v>
      </c>
      <c r="N48" s="4" t="inlineStr">
        <is>
          <t>16S-A3-R.1(3′) → 16S-A6-F.4s</t>
        </is>
      </c>
      <c r="O48" s="4" t="n">
        <v>-0.29</v>
      </c>
      <c r="P48" s="4" t="n">
        <v>49</v>
      </c>
      <c r="Q48" s="4" t="n">
        <v>7</v>
      </c>
      <c r="R48" s="4" t="n">
        <v>-5.74</v>
      </c>
      <c r="S48" s="4" t="n">
        <v>-4.7</v>
      </c>
      <c r="T48" s="4" t="n">
        <v>-6.09</v>
      </c>
      <c r="U48" s="4" t="n">
        <v>-1.62</v>
      </c>
      <c r="V48" s="4" t="inlineStr">
        <is>
          <t>16S-A4-R.2</t>
        </is>
      </c>
      <c r="W48" s="4" t="n">
        <v>0</v>
      </c>
      <c r="X48" s="4" t="n">
        <v>-0.85</v>
      </c>
      <c r="Y48" s="4" t="n">
        <v>79970</v>
      </c>
      <c r="Z48" s="4" t="n">
        <v>0</v>
      </c>
      <c r="AA48" s="4" t="n">
        <v>1</v>
      </c>
      <c r="AB48" s="4" t="n">
        <v>0</v>
      </c>
      <c r="AC48" s="4" t="n">
        <v>1</v>
      </c>
    </row>
    <row r="49">
      <c r="A49" s="4" t="n">
        <v>48</v>
      </c>
      <c r="B49" s="4" t="inlineStr">
        <is>
          <t>UDP0048</t>
        </is>
      </c>
      <c r="C49" s="4" t="inlineStr">
        <is>
          <t>TAACAATAGG</t>
        </is>
      </c>
      <c r="D49" s="4" t="inlineStr">
        <is>
          <t>AGTGCCACTG</t>
        </is>
      </c>
      <c r="E49" s="5" t="inlineStr">
        <is>
          <t>C</t>
        </is>
      </c>
      <c r="F49" s="4" t="inlineStr"/>
      <c r="G49" s="4" t="n">
        <v>68</v>
      </c>
      <c r="H49" s="4" t="n">
        <v>-8.08</v>
      </c>
      <c r="I49" s="4" t="inlineStr">
        <is>
          <t>16S-A4-R.1 × 16S-A5-F.1</t>
        </is>
      </c>
      <c r="J49" s="4" t="n">
        <v>-5.17</v>
      </c>
      <c r="K49" s="4" t="n">
        <v>45</v>
      </c>
      <c r="L49" s="4" t="n">
        <v>20</v>
      </c>
      <c r="M49" s="4" t="n">
        <v>-6.67</v>
      </c>
      <c r="N49" s="4" t="inlineStr">
        <is>
          <t>16S-A1-F.SNAP(3′) → 16S-A5-R.1</t>
        </is>
      </c>
      <c r="O49" s="4" t="n">
        <v>1.52</v>
      </c>
      <c r="P49" s="4" t="n">
        <v>14</v>
      </c>
      <c r="Q49" s="4" t="n">
        <v>10</v>
      </c>
      <c r="R49" s="4" t="n">
        <v>-6.32</v>
      </c>
      <c r="S49" s="4" t="n">
        <v>-6.72</v>
      </c>
      <c r="T49" s="4" t="n">
        <v>-8.08</v>
      </c>
      <c r="U49" s="4" t="n">
        <v>-2.41</v>
      </c>
      <c r="V49" s="4" t="inlineStr">
        <is>
          <t>16S-A2-R.1</t>
        </is>
      </c>
      <c r="W49" s="4" t="n">
        <v>0</v>
      </c>
      <c r="X49" s="4" t="n">
        <v>-0.42</v>
      </c>
      <c r="Y49" s="4" t="n">
        <v>83254</v>
      </c>
      <c r="Z49" s="4" t="n">
        <v>0</v>
      </c>
      <c r="AA49" s="4" t="n">
        <v>0</v>
      </c>
      <c r="AB49" s="4" t="n">
        <v>0</v>
      </c>
      <c r="AC49" s="4" t="n">
        <v>2</v>
      </c>
    </row>
    <row r="50">
      <c r="A50" s="4" t="n">
        <v>49</v>
      </c>
      <c r="B50" s="4" t="inlineStr">
        <is>
          <t>UDP0049</t>
        </is>
      </c>
      <c r="C50" s="4" t="inlineStr">
        <is>
          <t>CTGGTACACG</t>
        </is>
      </c>
      <c r="D50" s="4" t="inlineStr">
        <is>
          <t>GTGCAACACT</t>
        </is>
      </c>
      <c r="E50" s="5" t="inlineStr">
        <is>
          <t>C</t>
        </is>
      </c>
      <c r="F50" s="4" t="inlineStr"/>
      <c r="G50" s="4" t="n">
        <v>84</v>
      </c>
      <c r="H50" s="4" t="n">
        <v>-10.42</v>
      </c>
      <c r="I50" s="4" t="inlineStr">
        <is>
          <t>16S-A4-R.2 × 16S-A5-F.1</t>
        </is>
      </c>
      <c r="J50" s="4" t="n">
        <v>-5.17</v>
      </c>
      <c r="K50" s="4" t="n">
        <v>173</v>
      </c>
      <c r="L50" s="4" t="n">
        <v>30</v>
      </c>
      <c r="M50" s="4" t="n">
        <v>-4.49</v>
      </c>
      <c r="N50" s="4" t="inlineStr">
        <is>
          <t>16S-A4-R.2(3′) → 16S-A5-F.1</t>
        </is>
      </c>
      <c r="O50" s="4" t="n">
        <v>0.35</v>
      </c>
      <c r="P50" s="4" t="n">
        <v>1</v>
      </c>
      <c r="Q50" s="4" t="n">
        <v>0</v>
      </c>
      <c r="R50" s="4" t="n">
        <v>-7.58</v>
      </c>
      <c r="S50" s="4" t="n">
        <v>-4.7</v>
      </c>
      <c r="T50" s="4" t="n">
        <v>-10.42</v>
      </c>
      <c r="U50" s="4" t="n">
        <v>-1.59</v>
      </c>
      <c r="V50" s="4" t="inlineStr">
        <is>
          <t>16S-A4-R.2</t>
        </is>
      </c>
      <c r="W50" s="4" t="n">
        <v>0</v>
      </c>
      <c r="X50" s="4" t="n">
        <v>-0.3</v>
      </c>
      <c r="Y50" s="4" t="n">
        <v>162224</v>
      </c>
      <c r="Z50" s="4" t="n">
        <v>0</v>
      </c>
      <c r="AA50" s="4" t="n">
        <v>1</v>
      </c>
      <c r="AB50" s="4" t="n">
        <v>0</v>
      </c>
      <c r="AC50" s="4" t="n">
        <v>0</v>
      </c>
    </row>
    <row r="51">
      <c r="A51" s="4" t="n">
        <v>50</v>
      </c>
      <c r="B51" s="4" t="inlineStr">
        <is>
          <t>UDP0050</t>
        </is>
      </c>
      <c r="C51" s="4" t="inlineStr">
        <is>
          <t>TCAACGTGTA</t>
        </is>
      </c>
      <c r="D51" s="4" t="inlineStr">
        <is>
          <t>ACATGGTGTC</t>
        </is>
      </c>
      <c r="E51" s="5" t="inlineStr">
        <is>
          <t>C</t>
        </is>
      </c>
      <c r="F51" s="4" t="inlineStr"/>
      <c r="G51" s="4" t="n">
        <v>57</v>
      </c>
      <c r="H51" s="4" t="n">
        <v>-10.62</v>
      </c>
      <c r="I51" s="4" t="inlineStr">
        <is>
          <t>16S-A6-F.4s × 16S-A6-F.4s</t>
        </is>
      </c>
      <c r="J51" s="4" t="n">
        <v>-3.46</v>
      </c>
      <c r="K51" s="4" t="n">
        <v>49</v>
      </c>
      <c r="L51" s="4" t="n">
        <v>25</v>
      </c>
      <c r="M51" s="4" t="n">
        <v>-4.55</v>
      </c>
      <c r="N51" s="4" t="inlineStr">
        <is>
          <t>16S-A2-F.2(3′) → 16S-A1-R.3</t>
        </is>
      </c>
      <c r="O51" s="4" t="n">
        <v>1.63</v>
      </c>
      <c r="P51" s="4" t="n">
        <v>31</v>
      </c>
      <c r="Q51" s="4" t="n">
        <v>0</v>
      </c>
      <c r="R51" s="4" t="n">
        <v>-10.62</v>
      </c>
      <c r="S51" s="4" t="n">
        <v>-5.05</v>
      </c>
      <c r="T51" s="4" t="n">
        <v>-6.03</v>
      </c>
      <c r="U51" s="4" t="n">
        <v>-1.62</v>
      </c>
      <c r="V51" s="4" t="inlineStr">
        <is>
          <t>16S-A4-R.2</t>
        </is>
      </c>
      <c r="W51" s="4" t="n">
        <v>0</v>
      </c>
      <c r="X51" s="4" t="n">
        <v>-1.26</v>
      </c>
      <c r="Y51" s="4" t="n">
        <v>66266</v>
      </c>
      <c r="Z51" s="4" t="n">
        <v>0</v>
      </c>
      <c r="AA51" s="4" t="n">
        <v>0</v>
      </c>
      <c r="AB51" s="4" t="n">
        <v>0</v>
      </c>
      <c r="AC51" s="4" t="n">
        <v>0</v>
      </c>
    </row>
    <row r="52">
      <c r="A52" s="4" t="n">
        <v>51</v>
      </c>
      <c r="B52" s="4" t="inlineStr">
        <is>
          <t>UDP0051</t>
        </is>
      </c>
      <c r="C52" s="4" t="inlineStr">
        <is>
          <t>ACTGTTGTGA</t>
        </is>
      </c>
      <c r="D52" s="4" t="inlineStr">
        <is>
          <t>GACAGACAGG</t>
        </is>
      </c>
      <c r="E52" s="7" t="inlineStr">
        <is>
          <t>B</t>
        </is>
      </c>
      <c r="F52" s="4" t="inlineStr">
        <is>
          <t>推荐</t>
        </is>
      </c>
      <c r="G52" s="4" t="n">
        <v>21</v>
      </c>
      <c r="H52" s="4" t="n">
        <v>-7.07</v>
      </c>
      <c r="I52" s="4" t="inlineStr">
        <is>
          <t>16S-A4-R.5s × 16S-A6-F.3</t>
        </is>
      </c>
      <c r="J52" s="4" t="n">
        <v>-1.44</v>
      </c>
      <c r="K52" s="4" t="n">
        <v>44</v>
      </c>
      <c r="L52" s="4" t="n">
        <v>2</v>
      </c>
      <c r="M52" s="4" t="n">
        <v>-4.74</v>
      </c>
      <c r="N52" s="4" t="inlineStr">
        <is>
          <t>16S-A3-F.1(3′) → 16S-A1-R.8s</t>
        </is>
      </c>
      <c r="O52" s="4" t="n">
        <v>-0.35</v>
      </c>
      <c r="P52" s="4" t="n">
        <v>10</v>
      </c>
      <c r="Q52" s="4" t="n">
        <v>0</v>
      </c>
      <c r="R52" s="4" t="n">
        <v>-5.74</v>
      </c>
      <c r="S52" s="4" t="n">
        <v>-5.55</v>
      </c>
      <c r="T52" s="4" t="n">
        <v>-7.07</v>
      </c>
      <c r="U52" s="4" t="n">
        <v>-2.35</v>
      </c>
      <c r="V52" s="4" t="inlineStr">
        <is>
          <t>16S-A4-R.2</t>
        </is>
      </c>
      <c r="W52" s="4" t="n">
        <v>0</v>
      </c>
      <c r="X52" s="4" t="n">
        <v>-2.04</v>
      </c>
      <c r="Y52" s="4" t="n">
        <v>41652</v>
      </c>
      <c r="Z52" s="4" t="n">
        <v>0</v>
      </c>
      <c r="AA52" s="4" t="n">
        <v>0</v>
      </c>
      <c r="AB52" s="4" t="n">
        <v>0</v>
      </c>
      <c r="AC52" s="4" t="n">
        <v>5</v>
      </c>
    </row>
    <row r="53">
      <c r="A53" s="4" t="n">
        <v>52</v>
      </c>
      <c r="B53" s="4" t="inlineStr">
        <is>
          <t>UDP0052</t>
        </is>
      </c>
      <c r="C53" s="4" t="inlineStr">
        <is>
          <t>GTGCGTCCTT</t>
        </is>
      </c>
      <c r="D53" s="4" t="inlineStr">
        <is>
          <t>TCTTACATCA</t>
        </is>
      </c>
      <c r="E53" s="7" t="inlineStr">
        <is>
          <t>B</t>
        </is>
      </c>
      <c r="F53" s="4" t="inlineStr">
        <is>
          <t>推荐</t>
        </is>
      </c>
      <c r="G53" s="4" t="n">
        <v>22</v>
      </c>
      <c r="H53" s="4" t="n">
        <v>-7.93</v>
      </c>
      <c r="I53" s="4" t="inlineStr">
        <is>
          <t>16S-A5-R.1 × 16S-A5-R.1</t>
        </is>
      </c>
      <c r="J53" s="4" t="n">
        <v>-1.2</v>
      </c>
      <c r="K53" s="4" t="n">
        <v>33</v>
      </c>
      <c r="L53" s="4" t="n">
        <v>4</v>
      </c>
      <c r="M53" s="4" t="n">
        <v>-3.79</v>
      </c>
      <c r="N53" s="4" t="inlineStr">
        <is>
          <t>16S-A2-R.1(3′) → 16S-A6-F.2</t>
        </is>
      </c>
      <c r="O53" s="4" t="n">
        <v>2.7</v>
      </c>
      <c r="P53" s="4" t="n">
        <v>0</v>
      </c>
      <c r="Q53" s="4" t="n">
        <v>0</v>
      </c>
      <c r="R53" s="4" t="n">
        <v>-5.74</v>
      </c>
      <c r="S53" s="4" t="n">
        <v>-7.93</v>
      </c>
      <c r="T53" s="4" t="n">
        <v>-6.1</v>
      </c>
      <c r="U53" s="4" t="n">
        <v>-2.61</v>
      </c>
      <c r="V53" s="4" t="inlineStr">
        <is>
          <t>16S-A4-R.2</t>
        </is>
      </c>
      <c r="W53" s="4" t="n">
        <v>0</v>
      </c>
      <c r="X53" s="4" t="n">
        <v>-0.1</v>
      </c>
      <c r="Y53" s="4" t="n">
        <v>44235</v>
      </c>
      <c r="Z53" s="4" t="n">
        <v>0</v>
      </c>
      <c r="AA53" s="4" t="n">
        <v>0</v>
      </c>
      <c r="AB53" s="4" t="n">
        <v>0</v>
      </c>
      <c r="AC53" s="4" t="n">
        <v>1</v>
      </c>
    </row>
    <row r="54">
      <c r="A54" s="4" t="n">
        <v>53</v>
      </c>
      <c r="B54" s="4" t="inlineStr">
        <is>
          <t>UDP0053V3</t>
        </is>
      </c>
      <c r="C54" s="4" t="inlineStr">
        <is>
          <t>CCATGTGTAG</t>
        </is>
      </c>
      <c r="D54" s="4" t="inlineStr">
        <is>
          <t>TACCGAACTA</t>
        </is>
      </c>
      <c r="E54" s="5" t="inlineStr">
        <is>
          <t>C</t>
        </is>
      </c>
      <c r="F54" s="4" t="inlineStr"/>
      <c r="G54" s="4" t="n">
        <v>88</v>
      </c>
      <c r="H54" s="4" t="n">
        <v>-8.73</v>
      </c>
      <c r="I54" s="4" t="inlineStr">
        <is>
          <t>16S-A4-R.2 × 16S-A5-F.1</t>
        </is>
      </c>
      <c r="J54" s="4" t="n">
        <v>-5.17</v>
      </c>
      <c r="K54" s="4" t="n">
        <v>76</v>
      </c>
      <c r="L54" s="4" t="n">
        <v>32</v>
      </c>
      <c r="M54" s="4" t="n">
        <v>-4.72</v>
      </c>
      <c r="N54" s="4" t="inlineStr">
        <is>
          <t>16S-A1-R.8s(3′) → 16S-A3-F.1</t>
        </is>
      </c>
      <c r="O54" s="4" t="n">
        <v>-0.38</v>
      </c>
      <c r="P54" s="4" t="n">
        <v>10</v>
      </c>
      <c r="Q54" s="4" t="n">
        <v>0</v>
      </c>
      <c r="R54" s="4" t="n">
        <v>-8.34</v>
      </c>
      <c r="S54" s="4" t="n">
        <v>-6.67</v>
      </c>
      <c r="T54" s="4" t="n">
        <v>-8.73</v>
      </c>
      <c r="U54" s="4" t="n">
        <v>-2.61</v>
      </c>
      <c r="V54" s="4" t="inlineStr">
        <is>
          <t>16S-A4-R.2</t>
        </is>
      </c>
      <c r="W54" s="4" t="n">
        <v>0</v>
      </c>
      <c r="X54" s="4" t="n">
        <v>0.05</v>
      </c>
      <c r="Y54" s="4" t="n">
        <v>235708</v>
      </c>
      <c r="Z54" s="4" t="n">
        <v>0</v>
      </c>
      <c r="AA54" s="4" t="n">
        <v>0</v>
      </c>
      <c r="AB54" s="4" t="n">
        <v>1</v>
      </c>
      <c r="AC54" s="4" t="n">
        <v>4</v>
      </c>
    </row>
    <row r="55">
      <c r="A55" s="4" t="n">
        <v>54</v>
      </c>
      <c r="B55" s="4" t="inlineStr">
        <is>
          <t>UDP0054V3</t>
        </is>
      </c>
      <c r="C55" s="4" t="inlineStr">
        <is>
          <t>GAGTCTCTCC</t>
        </is>
      </c>
      <c r="D55" s="4" t="inlineStr">
        <is>
          <t>GTAGTAATAG</t>
        </is>
      </c>
      <c r="E55" s="7" t="inlineStr">
        <is>
          <t>B</t>
        </is>
      </c>
      <c r="F55" s="4" t="inlineStr">
        <is>
          <t>推荐</t>
        </is>
      </c>
      <c r="G55" s="4" t="n">
        <v>18</v>
      </c>
      <c r="H55" s="4" t="n">
        <v>-5.86</v>
      </c>
      <c r="I55" s="4" t="inlineStr">
        <is>
          <t>16S-A4-R.1 × 16S-A5-F.1</t>
        </is>
      </c>
      <c r="J55" s="4" t="n">
        <v>-5.17</v>
      </c>
      <c r="K55" s="4" t="n">
        <v>0</v>
      </c>
      <c r="L55" s="4" t="n">
        <v>0</v>
      </c>
      <c r="M55" s="4" t="n">
        <v>-4.54</v>
      </c>
      <c r="N55" s="4" t="inlineStr">
        <is>
          <t>16S-A2-R.1(3′) → 16S-A6-F.2</t>
        </is>
      </c>
      <c r="O55" s="4" t="n">
        <v>-0.12</v>
      </c>
      <c r="P55" s="4" t="n">
        <v>2</v>
      </c>
      <c r="Q55" s="4" t="n">
        <v>0</v>
      </c>
      <c r="R55" s="4" t="n">
        <v>-5.74</v>
      </c>
      <c r="S55" s="4" t="n">
        <v>-4.7</v>
      </c>
      <c r="T55" s="4" t="n">
        <v>-5.86</v>
      </c>
      <c r="U55" s="4" t="n">
        <v>-1.77</v>
      </c>
      <c r="V55" s="4" t="inlineStr">
        <is>
          <t>16S-A4-R.2</t>
        </is>
      </c>
      <c r="W55" s="4" t="n">
        <v>0</v>
      </c>
      <c r="X55" s="4" t="n">
        <v>0.08</v>
      </c>
      <c r="Y55" s="4" t="n">
        <v>37385</v>
      </c>
      <c r="Z55" s="4" t="n">
        <v>0</v>
      </c>
      <c r="AA55" s="4" t="n">
        <v>0</v>
      </c>
      <c r="AB55" s="4" t="n">
        <v>0</v>
      </c>
      <c r="AC55" s="4" t="n">
        <v>0</v>
      </c>
    </row>
    <row r="56">
      <c r="A56" s="4" t="n">
        <v>55</v>
      </c>
      <c r="B56" s="4" t="inlineStr">
        <is>
          <t>UDP0055V3</t>
        </is>
      </c>
      <c r="C56" s="4" t="inlineStr">
        <is>
          <t>GCTATGCGCA</t>
        </is>
      </c>
      <c r="D56" s="4" t="inlineStr">
        <is>
          <t>GGTTATGCTA</t>
        </is>
      </c>
      <c r="E56" s="5" t="inlineStr">
        <is>
          <t>C</t>
        </is>
      </c>
      <c r="F56" s="4" t="inlineStr"/>
      <c r="G56" s="4" t="n">
        <v>76</v>
      </c>
      <c r="H56" s="4" t="n">
        <v>-12.01</v>
      </c>
      <c r="I56" s="4" t="inlineStr">
        <is>
          <t>16S-A4-R.1 × 16S-A4-R.1</t>
        </is>
      </c>
      <c r="J56" s="4" t="n">
        <v>-2.37</v>
      </c>
      <c r="K56" s="4" t="n">
        <v>170</v>
      </c>
      <c r="L56" s="4" t="n">
        <v>113</v>
      </c>
      <c r="M56" s="4" t="n">
        <v>-8.59</v>
      </c>
      <c r="N56" s="4" t="inlineStr">
        <is>
          <t>16S-A4-R.1(3′) → 16S-A4-R.1</t>
        </is>
      </c>
      <c r="O56" s="4" t="n">
        <v>2.72</v>
      </c>
      <c r="P56" s="4" t="n">
        <v>137</v>
      </c>
      <c r="Q56" s="4" t="n">
        <v>82</v>
      </c>
      <c r="R56" s="4" t="n">
        <v>-6.78</v>
      </c>
      <c r="S56" s="4" t="n">
        <v>-12.01</v>
      </c>
      <c r="T56" s="4" t="n">
        <v>-6.37</v>
      </c>
      <c r="U56" s="4" t="n">
        <v>-2.99</v>
      </c>
      <c r="V56" s="4" t="inlineStr">
        <is>
          <t>16S-A6-F.3</t>
        </is>
      </c>
      <c r="W56" s="4" t="n">
        <v>0</v>
      </c>
      <c r="X56" s="4" t="n">
        <v>-1</v>
      </c>
      <c r="Y56" s="4" t="n">
        <v>105811</v>
      </c>
      <c r="Z56" s="4" t="n">
        <v>0</v>
      </c>
      <c r="AA56" s="4" t="n">
        <v>0</v>
      </c>
      <c r="AB56" s="4" t="n">
        <v>0</v>
      </c>
      <c r="AC56" s="4" t="n">
        <v>0</v>
      </c>
    </row>
    <row r="57">
      <c r="A57" s="4" t="n">
        <v>56</v>
      </c>
      <c r="B57" s="4" t="inlineStr">
        <is>
          <t>UDP0056V3</t>
        </is>
      </c>
      <c r="C57" s="4" t="inlineStr">
        <is>
          <t>ATCGCATATG</t>
        </is>
      </c>
      <c r="D57" s="4" t="inlineStr">
        <is>
          <t>ACAATAGAGT</t>
        </is>
      </c>
      <c r="E57" s="5" t="inlineStr">
        <is>
          <t>C</t>
        </is>
      </c>
      <c r="F57" s="4" t="inlineStr"/>
      <c r="G57" s="4" t="n">
        <v>85</v>
      </c>
      <c r="H57" s="4" t="n">
        <v>-7.71</v>
      </c>
      <c r="I57" s="4" t="inlineStr">
        <is>
          <t>16S-A6-F.4s × 16S-A6-F.4s</t>
        </is>
      </c>
      <c r="J57" s="4" t="n">
        <v>-3.46</v>
      </c>
      <c r="K57" s="4" t="n">
        <v>80</v>
      </c>
      <c r="L57" s="4" t="n">
        <v>9</v>
      </c>
      <c r="M57" s="4" t="n">
        <v>-6.01</v>
      </c>
      <c r="N57" s="4" t="inlineStr">
        <is>
          <t>16S-A3-F.1(3′) → 16S-A1-R.8s</t>
        </is>
      </c>
      <c r="O57" s="4" t="n">
        <v>-0.35</v>
      </c>
      <c r="P57" s="4" t="n">
        <v>5</v>
      </c>
      <c r="Q57" s="4" t="n">
        <v>2</v>
      </c>
      <c r="R57" s="4" t="n">
        <v>-7.71</v>
      </c>
      <c r="S57" s="4" t="n">
        <v>-4.7</v>
      </c>
      <c r="T57" s="4" t="n">
        <v>-7.47</v>
      </c>
      <c r="U57" s="4" t="n">
        <v>-1.59</v>
      </c>
      <c r="V57" s="4" t="inlineStr">
        <is>
          <t>16S-A4-R.2</t>
        </is>
      </c>
      <c r="W57" s="4" t="n">
        <v>0</v>
      </c>
      <c r="X57" s="4" t="n">
        <v>0.05</v>
      </c>
      <c r="Y57" s="4" t="n">
        <v>210554</v>
      </c>
      <c r="Z57" s="4" t="n">
        <v>0</v>
      </c>
      <c r="AA57" s="4" t="n">
        <v>0</v>
      </c>
      <c r="AB57" s="4" t="n">
        <v>0</v>
      </c>
      <c r="AC57" s="4" t="n">
        <v>2</v>
      </c>
    </row>
    <row r="58">
      <c r="A58" s="4" t="n">
        <v>57</v>
      </c>
      <c r="B58" s="4" t="inlineStr">
        <is>
          <t>UDP0057</t>
        </is>
      </c>
      <c r="C58" s="4" t="inlineStr">
        <is>
          <t>CGTCGACTGG</t>
        </is>
      </c>
      <c r="D58" s="4" t="inlineStr">
        <is>
          <t>TTAGGATAGA</t>
        </is>
      </c>
      <c r="E58" s="7" t="inlineStr">
        <is>
          <t>B</t>
        </is>
      </c>
      <c r="F58" s="4" t="inlineStr">
        <is>
          <t>推荐</t>
        </is>
      </c>
      <c r="G58" s="4" t="n">
        <v>48</v>
      </c>
      <c r="H58" s="4" t="n">
        <v>-7.93</v>
      </c>
      <c r="I58" s="4" t="inlineStr">
        <is>
          <t>16S-A4-R.2 × 16S-A5-F.1</t>
        </is>
      </c>
      <c r="J58" s="4" t="n">
        <v>-5.17</v>
      </c>
      <c r="K58" s="4" t="n">
        <v>70</v>
      </c>
      <c r="L58" s="4" t="n">
        <v>29</v>
      </c>
      <c r="M58" s="4" t="n">
        <v>-4.39</v>
      </c>
      <c r="N58" s="4" t="inlineStr">
        <is>
          <t>16S-A3-F.1(3′) → 16S-A1-R.8s</t>
        </is>
      </c>
      <c r="O58" s="4" t="n">
        <v>-0.05</v>
      </c>
      <c r="P58" s="4" t="n">
        <v>1</v>
      </c>
      <c r="Q58" s="4" t="n">
        <v>0</v>
      </c>
      <c r="R58" s="4" t="n">
        <v>-7.67</v>
      </c>
      <c r="S58" s="4" t="n">
        <v>-5.86</v>
      </c>
      <c r="T58" s="4" t="n">
        <v>-7.93</v>
      </c>
      <c r="U58" s="4" t="n">
        <v>-2.61</v>
      </c>
      <c r="V58" s="4" t="inlineStr">
        <is>
          <t>16S-A4-R.2</t>
        </is>
      </c>
      <c r="W58" s="4" t="n">
        <v>0</v>
      </c>
      <c r="X58" s="4" t="n">
        <v>-0.78</v>
      </c>
      <c r="Y58" s="4" t="n">
        <v>181301</v>
      </c>
      <c r="Z58" s="4" t="n">
        <v>0</v>
      </c>
      <c r="AA58" s="4" t="n">
        <v>1</v>
      </c>
      <c r="AB58" s="4" t="n">
        <v>0</v>
      </c>
      <c r="AC58" s="4" t="n">
        <v>0</v>
      </c>
    </row>
    <row r="59">
      <c r="A59" s="4" t="n">
        <v>58</v>
      </c>
      <c r="B59" s="4" t="inlineStr">
        <is>
          <t>UDP0058</t>
        </is>
      </c>
      <c r="C59" s="4" t="inlineStr">
        <is>
          <t>TACTAGTCAA</t>
        </is>
      </c>
      <c r="D59" s="4" t="inlineStr">
        <is>
          <t>CCGAAGCGAG</t>
        </is>
      </c>
      <c r="E59" s="7" t="inlineStr">
        <is>
          <t>B</t>
        </is>
      </c>
      <c r="F59" s="4" t="inlineStr">
        <is>
          <t>推荐</t>
        </is>
      </c>
      <c r="G59" s="4" t="n">
        <v>23</v>
      </c>
      <c r="H59" s="4" t="n">
        <v>-7.57</v>
      </c>
      <c r="I59" s="4" t="inlineStr">
        <is>
          <t>16S-A4-R.2 × 16S-A4-R.2</t>
        </is>
      </c>
      <c r="J59" s="4" t="n">
        <v>-3.17</v>
      </c>
      <c r="K59" s="4" t="n">
        <v>20</v>
      </c>
      <c r="L59" s="4" t="n">
        <v>6</v>
      </c>
      <c r="M59" s="4" t="n">
        <v>-3.99</v>
      </c>
      <c r="N59" s="4" t="inlineStr">
        <is>
          <t>16S-A6-R.1(3′) → 16S-A5-R.1</t>
        </is>
      </c>
      <c r="O59" s="4" t="n">
        <v>-0.75</v>
      </c>
      <c r="P59" s="4" t="n">
        <v>0</v>
      </c>
      <c r="Q59" s="4" t="n">
        <v>0</v>
      </c>
      <c r="R59" s="4" t="n">
        <v>-5.74</v>
      </c>
      <c r="S59" s="4" t="n">
        <v>-7.57</v>
      </c>
      <c r="T59" s="4" t="n">
        <v>-6.4</v>
      </c>
      <c r="U59" s="4" t="n">
        <v>-1.88</v>
      </c>
      <c r="V59" s="4" t="inlineStr">
        <is>
          <t>16S-A4-R.2</t>
        </is>
      </c>
      <c r="W59" s="4" t="n">
        <v>0</v>
      </c>
      <c r="X59" s="4" t="n">
        <v>0.13</v>
      </c>
      <c r="Y59" s="4" t="n">
        <v>45306</v>
      </c>
      <c r="Z59" s="4" t="n">
        <v>0</v>
      </c>
      <c r="AA59" s="4" t="n">
        <v>0</v>
      </c>
      <c r="AB59" s="4" t="n">
        <v>0</v>
      </c>
      <c r="AC59" s="4" t="n">
        <v>0</v>
      </c>
    </row>
    <row r="60">
      <c r="A60" s="4" t="n">
        <v>59</v>
      </c>
      <c r="B60" s="4" t="inlineStr">
        <is>
          <t>UDP0059</t>
        </is>
      </c>
      <c r="C60" s="4" t="inlineStr">
        <is>
          <t>ATAGACCGTT</t>
        </is>
      </c>
      <c r="D60" s="4" t="inlineStr">
        <is>
          <t>GGACCAACAG</t>
        </is>
      </c>
      <c r="E60" s="6" t="inlineStr">
        <is>
          <t>A</t>
        </is>
      </c>
      <c r="F60" s="4" t="inlineStr">
        <is>
          <t>推荐</t>
        </is>
      </c>
      <c r="G60" s="4" t="n">
        <v>2</v>
      </c>
      <c r="H60" s="4" t="n">
        <v>-6.23</v>
      </c>
      <c r="I60" s="4" t="inlineStr">
        <is>
          <t>16S-A2-R.1 × 16S-A3-F.1</t>
        </is>
      </c>
      <c r="J60" s="4" t="n">
        <v>-2.72</v>
      </c>
      <c r="K60" s="4" t="n">
        <v>28</v>
      </c>
      <c r="L60" s="4" t="n">
        <v>0</v>
      </c>
      <c r="M60" s="4" t="n">
        <v>-4.41</v>
      </c>
      <c r="N60" s="4" t="inlineStr">
        <is>
          <t>16S-A4-F.1(3′) → 16S-A5-R.1</t>
        </is>
      </c>
      <c r="O60" s="4" t="n">
        <v>-0.24</v>
      </c>
      <c r="P60" s="4" t="n">
        <v>5</v>
      </c>
      <c r="Q60" s="4" t="n">
        <v>0</v>
      </c>
      <c r="R60" s="4" t="n">
        <v>-5.74</v>
      </c>
      <c r="S60" s="4" t="n">
        <v>-4.7</v>
      </c>
      <c r="T60" s="4" t="n">
        <v>-6.23</v>
      </c>
      <c r="U60" s="4" t="n">
        <v>-1.77</v>
      </c>
      <c r="V60" s="4" t="inlineStr">
        <is>
          <t>16S-A4-R.2</t>
        </is>
      </c>
      <c r="W60" s="4" t="n">
        <v>0</v>
      </c>
      <c r="X60" s="4" t="n">
        <v>-0.58</v>
      </c>
      <c r="Y60" s="4" t="n">
        <v>36992</v>
      </c>
      <c r="Z60" s="4" t="n">
        <v>0</v>
      </c>
      <c r="AA60" s="4" t="n">
        <v>0</v>
      </c>
      <c r="AB60" s="4" t="n">
        <v>0</v>
      </c>
      <c r="AC60" s="4" t="n">
        <v>0</v>
      </c>
    </row>
    <row r="61">
      <c r="A61" s="4" t="n">
        <v>60</v>
      </c>
      <c r="B61" s="4" t="inlineStr">
        <is>
          <t>UDP0060</t>
        </is>
      </c>
      <c r="C61" s="4" t="inlineStr">
        <is>
          <t>ACAGTTCCAG</t>
        </is>
      </c>
      <c r="D61" s="4" t="inlineStr">
        <is>
          <t>TTCCAGGTAA</t>
        </is>
      </c>
      <c r="E61" s="7" t="inlineStr">
        <is>
          <t>B</t>
        </is>
      </c>
      <c r="F61" s="4" t="inlineStr">
        <is>
          <t>推荐</t>
        </is>
      </c>
      <c r="G61" s="4" t="n">
        <v>45</v>
      </c>
      <c r="H61" s="4" t="n">
        <v>-8.210000000000001</v>
      </c>
      <c r="I61" s="4" t="inlineStr">
        <is>
          <t>16S-A4-R.2 × 16S-A5-F.1</t>
        </is>
      </c>
      <c r="J61" s="4" t="n">
        <v>-5.17</v>
      </c>
      <c r="K61" s="4" t="n">
        <v>41</v>
      </c>
      <c r="L61" s="4" t="n">
        <v>22</v>
      </c>
      <c r="M61" s="4" t="n">
        <v>-5.43</v>
      </c>
      <c r="N61" s="4" t="inlineStr">
        <is>
          <t>16S-A5-F.1(3′) → 16S-A4-R.2</t>
        </is>
      </c>
      <c r="O61" s="4" t="n">
        <v>1.76</v>
      </c>
      <c r="P61" s="4" t="n">
        <v>26</v>
      </c>
      <c r="Q61" s="4" t="n">
        <v>8</v>
      </c>
      <c r="R61" s="4" t="n">
        <v>-6.52</v>
      </c>
      <c r="S61" s="4" t="n">
        <v>-6.36</v>
      </c>
      <c r="T61" s="4" t="n">
        <v>-8.210000000000001</v>
      </c>
      <c r="U61" s="4" t="n">
        <v>-2.61</v>
      </c>
      <c r="V61" s="4" t="inlineStr">
        <is>
          <t>16S-A4-R.2</t>
        </is>
      </c>
      <c r="W61" s="4" t="n">
        <v>0</v>
      </c>
      <c r="X61" s="4" t="n">
        <v>-0.41</v>
      </c>
      <c r="Y61" s="4" t="n">
        <v>154331</v>
      </c>
      <c r="Z61" s="4" t="n">
        <v>0</v>
      </c>
      <c r="AA61" s="4" t="n">
        <v>2</v>
      </c>
      <c r="AB61" s="4" t="n">
        <v>0</v>
      </c>
      <c r="AC61" s="4" t="n">
        <v>3</v>
      </c>
    </row>
    <row r="62">
      <c r="A62" s="4" t="n">
        <v>61</v>
      </c>
      <c r="B62" s="4" t="inlineStr">
        <is>
          <t>UDP0061</t>
        </is>
      </c>
      <c r="C62" s="4" t="inlineStr">
        <is>
          <t>AGGCATGTAG</t>
        </is>
      </c>
      <c r="D62" s="4" t="inlineStr">
        <is>
          <t>TGATTAGCCA</t>
        </is>
      </c>
      <c r="E62" s="5" t="inlineStr">
        <is>
          <t>C</t>
        </is>
      </c>
      <c r="F62" s="4" t="inlineStr"/>
      <c r="G62" s="4" t="n">
        <v>87</v>
      </c>
      <c r="H62" s="4" t="n">
        <v>-9.49</v>
      </c>
      <c r="I62" s="4" t="inlineStr">
        <is>
          <t>16S-A2-R.1 × 16S-A2-R.1</t>
        </is>
      </c>
      <c r="J62" s="4" t="n">
        <v>0.11</v>
      </c>
      <c r="K62" s="4" t="n">
        <v>213</v>
      </c>
      <c r="L62" s="4" t="n">
        <v>162</v>
      </c>
      <c r="M62" s="4" t="n">
        <v>-5.11</v>
      </c>
      <c r="N62" s="4" t="inlineStr">
        <is>
          <t>16S-A1-R.8s(3′) → 16S-A2-R.1</t>
        </is>
      </c>
      <c r="O62" s="4" t="n">
        <v>0.67</v>
      </c>
      <c r="P62" s="4" t="n">
        <v>26</v>
      </c>
      <c r="Q62" s="4" t="n">
        <v>12</v>
      </c>
      <c r="R62" s="4" t="n">
        <v>-7.29</v>
      </c>
      <c r="S62" s="4" t="n">
        <v>-9.49</v>
      </c>
      <c r="T62" s="4" t="n">
        <v>-8.75</v>
      </c>
      <c r="U62" s="4" t="n">
        <v>-2.61</v>
      </c>
      <c r="V62" s="4" t="inlineStr">
        <is>
          <t>16S-A4-R.2</t>
        </is>
      </c>
      <c r="W62" s="4" t="n">
        <v>0</v>
      </c>
      <c r="X62" s="4" t="n">
        <v>-2.31</v>
      </c>
      <c r="Y62" s="4" t="n">
        <v>211965</v>
      </c>
      <c r="Z62" s="4" t="n">
        <v>2</v>
      </c>
      <c r="AA62" s="4" t="n">
        <v>6</v>
      </c>
      <c r="AB62" s="4" t="n">
        <v>1</v>
      </c>
      <c r="AC62" s="4" t="n">
        <v>6</v>
      </c>
    </row>
    <row r="63">
      <c r="A63" s="4" t="n">
        <v>62</v>
      </c>
      <c r="B63" s="4" t="inlineStr">
        <is>
          <t>UDP0062</t>
        </is>
      </c>
      <c r="C63" s="4" t="inlineStr">
        <is>
          <t>GCAAGTCTCA</t>
        </is>
      </c>
      <c r="D63" s="4" t="inlineStr">
        <is>
          <t>TAACAGTGTT</t>
        </is>
      </c>
      <c r="E63" s="6" t="inlineStr">
        <is>
          <t>A</t>
        </is>
      </c>
      <c r="F63" s="4" t="inlineStr">
        <is>
          <t>推荐</t>
        </is>
      </c>
      <c r="G63" s="4" t="n">
        <v>15</v>
      </c>
      <c r="H63" s="4" t="n">
        <v>-6.51</v>
      </c>
      <c r="I63" s="4" t="inlineStr">
        <is>
          <t>16S-A4-R.1 × 16S-A5-F.1</t>
        </is>
      </c>
      <c r="J63" s="4" t="n">
        <v>-5.17</v>
      </c>
      <c r="K63" s="4" t="n">
        <v>5</v>
      </c>
      <c r="L63" s="4" t="n">
        <v>0</v>
      </c>
      <c r="M63" s="4" t="n">
        <v>-3.83</v>
      </c>
      <c r="N63" s="4" t="inlineStr">
        <is>
          <t>16S-A2-R.2(3′) → 16S-A6-F.5s</t>
        </is>
      </c>
      <c r="O63" s="4" t="n">
        <v>-3.45</v>
      </c>
      <c r="P63" s="4" t="n">
        <v>0</v>
      </c>
      <c r="Q63" s="4" t="n">
        <v>0</v>
      </c>
      <c r="R63" s="4" t="n">
        <v>-5.74</v>
      </c>
      <c r="S63" s="4" t="n">
        <v>-4.7</v>
      </c>
      <c r="T63" s="4" t="n">
        <v>-6.51</v>
      </c>
      <c r="U63" s="4" t="n">
        <v>-1.59</v>
      </c>
      <c r="V63" s="4" t="inlineStr">
        <is>
          <t>16S-A4-R.2</t>
        </is>
      </c>
      <c r="W63" s="4" t="n">
        <v>0</v>
      </c>
      <c r="X63" s="4" t="n">
        <v>0</v>
      </c>
      <c r="Y63" s="4" t="n">
        <v>86613</v>
      </c>
      <c r="Z63" s="4" t="n">
        <v>0</v>
      </c>
      <c r="AA63" s="4" t="n">
        <v>2</v>
      </c>
      <c r="AB63" s="4" t="n">
        <v>0</v>
      </c>
      <c r="AC63" s="4" t="n">
        <v>1</v>
      </c>
    </row>
    <row r="64">
      <c r="A64" s="4" t="n">
        <v>63</v>
      </c>
      <c r="B64" s="4" t="inlineStr">
        <is>
          <t>UDP0063</t>
        </is>
      </c>
      <c r="C64" s="4" t="inlineStr">
        <is>
          <t>TTGGCTCCGC</t>
        </is>
      </c>
      <c r="D64" s="4" t="inlineStr">
        <is>
          <t>ACCGCGCAAT</t>
        </is>
      </c>
      <c r="E64" s="5" t="inlineStr">
        <is>
          <t>C</t>
        </is>
      </c>
      <c r="F64" s="4" t="inlineStr"/>
      <c r="G64" s="4" t="n">
        <v>90</v>
      </c>
      <c r="H64" s="4" t="n">
        <v>-7.76</v>
      </c>
      <c r="I64" s="4" t="inlineStr">
        <is>
          <t>16S-A3-F.1 × 16S-A6-F.2</t>
        </is>
      </c>
      <c r="J64" s="4" t="n">
        <v>-1.54</v>
      </c>
      <c r="K64" s="4" t="n">
        <v>91</v>
      </c>
      <c r="L64" s="4" t="n">
        <v>56</v>
      </c>
      <c r="M64" s="4" t="n">
        <v>-6.64</v>
      </c>
      <c r="N64" s="4" t="inlineStr">
        <is>
          <t>16S-A2-R.1(3′) → 16S-A3-F.1</t>
        </is>
      </c>
      <c r="O64" s="4" t="n">
        <v>1.57</v>
      </c>
      <c r="P64" s="4" t="n">
        <v>36</v>
      </c>
      <c r="Q64" s="4" t="n">
        <v>26</v>
      </c>
      <c r="R64" s="4" t="n">
        <v>-7.76</v>
      </c>
      <c r="S64" s="4" t="n">
        <v>-5.11</v>
      </c>
      <c r="T64" s="4" t="n">
        <v>-7.71</v>
      </c>
      <c r="U64" s="4" t="n">
        <v>-1.59</v>
      </c>
      <c r="V64" s="4" t="inlineStr">
        <is>
          <t>16S-A4-R.2</t>
        </is>
      </c>
      <c r="W64" s="4" t="n">
        <v>0</v>
      </c>
      <c r="X64" s="4" t="n">
        <v>-1.3</v>
      </c>
      <c r="Y64" s="4" t="n">
        <v>245474</v>
      </c>
      <c r="Z64" s="4" t="n">
        <v>0</v>
      </c>
      <c r="AA64" s="4" t="n">
        <v>0</v>
      </c>
      <c r="AB64" s="4" t="n">
        <v>0</v>
      </c>
      <c r="AC64" s="4" t="n">
        <v>0</v>
      </c>
    </row>
    <row r="65">
      <c r="A65" s="4" t="n">
        <v>64</v>
      </c>
      <c r="B65" s="4" t="inlineStr">
        <is>
          <t>UDP0064</t>
        </is>
      </c>
      <c r="C65" s="4" t="inlineStr">
        <is>
          <t>AACTGATACT</t>
        </is>
      </c>
      <c r="D65" s="4" t="inlineStr">
        <is>
          <t>GTTCGCGCCA</t>
        </is>
      </c>
      <c r="E65" s="5" t="inlineStr">
        <is>
          <t>C</t>
        </is>
      </c>
      <c r="F65" s="4" t="inlineStr"/>
      <c r="G65" s="4" t="n">
        <v>73</v>
      </c>
      <c r="H65" s="4" t="n">
        <v>-11.89</v>
      </c>
      <c r="I65" s="4" t="inlineStr">
        <is>
          <t>16S-A2-R.2 × 16S-A2-R.2</t>
        </is>
      </c>
      <c r="J65" s="4" t="n">
        <v>-1.97</v>
      </c>
      <c r="K65" s="4" t="n">
        <v>248</v>
      </c>
      <c r="L65" s="4" t="n">
        <v>136</v>
      </c>
      <c r="M65" s="4" t="n">
        <v>-6.81</v>
      </c>
      <c r="N65" s="4" t="inlineStr">
        <is>
          <t>16S-A2-R.2(3′) → 16S-A2-R.2</t>
        </is>
      </c>
      <c r="O65" s="4" t="n">
        <v>0.14</v>
      </c>
      <c r="P65" s="4" t="n">
        <v>128</v>
      </c>
      <c r="Q65" s="4" t="n">
        <v>80</v>
      </c>
      <c r="R65" s="4" t="n">
        <v>-6.27</v>
      </c>
      <c r="S65" s="4" t="n">
        <v>-11.89</v>
      </c>
      <c r="T65" s="4" t="n">
        <v>-6.49</v>
      </c>
      <c r="U65" s="4" t="n">
        <v>-2.61</v>
      </c>
      <c r="V65" s="4" t="inlineStr">
        <is>
          <t>16S-A4-R.2</t>
        </is>
      </c>
      <c r="W65" s="4" t="n">
        <v>0</v>
      </c>
      <c r="X65" s="4" t="n">
        <v>0.16</v>
      </c>
      <c r="Y65" s="4" t="n">
        <v>101553</v>
      </c>
      <c r="Z65" s="4" t="n">
        <v>0</v>
      </c>
      <c r="AA65" s="4" t="n">
        <v>0</v>
      </c>
      <c r="AB65" s="4" t="n">
        <v>0</v>
      </c>
      <c r="AC65" s="4" t="n">
        <v>0</v>
      </c>
    </row>
    <row r="66">
      <c r="A66" s="4" t="n">
        <v>65</v>
      </c>
      <c r="B66" s="4" t="inlineStr">
        <is>
          <t>UDP0065</t>
        </is>
      </c>
      <c r="C66" s="4" t="inlineStr">
        <is>
          <t>GTAAGGCATA</t>
        </is>
      </c>
      <c r="D66" s="4" t="inlineStr">
        <is>
          <t>AGACACATTA</t>
        </is>
      </c>
      <c r="E66" s="7" t="inlineStr">
        <is>
          <t>B</t>
        </is>
      </c>
      <c r="F66" s="4" t="inlineStr">
        <is>
          <t>推荐</t>
        </is>
      </c>
      <c r="G66" s="4" t="n">
        <v>27</v>
      </c>
      <c r="H66" s="4" t="n">
        <v>-6.44</v>
      </c>
      <c r="I66" s="4" t="inlineStr">
        <is>
          <t>16S-A4-R.1 × 16S-A5-F.1</t>
        </is>
      </c>
      <c r="J66" s="4" t="n">
        <v>-5.17</v>
      </c>
      <c r="K66" s="4" t="n">
        <v>10</v>
      </c>
      <c r="L66" s="4" t="n">
        <v>0</v>
      </c>
      <c r="M66" s="4" t="n">
        <v>-4.76</v>
      </c>
      <c r="N66" s="4" t="inlineStr">
        <is>
          <t>16S-A1-R.8s(3′) → 16S-A6-F.2</t>
        </is>
      </c>
      <c r="O66" s="4" t="n">
        <v>1.13</v>
      </c>
      <c r="P66" s="4" t="n">
        <v>3</v>
      </c>
      <c r="Q66" s="4" t="n">
        <v>0</v>
      </c>
      <c r="R66" s="4" t="n">
        <v>-5.74</v>
      </c>
      <c r="S66" s="4" t="n">
        <v>-5.65</v>
      </c>
      <c r="T66" s="4" t="n">
        <v>-6.44</v>
      </c>
      <c r="U66" s="4" t="n">
        <v>-2.61</v>
      </c>
      <c r="V66" s="4" t="inlineStr">
        <is>
          <t>16S-A4-R.2</t>
        </is>
      </c>
      <c r="W66" s="4" t="n">
        <v>0</v>
      </c>
      <c r="X66" s="4" t="n">
        <v>-0.2</v>
      </c>
      <c r="Y66" s="4" t="n">
        <v>47970</v>
      </c>
      <c r="Z66" s="4" t="n">
        <v>0</v>
      </c>
      <c r="AA66" s="4" t="n">
        <v>2</v>
      </c>
      <c r="AB66" s="4" t="n">
        <v>0</v>
      </c>
      <c r="AC66" s="4" t="n">
        <v>0</v>
      </c>
    </row>
    <row r="67">
      <c r="A67" s="4" t="n">
        <v>66</v>
      </c>
      <c r="B67" s="4" t="inlineStr">
        <is>
          <t>UDP0066</t>
        </is>
      </c>
      <c r="C67" s="4" t="inlineStr">
        <is>
          <t>AATTGCTGCG</t>
        </is>
      </c>
      <c r="D67" s="4" t="inlineStr">
        <is>
          <t>GCGTTGGTAT</t>
        </is>
      </c>
      <c r="E67" s="5" t="inlineStr">
        <is>
          <t>C</t>
        </is>
      </c>
      <c r="F67" s="4" t="inlineStr"/>
      <c r="G67" s="4" t="n">
        <v>79</v>
      </c>
      <c r="H67" s="4" t="n">
        <v>-7.71</v>
      </c>
      <c r="I67" s="4" t="inlineStr">
        <is>
          <t>16S-A3-F.1 × 16S-A6-F.2</t>
        </is>
      </c>
      <c r="J67" s="4" t="n">
        <v>-1.93</v>
      </c>
      <c r="K67" s="4" t="n">
        <v>54</v>
      </c>
      <c r="L67" s="4" t="n">
        <v>20</v>
      </c>
      <c r="M67" s="4" t="n">
        <v>-6.65</v>
      </c>
      <c r="N67" s="4" t="inlineStr">
        <is>
          <t>16S-A5-F.1(3′) → 16S-A4-R.2</t>
        </is>
      </c>
      <c r="O67" s="4" t="n">
        <v>3.33</v>
      </c>
      <c r="P67" s="4" t="n">
        <v>34</v>
      </c>
      <c r="Q67" s="4" t="n">
        <v>14</v>
      </c>
      <c r="R67" s="4" t="n">
        <v>-7.71</v>
      </c>
      <c r="S67" s="4" t="n">
        <v>-6.53</v>
      </c>
      <c r="T67" s="4" t="n">
        <v>-7.18</v>
      </c>
      <c r="U67" s="4" t="n">
        <v>-2.19</v>
      </c>
      <c r="V67" s="4" t="inlineStr">
        <is>
          <t>16S-A3-F.1</t>
        </is>
      </c>
      <c r="W67" s="4" t="n">
        <v>0</v>
      </c>
      <c r="X67" s="4" t="n">
        <v>-0.31</v>
      </c>
      <c r="Y67" s="4" t="n">
        <v>125299</v>
      </c>
      <c r="Z67" s="4" t="n">
        <v>0</v>
      </c>
      <c r="AA67" s="4" t="n">
        <v>0</v>
      </c>
      <c r="AB67" s="4" t="n">
        <v>0</v>
      </c>
      <c r="AC67" s="4" t="n">
        <v>2</v>
      </c>
    </row>
    <row r="68">
      <c r="A68" s="4" t="n">
        <v>67</v>
      </c>
      <c r="B68" s="4" t="inlineStr">
        <is>
          <t>UDP0067</t>
        </is>
      </c>
      <c r="C68" s="4" t="inlineStr">
        <is>
          <t>TTACAATTCC</t>
        </is>
      </c>
      <c r="D68" s="4" t="inlineStr">
        <is>
          <t>AGCACATCCT</t>
        </is>
      </c>
      <c r="E68" s="7" t="inlineStr">
        <is>
          <t>B</t>
        </is>
      </c>
      <c r="F68" s="4" t="inlineStr">
        <is>
          <t>推荐</t>
        </is>
      </c>
      <c r="G68" s="4" t="n">
        <v>41</v>
      </c>
      <c r="H68" s="4" t="n">
        <v>-7.85</v>
      </c>
      <c r="I68" s="4" t="inlineStr">
        <is>
          <t>16S-A4-R.5s × 16S-A5-F.1</t>
        </is>
      </c>
      <c r="J68" s="4" t="n">
        <v>-4.63</v>
      </c>
      <c r="K68" s="4" t="n">
        <v>62</v>
      </c>
      <c r="L68" s="4" t="n">
        <v>57</v>
      </c>
      <c r="M68" s="4" t="n">
        <v>-4.54</v>
      </c>
      <c r="N68" s="4" t="inlineStr">
        <is>
          <t>16S-A2-R.1(3′) → 16S-A6-F.2</t>
        </is>
      </c>
      <c r="O68" s="4" t="n">
        <v>-0.12</v>
      </c>
      <c r="P68" s="4" t="n">
        <v>2</v>
      </c>
      <c r="Q68" s="4" t="n">
        <v>0</v>
      </c>
      <c r="R68" s="4" t="n">
        <v>-5.74</v>
      </c>
      <c r="S68" s="4" t="n">
        <v>-6.31</v>
      </c>
      <c r="T68" s="4" t="n">
        <v>-7.85</v>
      </c>
      <c r="U68" s="4" t="n">
        <v>-1.59</v>
      </c>
      <c r="V68" s="4" t="inlineStr">
        <is>
          <t>16S-A4-R.2</t>
        </is>
      </c>
      <c r="W68" s="4" t="n">
        <v>0</v>
      </c>
      <c r="X68" s="4" t="n">
        <v>0.46</v>
      </c>
      <c r="Y68" s="4" t="n">
        <v>119857</v>
      </c>
      <c r="Z68" s="4" t="n">
        <v>0</v>
      </c>
      <c r="AA68" s="4" t="n">
        <v>0</v>
      </c>
      <c r="AB68" s="4" t="n">
        <v>0</v>
      </c>
      <c r="AC68" s="4" t="n">
        <v>4</v>
      </c>
    </row>
    <row r="69">
      <c r="A69" s="4" t="n">
        <v>68</v>
      </c>
      <c r="B69" s="4" t="inlineStr">
        <is>
          <t>UDP0068</t>
        </is>
      </c>
      <c r="C69" s="4" t="inlineStr">
        <is>
          <t>AACCTAGCAC</t>
        </is>
      </c>
      <c r="D69" s="4" t="inlineStr">
        <is>
          <t>TTGTTCCGTG</t>
        </is>
      </c>
      <c r="E69" s="5" t="inlineStr">
        <is>
          <t>C</t>
        </is>
      </c>
      <c r="F69" s="4" t="inlineStr"/>
      <c r="G69" s="4" t="n">
        <v>66</v>
      </c>
      <c r="H69" s="4" t="n">
        <v>-11.35</v>
      </c>
      <c r="I69" s="4" t="inlineStr">
        <is>
          <t>16S-A2-R.1 × 16S-A2-R.1</t>
        </is>
      </c>
      <c r="J69" s="4" t="n">
        <v>0.11</v>
      </c>
      <c r="K69" s="4" t="n">
        <v>273</v>
      </c>
      <c r="L69" s="4" t="n">
        <v>134</v>
      </c>
      <c r="M69" s="4" t="n">
        <v>-8.130000000000001</v>
      </c>
      <c r="N69" s="4" t="inlineStr">
        <is>
          <t>16S-A2-R.1(3′) → 16S-A2-R.1</t>
        </is>
      </c>
      <c r="O69" s="4" t="n">
        <v>0.11</v>
      </c>
      <c r="P69" s="4" t="n">
        <v>53</v>
      </c>
      <c r="Q69" s="4" t="n">
        <v>18</v>
      </c>
      <c r="R69" s="4" t="n">
        <v>-6.12</v>
      </c>
      <c r="S69" s="4" t="n">
        <v>-11.35</v>
      </c>
      <c r="T69" s="4" t="n">
        <v>-6.21</v>
      </c>
      <c r="U69" s="4" t="n">
        <v>-1.93</v>
      </c>
      <c r="V69" s="4" t="inlineStr">
        <is>
          <t>16S-A6-F.2</t>
        </is>
      </c>
      <c r="W69" s="4" t="n">
        <v>0</v>
      </c>
      <c r="X69" s="4" t="n">
        <v>-0.02</v>
      </c>
      <c r="Y69" s="4" t="n">
        <v>78565</v>
      </c>
      <c r="Z69" s="4" t="n">
        <v>0</v>
      </c>
      <c r="AA69" s="4" t="n">
        <v>0</v>
      </c>
      <c r="AB69" s="4" t="n">
        <v>0</v>
      </c>
      <c r="AC69" s="4" t="n">
        <v>0</v>
      </c>
    </row>
    <row r="70">
      <c r="A70" s="4" t="n">
        <v>69</v>
      </c>
      <c r="B70" s="4" t="inlineStr">
        <is>
          <t>UDP0069V3</t>
        </is>
      </c>
      <c r="C70" s="4" t="inlineStr">
        <is>
          <t>TCGAAGTACT</t>
        </is>
      </c>
      <c r="D70" s="4" t="inlineStr">
        <is>
          <t>AAGGCCTTGG</t>
        </is>
      </c>
      <c r="E70" s="7" t="inlineStr">
        <is>
          <t>B</t>
        </is>
      </c>
      <c r="F70" s="4" t="inlineStr"/>
      <c r="G70" s="4" t="n">
        <v>51</v>
      </c>
      <c r="H70" s="4" t="n">
        <v>-6.27</v>
      </c>
      <c r="I70" s="4" t="inlineStr">
        <is>
          <t>16S-A2-F.2 × 16S-A2-F.2</t>
        </is>
      </c>
      <c r="J70" s="4" t="n">
        <v>-2.36</v>
      </c>
      <c r="K70" s="4" t="n">
        <v>1</v>
      </c>
      <c r="L70" s="4" t="n">
        <v>0</v>
      </c>
      <c r="M70" s="4" t="n">
        <v>-4.68</v>
      </c>
      <c r="N70" s="4" t="inlineStr">
        <is>
          <t>16S-A3-F.1(3′) → 16S-A1-R.8s</t>
        </is>
      </c>
      <c r="O70" s="4" t="n">
        <v>-0.35</v>
      </c>
      <c r="P70" s="4" t="n">
        <v>2</v>
      </c>
      <c r="Q70" s="4" t="n">
        <v>0</v>
      </c>
      <c r="R70" s="4" t="n">
        <v>-6.27</v>
      </c>
      <c r="S70" s="4" t="n">
        <v>-4.9</v>
      </c>
      <c r="T70" s="4" t="n">
        <v>-5.9</v>
      </c>
      <c r="U70" s="4" t="n">
        <v>-2.3</v>
      </c>
      <c r="V70" s="4" t="inlineStr">
        <is>
          <t>16S-A4-R.2</t>
        </is>
      </c>
      <c r="W70" s="4" t="n">
        <v>0</v>
      </c>
      <c r="X70" s="4" t="n">
        <v>-0.28</v>
      </c>
      <c r="Y70" s="4" t="n">
        <v>248973</v>
      </c>
      <c r="Z70" s="4" t="n">
        <v>0</v>
      </c>
      <c r="AA70" s="4" t="n">
        <v>0</v>
      </c>
      <c r="AB70" s="4" t="n">
        <v>0</v>
      </c>
      <c r="AC70" s="4" t="n">
        <v>0</v>
      </c>
    </row>
    <row r="71">
      <c r="A71" s="4" t="n">
        <v>70</v>
      </c>
      <c r="B71" s="4" t="inlineStr">
        <is>
          <t>UDP0070V3</t>
        </is>
      </c>
      <c r="C71" s="4" t="inlineStr">
        <is>
          <t>GACACCGATG</t>
        </is>
      </c>
      <c r="D71" s="4" t="inlineStr">
        <is>
          <t>TGTGGAGTAA</t>
        </is>
      </c>
      <c r="E71" s="5" t="inlineStr">
        <is>
          <t>C</t>
        </is>
      </c>
      <c r="F71" s="4" t="inlineStr"/>
      <c r="G71" s="4" t="n">
        <v>75</v>
      </c>
      <c r="H71" s="4" t="n">
        <v>-11.32</v>
      </c>
      <c r="I71" s="4" t="inlineStr">
        <is>
          <t>16S-A4-R.1 × 16S-A5-F.1</t>
        </is>
      </c>
      <c r="J71" s="4" t="n">
        <v>-5.17</v>
      </c>
      <c r="K71" s="4" t="n">
        <v>124</v>
      </c>
      <c r="L71" s="4" t="n">
        <v>60</v>
      </c>
      <c r="M71" s="4" t="n">
        <v>-5.53</v>
      </c>
      <c r="N71" s="4" t="inlineStr">
        <is>
          <t>16S-A4-R.1(3′) → 16S-A5-F.1</t>
        </is>
      </c>
      <c r="O71" s="4" t="n">
        <v>0.44</v>
      </c>
      <c r="P71" s="4" t="n">
        <v>19</v>
      </c>
      <c r="Q71" s="4" t="n">
        <v>2</v>
      </c>
      <c r="R71" s="4" t="n">
        <v>-5.74</v>
      </c>
      <c r="S71" s="4" t="n">
        <v>-6.36</v>
      </c>
      <c r="T71" s="4" t="n">
        <v>-11.32</v>
      </c>
      <c r="U71" s="4" t="n">
        <v>-2.61</v>
      </c>
      <c r="V71" s="4" t="inlineStr">
        <is>
          <t>16S-A4-R.2</t>
        </is>
      </c>
      <c r="W71" s="4" t="n">
        <v>0</v>
      </c>
      <c r="X71" s="4" t="n">
        <v>-0.8100000000000001</v>
      </c>
      <c r="Y71" s="4" t="n">
        <v>105784</v>
      </c>
      <c r="Z71" s="4" t="n">
        <v>0</v>
      </c>
      <c r="AA71" s="4" t="n">
        <v>1</v>
      </c>
      <c r="AB71" s="4" t="n">
        <v>0</v>
      </c>
      <c r="AC71" s="4" t="n">
        <v>1</v>
      </c>
    </row>
    <row r="72">
      <c r="A72" s="4" t="n">
        <v>71</v>
      </c>
      <c r="B72" s="4" t="inlineStr">
        <is>
          <t>UDP0071V3</t>
        </is>
      </c>
      <c r="C72" s="4" t="inlineStr">
        <is>
          <t>CTAGCGTCGA</t>
        </is>
      </c>
      <c r="D72" s="4" t="inlineStr">
        <is>
          <t>CACTTCTACT</t>
        </is>
      </c>
      <c r="E72" s="6" t="inlineStr">
        <is>
          <t>A</t>
        </is>
      </c>
      <c r="F72" s="4" t="inlineStr">
        <is>
          <t>推荐</t>
        </is>
      </c>
      <c r="G72" s="4" t="n">
        <v>12</v>
      </c>
      <c r="H72" s="4" t="n">
        <v>-6.6</v>
      </c>
      <c r="I72" s="4" t="inlineStr">
        <is>
          <t>16S-A4-R.5s × 16S-A5-F.1</t>
        </is>
      </c>
      <c r="J72" s="4" t="n">
        <v>-4.63</v>
      </c>
      <c r="K72" s="4" t="n">
        <v>12</v>
      </c>
      <c r="L72" s="4" t="n">
        <v>0</v>
      </c>
      <c r="M72" s="4" t="n">
        <v>-3.83</v>
      </c>
      <c r="N72" s="4" t="inlineStr">
        <is>
          <t>16S-A2-R.2(3′) → 16S-A6-F.5s</t>
        </is>
      </c>
      <c r="O72" s="4" t="n">
        <v>-3.45</v>
      </c>
      <c r="P72" s="4" t="n">
        <v>0</v>
      </c>
      <c r="Q72" s="4" t="n">
        <v>0</v>
      </c>
      <c r="R72" s="4" t="n">
        <v>-6.01</v>
      </c>
      <c r="S72" s="4" t="n">
        <v>-4.7</v>
      </c>
      <c r="T72" s="4" t="n">
        <v>-6.6</v>
      </c>
      <c r="U72" s="4" t="n">
        <v>-1.59</v>
      </c>
      <c r="V72" s="4" t="inlineStr">
        <is>
          <t>16S-A4-R.2</t>
        </is>
      </c>
      <c r="W72" s="4" t="n">
        <v>0</v>
      </c>
      <c r="X72" s="4" t="n">
        <v>-0.28</v>
      </c>
      <c r="Y72" s="4" t="n">
        <v>58032</v>
      </c>
      <c r="Z72" s="4" t="n">
        <v>0</v>
      </c>
      <c r="AA72" s="4" t="n">
        <v>2</v>
      </c>
      <c r="AB72" s="4" t="n">
        <v>0</v>
      </c>
      <c r="AC72" s="4" t="n">
        <v>0</v>
      </c>
    </row>
    <row r="73">
      <c r="A73" s="4" t="n">
        <v>72</v>
      </c>
      <c r="B73" s="4" t="inlineStr">
        <is>
          <t>UDP0072V3</t>
        </is>
      </c>
      <c r="C73" s="4" t="inlineStr">
        <is>
          <t>TAGCGAAGCA</t>
        </is>
      </c>
      <c r="D73" s="4" t="inlineStr">
        <is>
          <t>TGGACTCGTA</t>
        </is>
      </c>
      <c r="E73" s="7" t="inlineStr">
        <is>
          <t>B</t>
        </is>
      </c>
      <c r="F73" s="4" t="inlineStr">
        <is>
          <t>推荐</t>
        </is>
      </c>
      <c r="G73" s="4" t="n">
        <v>34</v>
      </c>
      <c r="H73" s="4" t="n">
        <v>-8.039999999999999</v>
      </c>
      <c r="I73" s="4" t="inlineStr">
        <is>
          <t>16S-A4-R.2 × 16S-A5-F.1</t>
        </is>
      </c>
      <c r="J73" s="4" t="n">
        <v>-4.77</v>
      </c>
      <c r="K73" s="4" t="n">
        <v>60</v>
      </c>
      <c r="L73" s="4" t="n">
        <v>34</v>
      </c>
      <c r="M73" s="4" t="n">
        <v>-4.48</v>
      </c>
      <c r="N73" s="4" t="inlineStr">
        <is>
          <t>16S-A6-F.3(3′) → 16S-A6-F.2</t>
        </is>
      </c>
      <c r="O73" s="4" t="n">
        <v>3.08</v>
      </c>
      <c r="P73" s="4" t="n">
        <v>4</v>
      </c>
      <c r="Q73" s="4" t="n">
        <v>0</v>
      </c>
      <c r="R73" s="4" t="n">
        <v>-7.65</v>
      </c>
      <c r="S73" s="4" t="n">
        <v>-5.75</v>
      </c>
      <c r="T73" s="4" t="n">
        <v>-8.039999999999999</v>
      </c>
      <c r="U73" s="4" t="n">
        <v>-3.9</v>
      </c>
      <c r="V73" s="4" t="inlineStr">
        <is>
          <t>16S-A6-F.3</t>
        </is>
      </c>
      <c r="W73" s="4" t="n">
        <v>4</v>
      </c>
      <c r="X73" s="4" t="n">
        <v>-0.52</v>
      </c>
      <c r="Y73" s="4" t="n">
        <v>83716</v>
      </c>
      <c r="Z73" s="4" t="n">
        <v>0</v>
      </c>
      <c r="AA73" s="4" t="n">
        <v>0</v>
      </c>
      <c r="AB73" s="4" t="n">
        <v>0</v>
      </c>
      <c r="AC73" s="4" t="n">
        <v>0</v>
      </c>
    </row>
    <row r="74">
      <c r="A74" s="4" t="n">
        <v>73</v>
      </c>
      <c r="B74" s="4" t="inlineStr">
        <is>
          <t>UDP0073V3</t>
        </is>
      </c>
      <c r="C74" s="4" t="inlineStr">
        <is>
          <t>AACACGTGGA</t>
        </is>
      </c>
      <c r="D74" s="4" t="inlineStr">
        <is>
          <t>TATCATGAGA</t>
        </is>
      </c>
      <c r="E74" s="5" t="inlineStr">
        <is>
          <t>C</t>
        </is>
      </c>
      <c r="F74" s="4" t="inlineStr"/>
      <c r="G74" s="4" t="n">
        <v>60</v>
      </c>
      <c r="H74" s="4" t="n">
        <v>-7.96</v>
      </c>
      <c r="I74" s="4" t="inlineStr">
        <is>
          <t>16S-A6-F.3 × 16S-A6-F.3</t>
        </is>
      </c>
      <c r="J74" s="4" t="n">
        <v>0.76</v>
      </c>
      <c r="K74" s="4" t="n">
        <v>41</v>
      </c>
      <c r="L74" s="4" t="n">
        <v>12</v>
      </c>
      <c r="M74" s="4" t="n">
        <v>-5.74</v>
      </c>
      <c r="N74" s="4" t="inlineStr">
        <is>
          <t>16S-A3-F.1(3′) → 16S-A1-R.8s</t>
        </is>
      </c>
      <c r="O74" s="4" t="n">
        <v>-0.05</v>
      </c>
      <c r="P74" s="4" t="n">
        <v>3</v>
      </c>
      <c r="Q74" s="4" t="n">
        <v>1</v>
      </c>
      <c r="R74" s="4" t="n">
        <v>-7.96</v>
      </c>
      <c r="S74" s="4" t="n">
        <v>-5.86</v>
      </c>
      <c r="T74" s="4" t="n">
        <v>-6.44</v>
      </c>
      <c r="U74" s="4" t="n">
        <v>-2.61</v>
      </c>
      <c r="V74" s="4" t="inlineStr">
        <is>
          <t>16S-A4-R.2</t>
        </is>
      </c>
      <c r="W74" s="4" t="n">
        <v>0</v>
      </c>
      <c r="X74" s="4" t="n">
        <v>-0.52</v>
      </c>
      <c r="Y74" s="4" t="n">
        <v>69347</v>
      </c>
      <c r="Z74" s="4" t="n">
        <v>0</v>
      </c>
      <c r="AA74" s="4" t="n">
        <v>0</v>
      </c>
      <c r="AB74" s="4" t="n">
        <v>0</v>
      </c>
      <c r="AC74" s="4" t="n">
        <v>2</v>
      </c>
    </row>
    <row r="75">
      <c r="A75" s="4" t="n">
        <v>74</v>
      </c>
      <c r="B75" s="4" t="inlineStr">
        <is>
          <t>UDP0074V3</t>
        </is>
      </c>
      <c r="C75" s="4" t="inlineStr">
        <is>
          <t>GTGTTACCGG</t>
        </is>
      </c>
      <c r="D75" s="4" t="inlineStr">
        <is>
          <t>CTTGGCCTCG</t>
        </is>
      </c>
      <c r="E75" s="5" t="inlineStr">
        <is>
          <t>C</t>
        </is>
      </c>
      <c r="F75" s="4" t="inlineStr"/>
      <c r="G75" s="4" t="n">
        <v>95</v>
      </c>
      <c r="H75" s="4" t="n">
        <v>-9.210000000000001</v>
      </c>
      <c r="I75" s="4" t="inlineStr">
        <is>
          <t>16S-A5-F.3 × 16S-A5-F.3</t>
        </is>
      </c>
      <c r="J75" s="4" t="n">
        <v>-1.39</v>
      </c>
      <c r="K75" s="4" t="n">
        <v>206</v>
      </c>
      <c r="L75" s="4" t="n">
        <v>49</v>
      </c>
      <c r="M75" s="4" t="n">
        <v>-7.33</v>
      </c>
      <c r="N75" s="4" t="inlineStr">
        <is>
          <t>16S-A3-F.1(3′) → 16S-A6-F.2</t>
        </is>
      </c>
      <c r="O75" s="4" t="n">
        <v>0.14</v>
      </c>
      <c r="P75" s="4" t="n">
        <v>218</v>
      </c>
      <c r="Q75" s="4" t="n">
        <v>53</v>
      </c>
      <c r="R75" s="4" t="n">
        <v>-9.210000000000001</v>
      </c>
      <c r="S75" s="4" t="n">
        <v>-6.48</v>
      </c>
      <c r="T75" s="4" t="n">
        <v>-7.72</v>
      </c>
      <c r="U75" s="4" t="n">
        <v>-2.01</v>
      </c>
      <c r="V75" s="4" t="inlineStr">
        <is>
          <t>16S-A4-F.1</t>
        </is>
      </c>
      <c r="W75" s="4" t="n">
        <v>0</v>
      </c>
      <c r="X75" s="4" t="n">
        <v>-0.12</v>
      </c>
      <c r="Y75" s="4" t="n">
        <v>557297</v>
      </c>
      <c r="Z75" s="4" t="n">
        <v>0</v>
      </c>
      <c r="AA75" s="4" t="n">
        <v>1</v>
      </c>
      <c r="AB75" s="4" t="n">
        <v>0</v>
      </c>
      <c r="AC75" s="4" t="n">
        <v>1</v>
      </c>
    </row>
    <row r="76">
      <c r="A76" s="4" t="n">
        <v>75</v>
      </c>
      <c r="B76" s="4" t="inlineStr">
        <is>
          <t>UDP0075V3</t>
        </is>
      </c>
      <c r="C76" s="4" t="inlineStr">
        <is>
          <t>AGATTGTTAC</t>
        </is>
      </c>
      <c r="D76" s="4" t="inlineStr">
        <is>
          <t>GTCTCGTGAA</t>
        </is>
      </c>
      <c r="E76" s="7" t="inlineStr">
        <is>
          <t>B</t>
        </is>
      </c>
      <c r="F76" s="4" t="inlineStr">
        <is>
          <t>推荐</t>
        </is>
      </c>
      <c r="G76" s="4" t="n">
        <v>31</v>
      </c>
      <c r="H76" s="4" t="n">
        <v>-6.84</v>
      </c>
      <c r="I76" s="4" t="inlineStr">
        <is>
          <t>16S-A4-R.4s × 16S-A6-F.2</t>
        </is>
      </c>
      <c r="J76" s="4" t="n">
        <v>-2.47</v>
      </c>
      <c r="K76" s="4" t="n">
        <v>34</v>
      </c>
      <c r="L76" s="4" t="n">
        <v>0</v>
      </c>
      <c r="M76" s="4" t="n">
        <v>-4.95</v>
      </c>
      <c r="N76" s="4" t="inlineStr">
        <is>
          <t>16S-A2-R.1(3′) → 16S-A6-F.2</t>
        </is>
      </c>
      <c r="O76" s="4" t="n">
        <v>-0.12</v>
      </c>
      <c r="P76" s="4" t="n">
        <v>6</v>
      </c>
      <c r="Q76" s="4" t="n">
        <v>0</v>
      </c>
      <c r="R76" s="4" t="n">
        <v>-5.74</v>
      </c>
      <c r="S76" s="4" t="n">
        <v>-6.68</v>
      </c>
      <c r="T76" s="4" t="n">
        <v>-6.84</v>
      </c>
      <c r="U76" s="4" t="n">
        <v>-2.61</v>
      </c>
      <c r="V76" s="4" t="inlineStr">
        <is>
          <t>16S-A4-R.2</t>
        </is>
      </c>
      <c r="W76" s="4" t="n">
        <v>0</v>
      </c>
      <c r="X76" s="4" t="n">
        <v>0.22</v>
      </c>
      <c r="Y76" s="4" t="n">
        <v>56726</v>
      </c>
      <c r="Z76" s="4" t="n">
        <v>0</v>
      </c>
      <c r="AA76" s="4" t="n">
        <v>0</v>
      </c>
      <c r="AB76" s="4" t="n">
        <v>0</v>
      </c>
      <c r="AC76" s="4" t="n">
        <v>1</v>
      </c>
    </row>
    <row r="77">
      <c r="A77" s="4" t="n">
        <v>76</v>
      </c>
      <c r="B77" s="4" t="inlineStr">
        <is>
          <t>UDP0076V3</t>
        </is>
      </c>
      <c r="C77" s="4" t="inlineStr">
        <is>
          <t>TTGACCAATG</t>
        </is>
      </c>
      <c r="D77" s="4" t="inlineStr">
        <is>
          <t>CCATCCACGC</t>
        </is>
      </c>
      <c r="E77" s="7" t="inlineStr">
        <is>
          <t>B</t>
        </is>
      </c>
      <c r="F77" s="4" t="inlineStr"/>
      <c r="G77" s="4" t="n">
        <v>49</v>
      </c>
      <c r="H77" s="4" t="n">
        <v>-8.279999999999999</v>
      </c>
      <c r="I77" s="4" t="inlineStr">
        <is>
          <t>16S-A4-R.1 × 16S-A5-F.1</t>
        </is>
      </c>
      <c r="J77" s="4" t="n">
        <v>-5.17</v>
      </c>
      <c r="K77" s="4" t="n">
        <v>355</v>
      </c>
      <c r="L77" s="4" t="n">
        <v>115</v>
      </c>
      <c r="M77" s="4" t="n">
        <v>-4.61</v>
      </c>
      <c r="N77" s="4" t="inlineStr">
        <is>
          <t>16S-A2-R.3(3′) → 16S-A3-F.1</t>
        </is>
      </c>
      <c r="O77" s="4" t="n">
        <v>1.14</v>
      </c>
      <c r="P77" s="4" t="n">
        <v>14</v>
      </c>
      <c r="Q77" s="4" t="n">
        <v>0</v>
      </c>
      <c r="R77" s="4" t="n">
        <v>-7.71</v>
      </c>
      <c r="S77" s="4" t="n">
        <v>-6.43</v>
      </c>
      <c r="T77" s="4" t="n">
        <v>-8.279999999999999</v>
      </c>
      <c r="U77" s="4" t="n">
        <v>-1.98</v>
      </c>
      <c r="V77" s="4" t="inlineStr">
        <is>
          <t>16S-A4-R.2</t>
        </is>
      </c>
      <c r="W77" s="4" t="n">
        <v>0</v>
      </c>
      <c r="X77" s="4" t="n">
        <v>0.34</v>
      </c>
      <c r="Y77" s="4" t="n">
        <v>182087</v>
      </c>
      <c r="Z77" s="4" t="n">
        <v>0</v>
      </c>
      <c r="AA77" s="4" t="n">
        <v>1</v>
      </c>
      <c r="AB77" s="4" t="n">
        <v>0</v>
      </c>
      <c r="AC77" s="4" t="n">
        <v>0</v>
      </c>
    </row>
    <row r="78">
      <c r="A78" s="4" t="n">
        <v>77</v>
      </c>
      <c r="B78" s="4" t="inlineStr">
        <is>
          <t>UDP0077</t>
        </is>
      </c>
      <c r="C78" s="4" t="inlineStr">
        <is>
          <t>CGTTGCTTAC</t>
        </is>
      </c>
      <c r="D78" s="4" t="inlineStr">
        <is>
          <t>GGATACCAGA</t>
        </is>
      </c>
      <c r="E78" s="5" t="inlineStr">
        <is>
          <t>C</t>
        </is>
      </c>
      <c r="F78" s="4" t="inlineStr"/>
      <c r="G78" s="4" t="n">
        <v>56</v>
      </c>
      <c r="H78" s="4" t="n">
        <v>-7.34</v>
      </c>
      <c r="I78" s="4" t="inlineStr">
        <is>
          <t>16S-A4-R.4s × 16S-A6-F.2</t>
        </is>
      </c>
      <c r="J78" s="4" t="n">
        <v>-2.47</v>
      </c>
      <c r="K78" s="4" t="n">
        <v>6</v>
      </c>
      <c r="L78" s="4" t="n">
        <v>2</v>
      </c>
      <c r="M78" s="4" t="n">
        <v>-5.74</v>
      </c>
      <c r="N78" s="4" t="inlineStr">
        <is>
          <t>16S-A3-F.1(3′) → 16S-A1-R.8s</t>
        </is>
      </c>
      <c r="O78" s="4" t="n">
        <v>-0.05</v>
      </c>
      <c r="P78" s="4" t="n">
        <v>12</v>
      </c>
      <c r="Q78" s="4" t="n">
        <v>3</v>
      </c>
      <c r="R78" s="4" t="n">
        <v>-5.74</v>
      </c>
      <c r="S78" s="4" t="n">
        <v>-5.86</v>
      </c>
      <c r="T78" s="4" t="n">
        <v>-7.34</v>
      </c>
      <c r="U78" s="4" t="n">
        <v>-2.61</v>
      </c>
      <c r="V78" s="4" t="inlineStr">
        <is>
          <t>16S-A4-R.2</t>
        </is>
      </c>
      <c r="W78" s="4" t="n">
        <v>0</v>
      </c>
      <c r="X78" s="4" t="n">
        <v>-0.23</v>
      </c>
      <c r="Y78" s="4" t="n">
        <v>66232</v>
      </c>
      <c r="Z78" s="4" t="n">
        <v>0</v>
      </c>
      <c r="AA78" s="4" t="n">
        <v>1</v>
      </c>
      <c r="AB78" s="4" t="n">
        <v>0</v>
      </c>
      <c r="AC78" s="4" t="n">
        <v>0</v>
      </c>
    </row>
    <row r="79">
      <c r="A79" s="4" t="n">
        <v>78</v>
      </c>
      <c r="B79" s="4" t="inlineStr">
        <is>
          <t>UDP0078</t>
        </is>
      </c>
      <c r="C79" s="4" t="inlineStr">
        <is>
          <t>TGACTACATA</t>
        </is>
      </c>
      <c r="D79" s="4" t="inlineStr">
        <is>
          <t>CGCACTAATG</t>
        </is>
      </c>
      <c r="E79" s="6" t="inlineStr">
        <is>
          <t>A</t>
        </is>
      </c>
      <c r="F79" s="4" t="inlineStr">
        <is>
          <t>推荐</t>
        </is>
      </c>
      <c r="G79" s="4" t="n">
        <v>3</v>
      </c>
      <c r="H79" s="4" t="n">
        <v>-6.27</v>
      </c>
      <c r="I79" s="4" t="inlineStr">
        <is>
          <t>16S-A4-R.1 × 16S-A5-F.1</t>
        </is>
      </c>
      <c r="J79" s="4" t="n">
        <v>-5.17</v>
      </c>
      <c r="K79" s="4" t="n">
        <v>10</v>
      </c>
      <c r="L79" s="4" t="n">
        <v>0</v>
      </c>
      <c r="M79" s="4" t="n">
        <v>-3.93</v>
      </c>
      <c r="N79" s="4" t="inlineStr">
        <is>
          <t>16S-A6-R.1(3′) → 16S-A5-R.1</t>
        </is>
      </c>
      <c r="O79" s="4" t="n">
        <v>-0.75</v>
      </c>
      <c r="P79" s="4" t="n">
        <v>0</v>
      </c>
      <c r="Q79" s="4" t="n">
        <v>0</v>
      </c>
      <c r="R79" s="4" t="n">
        <v>-5.74</v>
      </c>
      <c r="S79" s="4" t="n">
        <v>-4.92</v>
      </c>
      <c r="T79" s="4" t="n">
        <v>-6.27</v>
      </c>
      <c r="U79" s="4" t="n">
        <v>-1.77</v>
      </c>
      <c r="V79" s="4" t="inlineStr">
        <is>
          <t>16S-A4-R.2</t>
        </is>
      </c>
      <c r="W79" s="4" t="n">
        <v>0</v>
      </c>
      <c r="X79" s="4" t="n">
        <v>-0.1</v>
      </c>
      <c r="Y79" s="4" t="n">
        <v>38197</v>
      </c>
      <c r="Z79" s="4" t="n">
        <v>0</v>
      </c>
      <c r="AA79" s="4" t="n">
        <v>0</v>
      </c>
      <c r="AB79" s="4" t="n">
        <v>0</v>
      </c>
      <c r="AC79" s="4" t="n">
        <v>0</v>
      </c>
    </row>
    <row r="80">
      <c r="A80" s="4" t="n">
        <v>79</v>
      </c>
      <c r="B80" s="4" t="inlineStr">
        <is>
          <t>UDP0079</t>
        </is>
      </c>
      <c r="C80" s="4" t="inlineStr">
        <is>
          <t>CGGCCTCGTT</t>
        </is>
      </c>
      <c r="D80" s="4" t="inlineStr">
        <is>
          <t>TCCTGACCGT</t>
        </is>
      </c>
      <c r="E80" s="5" t="inlineStr">
        <is>
          <t>C</t>
        </is>
      </c>
      <c r="F80" s="4" t="inlineStr"/>
      <c r="G80" s="4" t="n">
        <v>63</v>
      </c>
      <c r="H80" s="4" t="n">
        <v>-9.07</v>
      </c>
      <c r="I80" s="4" t="inlineStr">
        <is>
          <t>16S-A2-R.1 × 16S-A2-R.1</t>
        </is>
      </c>
      <c r="J80" s="4" t="n">
        <v>0.11</v>
      </c>
      <c r="K80" s="4" t="n">
        <v>94</v>
      </c>
      <c r="L80" s="4" t="n">
        <v>42</v>
      </c>
      <c r="M80" s="4" t="n">
        <v>-5.68</v>
      </c>
      <c r="N80" s="4" t="inlineStr">
        <is>
          <t>16S-A3-F.1(3′) → 16S-A1-R.8s</t>
        </is>
      </c>
      <c r="O80" s="4" t="n">
        <v>-0.35</v>
      </c>
      <c r="P80" s="4" t="n">
        <v>2</v>
      </c>
      <c r="Q80" s="4" t="n">
        <v>1</v>
      </c>
      <c r="R80" s="4" t="n">
        <v>-5.74</v>
      </c>
      <c r="S80" s="4" t="n">
        <v>-9.07</v>
      </c>
      <c r="T80" s="4" t="n">
        <v>-6.58</v>
      </c>
      <c r="U80" s="4" t="n">
        <v>-1.89</v>
      </c>
      <c r="V80" s="4" t="inlineStr">
        <is>
          <t>16S-A2-R.1</t>
        </is>
      </c>
      <c r="W80" s="4" t="n">
        <v>0</v>
      </c>
      <c r="X80" s="4" t="n">
        <v>-1.4</v>
      </c>
      <c r="Y80" s="4" t="n">
        <v>72963</v>
      </c>
      <c r="Z80" s="4" t="n">
        <v>0</v>
      </c>
      <c r="AA80" s="4" t="n">
        <v>0</v>
      </c>
      <c r="AB80" s="4" t="n">
        <v>0</v>
      </c>
      <c r="AC80" s="4" t="n">
        <v>0</v>
      </c>
    </row>
    <row r="81">
      <c r="A81" s="4" t="n">
        <v>80</v>
      </c>
      <c r="B81" s="4" t="inlineStr">
        <is>
          <t>UDP0080</t>
        </is>
      </c>
      <c r="C81" s="4" t="inlineStr">
        <is>
          <t>CAAGCATCCG</t>
        </is>
      </c>
      <c r="D81" s="4" t="inlineStr">
        <is>
          <t>CTGGCTTGCC</t>
        </is>
      </c>
      <c r="E81" s="7" t="inlineStr">
        <is>
          <t>B</t>
        </is>
      </c>
      <c r="F81" s="4" t="inlineStr">
        <is>
          <t>推荐</t>
        </is>
      </c>
      <c r="G81" s="4" t="n">
        <v>42</v>
      </c>
      <c r="H81" s="4" t="n">
        <v>-8.449999999999999</v>
      </c>
      <c r="I81" s="4" t="inlineStr">
        <is>
          <t>16S-A4-R.2 × 16S-A5-F.1</t>
        </is>
      </c>
      <c r="J81" s="4" t="n">
        <v>-5.17</v>
      </c>
      <c r="K81" s="4" t="n">
        <v>46</v>
      </c>
      <c r="L81" s="4" t="n">
        <v>14</v>
      </c>
      <c r="M81" s="4" t="n">
        <v>-4.43</v>
      </c>
      <c r="N81" s="4" t="inlineStr">
        <is>
          <t>16S-A3-F.1(3′) → 16S-A2-R.1</t>
        </is>
      </c>
      <c r="O81" s="4" t="n">
        <v>3.11</v>
      </c>
      <c r="P81" s="4" t="n">
        <v>34</v>
      </c>
      <c r="Q81" s="4" t="n">
        <v>0</v>
      </c>
      <c r="R81" s="4" t="n">
        <v>-6.76</v>
      </c>
      <c r="S81" s="4" t="n">
        <v>-6.07</v>
      </c>
      <c r="T81" s="4" t="n">
        <v>-8.449999999999999</v>
      </c>
      <c r="U81" s="4" t="n">
        <v>-1.62</v>
      </c>
      <c r="V81" s="4" t="inlineStr">
        <is>
          <t>16S-A4-R.2</t>
        </is>
      </c>
      <c r="W81" s="4" t="n">
        <v>0</v>
      </c>
      <c r="X81" s="4" t="n">
        <v>-2.14</v>
      </c>
      <c r="Y81" s="4" t="n">
        <v>122661</v>
      </c>
      <c r="Z81" s="4" t="n">
        <v>0</v>
      </c>
      <c r="AA81" s="4" t="n">
        <v>1</v>
      </c>
      <c r="AB81" s="4" t="n">
        <v>0</v>
      </c>
      <c r="AC81" s="4" t="n">
        <v>0</v>
      </c>
    </row>
    <row r="82">
      <c r="A82" s="4" t="n">
        <v>81</v>
      </c>
      <c r="B82" s="4" t="inlineStr">
        <is>
          <t>UDP0081</t>
        </is>
      </c>
      <c r="C82" s="4" t="inlineStr">
        <is>
          <t>TCGTCTGACT</t>
        </is>
      </c>
      <c r="D82" s="4" t="inlineStr">
        <is>
          <t>ACCAGCGACA</t>
        </is>
      </c>
      <c r="E82" s="5" t="inlineStr">
        <is>
          <t>C</t>
        </is>
      </c>
      <c r="F82" s="4" t="inlineStr"/>
      <c r="G82" s="4" t="n">
        <v>54</v>
      </c>
      <c r="H82" s="4" t="n">
        <v>-6.39</v>
      </c>
      <c r="I82" s="4" t="inlineStr">
        <is>
          <t>16S-A1-R.8s × 16S-A2-R.1</t>
        </is>
      </c>
      <c r="J82" s="4" t="n">
        <v>-4.37</v>
      </c>
      <c r="K82" s="4" t="n">
        <v>21</v>
      </c>
      <c r="L82" s="4" t="n">
        <v>0</v>
      </c>
      <c r="M82" s="4" t="n">
        <v>-5.79</v>
      </c>
      <c r="N82" s="4" t="inlineStr">
        <is>
          <t>16S-A2-F.2(3′) → 16S-A2-F.2</t>
        </is>
      </c>
      <c r="O82" s="4" t="n">
        <v>-0.63</v>
      </c>
      <c r="P82" s="4" t="n">
        <v>8</v>
      </c>
      <c r="Q82" s="4" t="n">
        <v>2</v>
      </c>
      <c r="R82" s="4" t="n">
        <v>-6.27</v>
      </c>
      <c r="S82" s="4" t="n">
        <v>-6.39</v>
      </c>
      <c r="T82" s="4" t="n">
        <v>-6.1</v>
      </c>
      <c r="U82" s="4" t="n">
        <v>-2.61</v>
      </c>
      <c r="V82" s="4" t="inlineStr">
        <is>
          <t>16S-A4-R.2</t>
        </is>
      </c>
      <c r="W82" s="4" t="n">
        <v>0</v>
      </c>
      <c r="X82" s="4" t="n">
        <v>0.19</v>
      </c>
      <c r="Y82" s="4" t="n">
        <v>45458</v>
      </c>
      <c r="Z82" s="4" t="n">
        <v>0</v>
      </c>
      <c r="AA82" s="4" t="n">
        <v>0</v>
      </c>
      <c r="AB82" s="4" t="n">
        <v>0</v>
      </c>
      <c r="AC82" s="4" t="n">
        <v>0</v>
      </c>
    </row>
    <row r="83">
      <c r="A83" s="4" t="n">
        <v>82</v>
      </c>
      <c r="B83" s="4" t="inlineStr">
        <is>
          <t>UDP0082</t>
        </is>
      </c>
      <c r="C83" s="4" t="inlineStr">
        <is>
          <t>CTCATAGCGA</t>
        </is>
      </c>
      <c r="D83" s="4" t="inlineStr">
        <is>
          <t>TTGTAACGGT</t>
        </is>
      </c>
      <c r="E83" s="5" t="inlineStr">
        <is>
          <t>C</t>
        </is>
      </c>
      <c r="F83" s="4" t="inlineStr"/>
      <c r="G83" s="4" t="n">
        <v>64</v>
      </c>
      <c r="H83" s="4" t="n">
        <v>-6.57</v>
      </c>
      <c r="I83" s="4" t="inlineStr">
        <is>
          <t>16S-A2-R.3 × 16S-A3-F.1</t>
        </is>
      </c>
      <c r="J83" s="4" t="n">
        <v>-3.16</v>
      </c>
      <c r="K83" s="4" t="n">
        <v>78</v>
      </c>
      <c r="L83" s="4" t="n">
        <v>0</v>
      </c>
      <c r="M83" s="4" t="n">
        <v>-5.92</v>
      </c>
      <c r="N83" s="4" t="inlineStr">
        <is>
          <t>16S-A3-F.1(3′) → 16S-A1-R.8s</t>
        </is>
      </c>
      <c r="O83" s="4" t="n">
        <v>-0.35</v>
      </c>
      <c r="P83" s="4" t="n">
        <v>3</v>
      </c>
      <c r="Q83" s="4" t="n">
        <v>2</v>
      </c>
      <c r="R83" s="4" t="n">
        <v>-5.74</v>
      </c>
      <c r="S83" s="4" t="n">
        <v>-6.57</v>
      </c>
      <c r="T83" s="4" t="n">
        <v>-6.57</v>
      </c>
      <c r="U83" s="4" t="n">
        <v>-1.59</v>
      </c>
      <c r="V83" s="4" t="inlineStr">
        <is>
          <t>16S-A4-R.2</t>
        </is>
      </c>
      <c r="W83" s="4" t="n">
        <v>0</v>
      </c>
      <c r="X83" s="4" t="n">
        <v>-1.66</v>
      </c>
      <c r="Y83" s="4" t="n">
        <v>74808</v>
      </c>
      <c r="Z83" s="4" t="n">
        <v>0</v>
      </c>
      <c r="AA83" s="4" t="n">
        <v>0</v>
      </c>
      <c r="AB83" s="4" t="n">
        <v>0</v>
      </c>
      <c r="AC83" s="4" t="n">
        <v>0</v>
      </c>
    </row>
    <row r="84">
      <c r="A84" s="4" t="n">
        <v>83</v>
      </c>
      <c r="B84" s="4" t="inlineStr">
        <is>
          <t>UDP0083</t>
        </is>
      </c>
      <c r="C84" s="4" t="inlineStr">
        <is>
          <t>AGACACATTA</t>
        </is>
      </c>
      <c r="D84" s="4" t="inlineStr">
        <is>
          <t>GTAAGGCATA</t>
        </is>
      </c>
      <c r="E84" s="7" t="inlineStr">
        <is>
          <t>B</t>
        </is>
      </c>
      <c r="F84" s="4" t="inlineStr">
        <is>
          <t>推荐</t>
        </is>
      </c>
      <c r="G84" s="4" t="n">
        <v>30</v>
      </c>
      <c r="H84" s="4" t="n">
        <v>-5.74</v>
      </c>
      <c r="I84" s="4" t="inlineStr">
        <is>
          <t>16S-A3-F.1 × 16S-A3-F.1</t>
        </is>
      </c>
      <c r="J84" s="4" t="n">
        <v>-5.74</v>
      </c>
      <c r="K84" s="4" t="n">
        <v>0</v>
      </c>
      <c r="L84" s="4" t="n">
        <v>0</v>
      </c>
      <c r="M84" s="4" t="n">
        <v>-5.22</v>
      </c>
      <c r="N84" s="4" t="inlineStr">
        <is>
          <t>16S-A1-R.8s(3′) → 16S-A2-R.1</t>
        </is>
      </c>
      <c r="O84" s="4" t="n">
        <v>1.54</v>
      </c>
      <c r="P84" s="4" t="n">
        <v>20</v>
      </c>
      <c r="Q84" s="4" t="n">
        <v>16</v>
      </c>
      <c r="R84" s="4" t="n">
        <v>-5.74</v>
      </c>
      <c r="S84" s="4" t="n">
        <v>-5.65</v>
      </c>
      <c r="T84" s="4" t="n">
        <v>-5.59</v>
      </c>
      <c r="U84" s="4" t="n">
        <v>-2.61</v>
      </c>
      <c r="V84" s="4" t="inlineStr">
        <is>
          <t>16S-A4-R.2</t>
        </is>
      </c>
      <c r="W84" s="4" t="n">
        <v>0</v>
      </c>
      <c r="X84" s="4" t="n">
        <v>-0.2</v>
      </c>
      <c r="Y84" s="4" t="n">
        <v>51457</v>
      </c>
      <c r="Z84" s="4" t="n">
        <v>0</v>
      </c>
      <c r="AA84" s="4" t="n">
        <v>0</v>
      </c>
      <c r="AB84" s="4" t="n">
        <v>0</v>
      </c>
      <c r="AC84" s="4" t="n">
        <v>2</v>
      </c>
    </row>
    <row r="85">
      <c r="A85" s="4" t="n">
        <v>84</v>
      </c>
      <c r="B85" s="4" t="inlineStr">
        <is>
          <t>UDP0084V3</t>
        </is>
      </c>
      <c r="C85" s="4" t="inlineStr">
        <is>
          <t>TCGCCGCTAG</t>
        </is>
      </c>
      <c r="D85" s="4" t="inlineStr">
        <is>
          <t>TAGATCCAGT</t>
        </is>
      </c>
      <c r="E85" s="5" t="inlineStr">
        <is>
          <t>C</t>
        </is>
      </c>
      <c r="F85" s="4" t="inlineStr"/>
      <c r="G85" s="4" t="n">
        <v>78</v>
      </c>
      <c r="H85" s="4" t="n">
        <v>-7.93</v>
      </c>
      <c r="I85" s="4" t="inlineStr">
        <is>
          <t>16S-A4-R.5s × 16S-A5-F.1</t>
        </is>
      </c>
      <c r="J85" s="4" t="n">
        <v>-4.63</v>
      </c>
      <c r="K85" s="4" t="n">
        <v>32</v>
      </c>
      <c r="L85" s="4" t="n">
        <v>7</v>
      </c>
      <c r="M85" s="4" t="n">
        <v>-6.01</v>
      </c>
      <c r="N85" s="4" t="inlineStr">
        <is>
          <t>16S-A3-F.1(3′) → 16S-A1-R.8s</t>
        </is>
      </c>
      <c r="O85" s="4" t="n">
        <v>-0.35</v>
      </c>
      <c r="P85" s="4" t="n">
        <v>5</v>
      </c>
      <c r="Q85" s="4" t="n">
        <v>3</v>
      </c>
      <c r="R85" s="4" t="n">
        <v>-6.52</v>
      </c>
      <c r="S85" s="4" t="n">
        <v>-4.7</v>
      </c>
      <c r="T85" s="4" t="n">
        <v>-7.93</v>
      </c>
      <c r="U85" s="4" t="n">
        <v>-2.03</v>
      </c>
      <c r="V85" s="4" t="inlineStr">
        <is>
          <t>16S-A6-F.2</t>
        </is>
      </c>
      <c r="W85" s="4" t="n">
        <v>0</v>
      </c>
      <c r="X85" s="4" t="n">
        <v>0.12</v>
      </c>
      <c r="Y85" s="4" t="n">
        <v>115706</v>
      </c>
      <c r="Z85" s="4" t="n">
        <v>0</v>
      </c>
      <c r="AA85" s="4" t="n">
        <v>0</v>
      </c>
      <c r="AB85" s="4" t="n">
        <v>0</v>
      </c>
      <c r="AC85" s="4" t="n">
        <v>2</v>
      </c>
    </row>
    <row r="86">
      <c r="A86" s="4" t="n">
        <v>85</v>
      </c>
      <c r="B86" s="4" t="inlineStr">
        <is>
          <t>UDP0085</t>
        </is>
      </c>
      <c r="C86" s="4" t="inlineStr">
        <is>
          <t>CATGAGTACT</t>
        </is>
      </c>
      <c r="D86" s="4" t="inlineStr">
        <is>
          <t>TTAGGTACCA</t>
        </is>
      </c>
      <c r="E86" s="6" t="inlineStr">
        <is>
          <t>A</t>
        </is>
      </c>
      <c r="F86" s="4" t="inlineStr">
        <is>
          <t>推荐</t>
        </is>
      </c>
      <c r="G86" s="4" t="n">
        <v>17</v>
      </c>
      <c r="H86" s="4" t="n">
        <v>-6.39</v>
      </c>
      <c r="I86" s="4" t="inlineStr">
        <is>
          <t>16S-A2-R.1 × 16S-A2-R.1</t>
        </is>
      </c>
      <c r="J86" s="4" t="n">
        <v>0.11</v>
      </c>
      <c r="K86" s="4" t="n">
        <v>112</v>
      </c>
      <c r="L86" s="4" t="n">
        <v>0</v>
      </c>
      <c r="M86" s="4" t="n">
        <v>-4.5</v>
      </c>
      <c r="N86" s="4" t="inlineStr">
        <is>
          <t>16S-A1-R.8s(3′) → 16S-A2-R.1</t>
        </is>
      </c>
      <c r="O86" s="4" t="n">
        <v>2.46</v>
      </c>
      <c r="P86" s="4" t="n">
        <v>24</v>
      </c>
      <c r="Q86" s="4" t="n">
        <v>0</v>
      </c>
      <c r="R86" s="4" t="n">
        <v>-6.27</v>
      </c>
      <c r="S86" s="4" t="n">
        <v>-6.39</v>
      </c>
      <c r="T86" s="4" t="n">
        <v>-6.3</v>
      </c>
      <c r="U86" s="4" t="n">
        <v>-2.61</v>
      </c>
      <c r="V86" s="4" t="inlineStr">
        <is>
          <t>16S-A4-R.2</t>
        </is>
      </c>
      <c r="W86" s="4" t="n">
        <v>0</v>
      </c>
      <c r="X86" s="4" t="n">
        <v>-0.52</v>
      </c>
      <c r="Y86" s="4" t="n">
        <v>134353</v>
      </c>
      <c r="Z86" s="4" t="n">
        <v>0</v>
      </c>
      <c r="AA86" s="4" t="n">
        <v>0</v>
      </c>
      <c r="AB86" s="4" t="n">
        <v>0</v>
      </c>
      <c r="AC86" s="4" t="n">
        <v>0</v>
      </c>
    </row>
    <row r="87">
      <c r="A87" s="4" t="n">
        <v>86</v>
      </c>
      <c r="B87" s="4" t="inlineStr">
        <is>
          <t>UDP0086</t>
        </is>
      </c>
      <c r="C87" s="4" t="inlineStr">
        <is>
          <t>ACGTCAATAC</t>
        </is>
      </c>
      <c r="D87" s="4" t="inlineStr">
        <is>
          <t>GGAATTCCAA</t>
        </is>
      </c>
      <c r="E87" s="7" t="inlineStr">
        <is>
          <t>B</t>
        </is>
      </c>
      <c r="F87" s="4" t="inlineStr"/>
      <c r="G87" s="4" t="n">
        <v>52</v>
      </c>
      <c r="H87" s="4" t="n">
        <v>-6.84</v>
      </c>
      <c r="I87" s="4" t="inlineStr">
        <is>
          <t>16S-A4-R.4s × 16S-A6-F.2</t>
        </is>
      </c>
      <c r="J87" s="4" t="n">
        <v>-2.47</v>
      </c>
      <c r="K87" s="4" t="n">
        <v>13</v>
      </c>
      <c r="L87" s="4" t="n">
        <v>0</v>
      </c>
      <c r="M87" s="4" t="n">
        <v>-4.95</v>
      </c>
      <c r="N87" s="4" t="inlineStr">
        <is>
          <t>16S-A2-R.1(3′) → 16S-A6-F.2</t>
        </is>
      </c>
      <c r="O87" s="4" t="n">
        <v>-0.12</v>
      </c>
      <c r="P87" s="4" t="n">
        <v>7</v>
      </c>
      <c r="Q87" s="4" t="n">
        <v>0</v>
      </c>
      <c r="R87" s="4" t="n">
        <v>-5.74</v>
      </c>
      <c r="S87" s="4" t="n">
        <v>-5.36</v>
      </c>
      <c r="T87" s="4" t="n">
        <v>-6.84</v>
      </c>
      <c r="U87" s="4" t="n">
        <v>-2.61</v>
      </c>
      <c r="V87" s="4" t="inlineStr">
        <is>
          <t>16S-A4-R.2</t>
        </is>
      </c>
      <c r="W87" s="4" t="n">
        <v>0</v>
      </c>
      <c r="X87" s="4" t="n">
        <v>0.17</v>
      </c>
      <c r="Y87" s="4" t="n">
        <v>318589</v>
      </c>
      <c r="Z87" s="4" t="n">
        <v>1</v>
      </c>
      <c r="AA87" s="4" t="n">
        <v>1</v>
      </c>
      <c r="AB87" s="4" t="n">
        <v>0</v>
      </c>
      <c r="AC87" s="4" t="n">
        <v>1</v>
      </c>
    </row>
    <row r="88">
      <c r="A88" s="4" t="n">
        <v>87</v>
      </c>
      <c r="B88" s="4" t="inlineStr">
        <is>
          <t>UDP0087</t>
        </is>
      </c>
      <c r="C88" s="4" t="inlineStr">
        <is>
          <t>GATACCTCCT</t>
        </is>
      </c>
      <c r="D88" s="4" t="inlineStr">
        <is>
          <t>CATGTAGAGG</t>
        </is>
      </c>
      <c r="E88" s="7" t="inlineStr">
        <is>
          <t>B</t>
        </is>
      </c>
      <c r="F88" s="4" t="inlineStr">
        <is>
          <t>推荐</t>
        </is>
      </c>
      <c r="G88" s="4" t="n">
        <v>32</v>
      </c>
      <c r="H88" s="4" t="n">
        <v>-6.67</v>
      </c>
      <c r="I88" s="4" t="inlineStr">
        <is>
          <t>16S-A2-F.2 × 16S-A2-F.2</t>
        </is>
      </c>
      <c r="J88" s="4" t="n">
        <v>-2.36</v>
      </c>
      <c r="K88" s="4" t="n">
        <v>2</v>
      </c>
      <c r="L88" s="4" t="n">
        <v>0</v>
      </c>
      <c r="M88" s="4" t="n">
        <v>-4.74</v>
      </c>
      <c r="N88" s="4" t="inlineStr">
        <is>
          <t>16S-A3-F.1(3′) → 16S-A1-R.8s</t>
        </is>
      </c>
      <c r="O88" s="4" t="n">
        <v>-0.35</v>
      </c>
      <c r="P88" s="4" t="n">
        <v>10</v>
      </c>
      <c r="Q88" s="4" t="n">
        <v>0</v>
      </c>
      <c r="R88" s="4" t="n">
        <v>-6.67</v>
      </c>
      <c r="S88" s="4" t="n">
        <v>-4.66</v>
      </c>
      <c r="T88" s="4" t="n">
        <v>-5.93</v>
      </c>
      <c r="U88" s="4" t="n">
        <v>-2.61</v>
      </c>
      <c r="V88" s="4" t="inlineStr">
        <is>
          <t>16S-A2-F.2</t>
        </is>
      </c>
      <c r="W88" s="4" t="n">
        <v>0</v>
      </c>
      <c r="X88" s="4" t="n">
        <v>-1.62</v>
      </c>
      <c r="Y88" s="4" t="n">
        <v>63620</v>
      </c>
      <c r="Z88" s="4" t="n">
        <v>0</v>
      </c>
      <c r="AA88" s="4" t="n">
        <v>0</v>
      </c>
      <c r="AB88" s="4" t="n">
        <v>0</v>
      </c>
      <c r="AC88" s="4" t="n">
        <v>0</v>
      </c>
    </row>
    <row r="89">
      <c r="A89" s="4" t="n">
        <v>88</v>
      </c>
      <c r="B89" s="4" t="inlineStr">
        <is>
          <t>UDP0088</t>
        </is>
      </c>
      <c r="C89" s="4" t="inlineStr">
        <is>
          <t>ATCCGTAAGT</t>
        </is>
      </c>
      <c r="D89" s="4" t="inlineStr">
        <is>
          <t>TACACGCTCC</t>
        </is>
      </c>
      <c r="E89" s="6" t="inlineStr">
        <is>
          <t>A</t>
        </is>
      </c>
      <c r="F89" s="4" t="inlineStr">
        <is>
          <t>推荐</t>
        </is>
      </c>
      <c r="G89" s="4" t="n">
        <v>8</v>
      </c>
      <c r="H89" s="4" t="n">
        <v>-5.91</v>
      </c>
      <c r="I89" s="4" t="inlineStr">
        <is>
          <t>16S-A2-F.2 × 16S-A4-R.4s</t>
        </is>
      </c>
      <c r="J89" s="4" t="n">
        <v>-1.07</v>
      </c>
      <c r="K89" s="4" t="n">
        <v>0</v>
      </c>
      <c r="L89" s="4" t="n">
        <v>0</v>
      </c>
      <c r="M89" s="4" t="n">
        <v>-3.79</v>
      </c>
      <c r="N89" s="4" t="inlineStr">
        <is>
          <t>16S-A2-R.1(3′) → 16S-A6-F.2</t>
        </is>
      </c>
      <c r="O89" s="4" t="n">
        <v>2.7</v>
      </c>
      <c r="P89" s="4" t="n">
        <v>0</v>
      </c>
      <c r="Q89" s="4" t="n">
        <v>0</v>
      </c>
      <c r="R89" s="4" t="n">
        <v>-5.76</v>
      </c>
      <c r="S89" s="4" t="n">
        <v>-5.54</v>
      </c>
      <c r="T89" s="4" t="n">
        <v>-5.91</v>
      </c>
      <c r="U89" s="4" t="n">
        <v>-1.62</v>
      </c>
      <c r="V89" s="4" t="inlineStr">
        <is>
          <t>16S-A4-R.2</t>
        </is>
      </c>
      <c r="W89" s="4" t="n">
        <v>0</v>
      </c>
      <c r="X89" s="4" t="n">
        <v>-0.93</v>
      </c>
      <c r="Y89" s="4" t="n">
        <v>47490</v>
      </c>
      <c r="Z89" s="4" t="n">
        <v>0</v>
      </c>
      <c r="AA89" s="4" t="n">
        <v>1</v>
      </c>
      <c r="AB89" s="4" t="n">
        <v>0</v>
      </c>
      <c r="AC89" s="4" t="n">
        <v>0</v>
      </c>
    </row>
    <row r="90">
      <c r="A90" s="4" t="n">
        <v>89</v>
      </c>
      <c r="B90" s="4" t="inlineStr">
        <is>
          <t>UDP0089</t>
        </is>
      </c>
      <c r="C90" s="4" t="inlineStr">
        <is>
          <t>CGTGTATCTT</t>
        </is>
      </c>
      <c r="D90" s="4" t="inlineStr">
        <is>
          <t>GCTTACGGAC</t>
        </is>
      </c>
      <c r="E90" s="6" t="inlineStr">
        <is>
          <t>A</t>
        </is>
      </c>
      <c r="F90" s="4" t="inlineStr">
        <is>
          <t>推荐</t>
        </is>
      </c>
      <c r="G90" s="4" t="n">
        <v>9</v>
      </c>
      <c r="H90" s="4" t="n">
        <v>-5.74</v>
      </c>
      <c r="I90" s="4" t="inlineStr">
        <is>
          <t>16S-A3-F.1 × 16S-A3-F.1</t>
        </is>
      </c>
      <c r="J90" s="4" t="n">
        <v>-5.74</v>
      </c>
      <c r="K90" s="4" t="n">
        <v>0</v>
      </c>
      <c r="L90" s="4" t="n">
        <v>0</v>
      </c>
      <c r="M90" s="4" t="n">
        <v>-3.79</v>
      </c>
      <c r="N90" s="4" t="inlineStr">
        <is>
          <t>16S-A2-R.1(3′) → 16S-A6-F.2</t>
        </is>
      </c>
      <c r="O90" s="4" t="n">
        <v>2.7</v>
      </c>
      <c r="P90" s="4" t="n">
        <v>0</v>
      </c>
      <c r="Q90" s="4" t="n">
        <v>0</v>
      </c>
      <c r="R90" s="4" t="n">
        <v>-5.74</v>
      </c>
      <c r="S90" s="4" t="n">
        <v>-5.67</v>
      </c>
      <c r="T90" s="4" t="n">
        <v>-5.69</v>
      </c>
      <c r="U90" s="4" t="n">
        <v>-1.62</v>
      </c>
      <c r="V90" s="4" t="inlineStr">
        <is>
          <t>16S-A4-R.2</t>
        </is>
      </c>
      <c r="W90" s="4" t="n">
        <v>0</v>
      </c>
      <c r="X90" s="4" t="n">
        <v>-1.07</v>
      </c>
      <c r="Y90" s="4" t="n">
        <v>47574</v>
      </c>
      <c r="Z90" s="4" t="n">
        <v>0</v>
      </c>
      <c r="AA90" s="4" t="n">
        <v>0</v>
      </c>
      <c r="AB90" s="4" t="n">
        <v>0</v>
      </c>
      <c r="AC90" s="4" t="n">
        <v>0</v>
      </c>
    </row>
    <row r="91">
      <c r="A91" s="4" t="n">
        <v>90</v>
      </c>
      <c r="B91" s="4" t="inlineStr">
        <is>
          <t>UDP0090</t>
        </is>
      </c>
      <c r="C91" s="4" t="inlineStr">
        <is>
          <t>GAACCATGAA</t>
        </is>
      </c>
      <c r="D91" s="4" t="inlineStr">
        <is>
          <t>CGCTTGAAGT</t>
        </is>
      </c>
      <c r="E91" s="5" t="inlineStr">
        <is>
          <t>C</t>
        </is>
      </c>
      <c r="F91" s="4" t="inlineStr"/>
      <c r="G91" s="4" t="n">
        <v>74</v>
      </c>
      <c r="H91" s="4" t="n">
        <v>-6.18</v>
      </c>
      <c r="I91" s="4" t="inlineStr">
        <is>
          <t>16S-A4-R.1 × 16S-A5-F.1</t>
        </is>
      </c>
      <c r="J91" s="4" t="n">
        <v>-5.17</v>
      </c>
      <c r="K91" s="4" t="n">
        <v>11</v>
      </c>
      <c r="L91" s="4" t="n">
        <v>0</v>
      </c>
      <c r="M91" s="4" t="n">
        <v>-6.01</v>
      </c>
      <c r="N91" s="4" t="inlineStr">
        <is>
          <t>16S-A3-F.1(3′) → 16S-A1-R.8s</t>
        </is>
      </c>
      <c r="O91" s="4" t="n">
        <v>-0.35</v>
      </c>
      <c r="P91" s="4" t="n">
        <v>3</v>
      </c>
      <c r="Q91" s="4" t="n">
        <v>2</v>
      </c>
      <c r="R91" s="4" t="n">
        <v>-5.74</v>
      </c>
      <c r="S91" s="4" t="n">
        <v>-5.22</v>
      </c>
      <c r="T91" s="4" t="n">
        <v>-6.18</v>
      </c>
      <c r="U91" s="4" t="n">
        <v>-1.59</v>
      </c>
      <c r="V91" s="4" t="inlineStr">
        <is>
          <t>16S-A4-R.2</t>
        </is>
      </c>
      <c r="W91" s="4" t="n">
        <v>0</v>
      </c>
      <c r="X91" s="4" t="n">
        <v>0.28</v>
      </c>
      <c r="Y91" s="4" t="n">
        <v>102480</v>
      </c>
      <c r="Z91" s="4" t="n">
        <v>0</v>
      </c>
      <c r="AA91" s="4" t="n">
        <v>1</v>
      </c>
      <c r="AB91" s="4" t="n">
        <v>0</v>
      </c>
      <c r="AC91" s="4" t="n">
        <v>0</v>
      </c>
    </row>
    <row r="92">
      <c r="A92" s="4" t="n">
        <v>91</v>
      </c>
      <c r="B92" s="4" t="inlineStr">
        <is>
          <t>UDP0091</t>
        </is>
      </c>
      <c r="C92" s="4" t="inlineStr">
        <is>
          <t>GGCCATCATA</t>
        </is>
      </c>
      <c r="D92" s="4" t="inlineStr">
        <is>
          <t>CGCCTTCTGA</t>
        </is>
      </c>
      <c r="E92" s="5" t="inlineStr">
        <is>
          <t>C</t>
        </is>
      </c>
      <c r="F92" s="4" t="inlineStr"/>
      <c r="G92" s="4" t="n">
        <v>61</v>
      </c>
      <c r="H92" s="4" t="n">
        <v>-6.44</v>
      </c>
      <c r="I92" s="4" t="inlineStr">
        <is>
          <t>16S-A4-R.1 × 16S-A5-F.1</t>
        </is>
      </c>
      <c r="J92" s="4" t="n">
        <v>-5.17</v>
      </c>
      <c r="K92" s="4" t="n">
        <v>10</v>
      </c>
      <c r="L92" s="4" t="n">
        <v>0</v>
      </c>
      <c r="M92" s="4" t="n">
        <v>-5.68</v>
      </c>
      <c r="N92" s="4" t="inlineStr">
        <is>
          <t>16S-A3-F.1(3′) → 16S-A1-R.8s</t>
        </is>
      </c>
      <c r="O92" s="4" t="n">
        <v>-0.05</v>
      </c>
      <c r="P92" s="4" t="n">
        <v>2</v>
      </c>
      <c r="Q92" s="4" t="n">
        <v>1</v>
      </c>
      <c r="R92" s="4" t="n">
        <v>-5.74</v>
      </c>
      <c r="S92" s="4" t="n">
        <v>-5.86</v>
      </c>
      <c r="T92" s="4" t="n">
        <v>-6.44</v>
      </c>
      <c r="U92" s="4" t="n">
        <v>-2.61</v>
      </c>
      <c r="V92" s="4" t="inlineStr">
        <is>
          <t>16S-A4-R.2</t>
        </is>
      </c>
      <c r="W92" s="4" t="n">
        <v>0</v>
      </c>
      <c r="X92" s="4" t="n">
        <v>-1.1</v>
      </c>
      <c r="Y92" s="4" t="n">
        <v>70383</v>
      </c>
      <c r="Z92" s="4" t="n">
        <v>0</v>
      </c>
      <c r="AA92" s="4" t="n">
        <v>0</v>
      </c>
      <c r="AB92" s="4" t="n">
        <v>0</v>
      </c>
      <c r="AC92" s="4" t="n">
        <v>0</v>
      </c>
    </row>
    <row r="93">
      <c r="A93" s="4" t="n">
        <v>92</v>
      </c>
      <c r="B93" s="4" t="inlineStr">
        <is>
          <t>UDP0092</t>
        </is>
      </c>
      <c r="C93" s="4" t="inlineStr">
        <is>
          <t>ACATACTTCC</t>
        </is>
      </c>
      <c r="D93" s="4" t="inlineStr">
        <is>
          <t>ATACCAACGC</t>
        </is>
      </c>
      <c r="E93" s="7" t="inlineStr">
        <is>
          <t>B</t>
        </is>
      </c>
      <c r="F93" s="4" t="inlineStr">
        <is>
          <t>推荐</t>
        </is>
      </c>
      <c r="G93" s="4" t="n">
        <v>44</v>
      </c>
      <c r="H93" s="4" t="n">
        <v>-7.55</v>
      </c>
      <c r="I93" s="4" t="inlineStr">
        <is>
          <t>16S-A4-R.1 × 16S-A5-R.1</t>
        </is>
      </c>
      <c r="J93" s="4" t="n">
        <v>-0.98</v>
      </c>
      <c r="K93" s="4" t="n">
        <v>317</v>
      </c>
      <c r="L93" s="4" t="n">
        <v>102</v>
      </c>
      <c r="M93" s="4" t="n">
        <v>-4.54</v>
      </c>
      <c r="N93" s="4" t="inlineStr">
        <is>
          <t>16S-A2-R.1(3′) → 16S-A6-F.2</t>
        </is>
      </c>
      <c r="O93" s="4" t="n">
        <v>-0.12</v>
      </c>
      <c r="P93" s="4" t="n">
        <v>2</v>
      </c>
      <c r="Q93" s="4" t="n">
        <v>0</v>
      </c>
      <c r="R93" s="4" t="n">
        <v>-5.74</v>
      </c>
      <c r="S93" s="4" t="n">
        <v>-7.55</v>
      </c>
      <c r="T93" s="4" t="n">
        <v>-7.44</v>
      </c>
      <c r="U93" s="4" t="n">
        <v>-1.98</v>
      </c>
      <c r="V93" s="4" t="inlineStr">
        <is>
          <t>16S-A4-R.2</t>
        </is>
      </c>
      <c r="W93" s="4" t="n">
        <v>0</v>
      </c>
      <c r="X93" s="4" t="n">
        <v>0.79</v>
      </c>
      <c r="Y93" s="4" t="n">
        <v>146091</v>
      </c>
      <c r="Z93" s="4" t="n">
        <v>0</v>
      </c>
      <c r="AA93" s="4" t="n">
        <v>0</v>
      </c>
      <c r="AB93" s="4" t="n">
        <v>0</v>
      </c>
      <c r="AC93" s="4" t="n">
        <v>0</v>
      </c>
    </row>
    <row r="94">
      <c r="A94" s="4" t="n">
        <v>93</v>
      </c>
      <c r="B94" s="4" t="inlineStr">
        <is>
          <t>UDP0093</t>
        </is>
      </c>
      <c r="C94" s="4" t="inlineStr">
        <is>
          <t>TATGTGCAAT</t>
        </is>
      </c>
      <c r="D94" s="4" t="inlineStr">
        <is>
          <t>CTGGATATGT</t>
        </is>
      </c>
      <c r="E94" s="5" t="inlineStr">
        <is>
          <t>C</t>
        </is>
      </c>
      <c r="F94" s="4" t="inlineStr"/>
      <c r="G94" s="4" t="n">
        <v>62</v>
      </c>
      <c r="H94" s="4" t="n">
        <v>-5.96</v>
      </c>
      <c r="I94" s="4" t="inlineStr">
        <is>
          <t>16S-A1-R.8s × 16S-A3-F.1</t>
        </is>
      </c>
      <c r="J94" s="4" t="n">
        <v>-4.48</v>
      </c>
      <c r="K94" s="4" t="n">
        <v>0</v>
      </c>
      <c r="L94" s="4" t="n">
        <v>0</v>
      </c>
      <c r="M94" s="4" t="n">
        <v>-5.96</v>
      </c>
      <c r="N94" s="4" t="inlineStr">
        <is>
          <t>16S-A3-F.1(3′) → 16S-A1-R.8s</t>
        </is>
      </c>
      <c r="O94" s="4" t="n">
        <v>-0.35</v>
      </c>
      <c r="P94" s="4" t="n">
        <v>5</v>
      </c>
      <c r="Q94" s="4" t="n">
        <v>2</v>
      </c>
      <c r="R94" s="4" t="n">
        <v>-5.74</v>
      </c>
      <c r="S94" s="4" t="n">
        <v>-4.7</v>
      </c>
      <c r="T94" s="4" t="n">
        <v>-5.96</v>
      </c>
      <c r="U94" s="4" t="n">
        <v>-1.59</v>
      </c>
      <c r="V94" s="4" t="inlineStr">
        <is>
          <t>16S-A4-R.2</t>
        </is>
      </c>
      <c r="W94" s="4" t="n">
        <v>0</v>
      </c>
      <c r="X94" s="4" t="n">
        <v>0.98</v>
      </c>
      <c r="Y94" s="4" t="n">
        <v>70970</v>
      </c>
      <c r="Z94" s="4" t="n">
        <v>0</v>
      </c>
      <c r="AA94" s="4" t="n">
        <v>0</v>
      </c>
      <c r="AB94" s="4" t="n">
        <v>0</v>
      </c>
      <c r="AC94" s="4" t="n">
        <v>0</v>
      </c>
    </row>
    <row r="95">
      <c r="A95" s="4" t="n">
        <v>94</v>
      </c>
      <c r="B95" s="4" t="inlineStr">
        <is>
          <t>UDP0094</t>
        </is>
      </c>
      <c r="C95" s="4" t="inlineStr">
        <is>
          <t>GATTAAGGTG</t>
        </is>
      </c>
      <c r="D95" s="4" t="inlineStr">
        <is>
          <t>CAATCTATGA</t>
        </is>
      </c>
      <c r="E95" s="5" t="inlineStr">
        <is>
          <t>C</t>
        </is>
      </c>
      <c r="F95" s="4" t="inlineStr"/>
      <c r="G95" s="4" t="n">
        <v>89</v>
      </c>
      <c r="H95" s="4" t="n">
        <v>-9.5</v>
      </c>
      <c r="I95" s="4" t="inlineStr">
        <is>
          <t>16S-A6-F.4s × 16S-A6-F.4s</t>
        </is>
      </c>
      <c r="J95" s="4" t="n">
        <v>-3.46</v>
      </c>
      <c r="K95" s="4" t="n">
        <v>261</v>
      </c>
      <c r="L95" s="4" t="n">
        <v>75</v>
      </c>
      <c r="M95" s="4" t="n">
        <v>-5.84</v>
      </c>
      <c r="N95" s="4" t="inlineStr">
        <is>
          <t>16S-A4-R.1(3′) → 16S-A5-F.1</t>
        </is>
      </c>
      <c r="O95" s="4" t="n">
        <v>0.44</v>
      </c>
      <c r="P95" s="4" t="n">
        <v>9</v>
      </c>
      <c r="Q95" s="4" t="n">
        <v>5</v>
      </c>
      <c r="R95" s="4" t="n">
        <v>-9.5</v>
      </c>
      <c r="S95" s="4" t="n">
        <v>-5.86</v>
      </c>
      <c r="T95" s="4" t="n">
        <v>-8.44</v>
      </c>
      <c r="U95" s="4" t="n">
        <v>-2.61</v>
      </c>
      <c r="V95" s="4" t="inlineStr">
        <is>
          <t>16S-A4-R.2</t>
        </is>
      </c>
      <c r="W95" s="4" t="n">
        <v>0</v>
      </c>
      <c r="X95" s="4" t="n">
        <v>0.15</v>
      </c>
      <c r="Y95" s="4" t="n">
        <v>239711</v>
      </c>
      <c r="Z95" s="4" t="n">
        <v>0</v>
      </c>
      <c r="AA95" s="4" t="n">
        <v>3</v>
      </c>
      <c r="AB95" s="4" t="n">
        <v>0</v>
      </c>
      <c r="AC95" s="4" t="n">
        <v>4</v>
      </c>
    </row>
    <row r="96">
      <c r="A96" s="4" t="n">
        <v>95</v>
      </c>
      <c r="B96" s="4" t="inlineStr">
        <is>
          <t>UDP0095</t>
        </is>
      </c>
      <c r="C96" s="4" t="inlineStr">
        <is>
          <t>ATGTAGACAA</t>
        </is>
      </c>
      <c r="D96" s="4" t="inlineStr">
        <is>
          <t>GGTGGAATAC</t>
        </is>
      </c>
      <c r="E96" s="6" t="inlineStr">
        <is>
          <t>A</t>
        </is>
      </c>
      <c r="F96" s="4" t="inlineStr">
        <is>
          <t>推荐</t>
        </is>
      </c>
      <c r="G96" s="4" t="n">
        <v>13</v>
      </c>
      <c r="H96" s="4" t="n">
        <v>-6.03</v>
      </c>
      <c r="I96" s="4" t="inlineStr">
        <is>
          <t>16S-A4-R.1 × 16S-A5-F.1</t>
        </is>
      </c>
      <c r="J96" s="4" t="n">
        <v>-5.17</v>
      </c>
      <c r="K96" s="4" t="n">
        <v>8</v>
      </c>
      <c r="L96" s="4" t="n">
        <v>0</v>
      </c>
      <c r="M96" s="4" t="n">
        <v>-3.83</v>
      </c>
      <c r="N96" s="4" t="inlineStr">
        <is>
          <t>16S-A2-R.2(3′) → 16S-A6-F.5s</t>
        </is>
      </c>
      <c r="O96" s="4" t="n">
        <v>-3.45</v>
      </c>
      <c r="P96" s="4" t="n">
        <v>0</v>
      </c>
      <c r="Q96" s="4" t="n">
        <v>0</v>
      </c>
      <c r="R96" s="4" t="n">
        <v>-5.74</v>
      </c>
      <c r="S96" s="4" t="n">
        <v>-4.7</v>
      </c>
      <c r="T96" s="4" t="n">
        <v>-6.03</v>
      </c>
      <c r="U96" s="4" t="n">
        <v>-1.62</v>
      </c>
      <c r="V96" s="4" t="inlineStr">
        <is>
          <t>16S-A4-R.2</t>
        </is>
      </c>
      <c r="W96" s="4" t="n">
        <v>0</v>
      </c>
      <c r="X96" s="4" t="n">
        <v>-0.49</v>
      </c>
      <c r="Y96" s="4" t="n">
        <v>65951</v>
      </c>
      <c r="Z96" s="4" t="n">
        <v>0</v>
      </c>
      <c r="AA96" s="4" t="n">
        <v>0</v>
      </c>
      <c r="AB96" s="4" t="n">
        <v>0</v>
      </c>
      <c r="AC96" s="4" t="n">
        <v>1</v>
      </c>
    </row>
    <row r="97">
      <c r="A97" s="4" t="n">
        <v>96</v>
      </c>
      <c r="B97" s="4" t="inlineStr">
        <is>
          <t>UDP0096</t>
        </is>
      </c>
      <c r="C97" s="4" t="inlineStr">
        <is>
          <t>CACATCGGTG</t>
        </is>
      </c>
      <c r="D97" s="4" t="inlineStr">
        <is>
          <t>TGGACGGAGG</t>
        </is>
      </c>
      <c r="E97" s="5" t="inlineStr">
        <is>
          <t>C</t>
        </is>
      </c>
      <c r="F97" s="4" t="inlineStr"/>
      <c r="G97" s="4" t="n">
        <v>86</v>
      </c>
      <c r="H97" s="4" t="n">
        <v>-10.16</v>
      </c>
      <c r="I97" s="4" t="inlineStr">
        <is>
          <t>16S-A4-R.1 × 16S-A5-F.1</t>
        </is>
      </c>
      <c r="J97" s="4" t="n">
        <v>-5.17</v>
      </c>
      <c r="K97" s="4" t="n">
        <v>234</v>
      </c>
      <c r="L97" s="4" t="n">
        <v>47</v>
      </c>
      <c r="M97" s="4" t="n">
        <v>-5.13</v>
      </c>
      <c r="N97" s="4" t="inlineStr">
        <is>
          <t>16S-A5-F.1(3′) → 16S-A4-R.1</t>
        </is>
      </c>
      <c r="O97" s="4" t="n">
        <v>3.63</v>
      </c>
      <c r="P97" s="4" t="n">
        <v>17</v>
      </c>
      <c r="Q97" s="4" t="n">
        <v>6</v>
      </c>
      <c r="R97" s="4" t="n">
        <v>-9.5</v>
      </c>
      <c r="S97" s="4" t="n">
        <v>-7.23</v>
      </c>
      <c r="T97" s="4" t="n">
        <v>-10.16</v>
      </c>
      <c r="U97" s="4" t="n">
        <v>-2.87</v>
      </c>
      <c r="V97" s="4" t="inlineStr">
        <is>
          <t>16S-A1-R.7s</t>
        </is>
      </c>
      <c r="W97" s="4" t="n">
        <v>0</v>
      </c>
      <c r="X97" s="4" t="n">
        <v>-0.23</v>
      </c>
      <c r="Y97" s="4" t="n">
        <v>211809</v>
      </c>
      <c r="Z97" s="4" t="n">
        <v>0</v>
      </c>
      <c r="AA97" s="4" t="n">
        <v>1</v>
      </c>
      <c r="AB97" s="4" t="n">
        <v>0</v>
      </c>
      <c r="AC97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8" t="inlineStr">
        <is>
          <t>项目</t>
        </is>
      </c>
      <c r="B1" s="8" t="inlineStr">
        <is>
          <t>数量</t>
        </is>
      </c>
    </row>
    <row r="2">
      <c r="A2" s="9" t="inlineStr">
        <is>
          <t>A 级管</t>
        </is>
      </c>
      <c r="B2" s="9">
        <f>COUNTIF('96管汇总'!E2:E97,"A")</f>
        <v/>
      </c>
    </row>
    <row r="3">
      <c r="A3" s="9" t="inlineStr">
        <is>
          <t>B 级管</t>
        </is>
      </c>
      <c r="B3" s="9">
        <f>COUNTIF('96管汇总'!E2:E97,"B")</f>
        <v/>
      </c>
    </row>
    <row r="4">
      <c r="A4" s="9" t="inlineStr">
        <is>
          <t>C 级管</t>
        </is>
      </c>
      <c r="B4" s="9">
        <f>COUNTIF('96管汇总'!E2:E97,"C")</f>
        <v/>
      </c>
    </row>
    <row r="5">
      <c r="A5" s="9" t="inlineStr">
        <is>
          <t>推荐 48 管</t>
        </is>
      </c>
      <c r="B5" s="9">
        <f>COUNTIF('96管汇总'!F2:F97,"推荐")</f>
        <v/>
      </c>
    </row>
    <row r="6">
      <c r="A6" s="9" t="inlineStr">
        <is>
          <t>推荐管中 A 级</t>
        </is>
      </c>
      <c r="B6" s="9">
        <f>COUNTIFS('96管汇总'!F2:F97,"推荐",'96管汇总'!E2:E97,"A")</f>
        <v/>
      </c>
    </row>
    <row r="7">
      <c r="A7" s="9" t="inlineStr">
        <is>
          <t>全部管全局 ΔG ≤ −8 的数量</t>
        </is>
      </c>
      <c r="B7" s="9">
        <f>COUNTIF('96管汇总'!H2:H97,"&lt;=-8")</f>
        <v/>
      </c>
    </row>
    <row r="8">
      <c r="A8" s="9" t="inlineStr">
        <is>
          <t>全部管 3′ΔG ≤ −5 的数量</t>
        </is>
      </c>
      <c r="B8" s="9">
        <f>COUNTIF('96管汇总'!M2:M97,"&lt;=-5")</f>
        <v/>
      </c>
    </row>
    <row r="9">
      <c r="A9" s="9" t="inlineStr">
        <is>
          <t>基线全局最差 ΔG</t>
        </is>
      </c>
      <c r="B9" s="9" t="n">
        <v>-5.74</v>
      </c>
    </row>
    <row r="10">
      <c r="A10" s="9" t="inlineStr">
        <is>
          <t>基线 3′最差 ΔG</t>
        </is>
      </c>
      <c r="B10" s="9" t="n">
        <v>-3.78</v>
      </c>
    </row>
    <row r="11">
      <c r="A11" s="9" t="inlineStr">
        <is>
          <t>基线发夹最差 ΔG</t>
        </is>
      </c>
      <c r="B11" s="9" t="n">
        <v>-1.2</v>
      </c>
    </row>
    <row r="12">
      <c r="A12" s="9" t="inlineStr">
        <is>
          <t>基线 Olivar 坏度</t>
        </is>
      </c>
      <c r="B12" s="9" t="n">
        <v>35652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6" customWidth="1" min="5" max="5"/>
    <col width="12" customWidth="1" min="6" max="6"/>
    <col width="10" customWidth="1" min="7" max="7"/>
    <col width="12" customWidth="1" min="8" max="8"/>
  </cols>
  <sheetData>
    <row r="1">
      <c r="A1" s="10" t="inlineStr">
        <is>
          <t>排名</t>
        </is>
      </c>
      <c r="B1" s="10" t="inlineStr">
        <is>
          <t>UDP</t>
        </is>
      </c>
      <c r="C1" s="10" t="inlineStr">
        <is>
          <t>i5</t>
        </is>
      </c>
      <c r="D1" s="10" t="inlineStr">
        <is>
          <t>i7</t>
        </is>
      </c>
      <c r="E1" s="10" t="inlineStr">
        <is>
          <t>分级</t>
        </is>
      </c>
      <c r="F1" s="10" t="inlineStr">
        <is>
          <t>全局最差 ΔG</t>
        </is>
      </c>
      <c r="G1" s="10" t="inlineStr">
        <is>
          <t>3′最差 ΔG</t>
        </is>
      </c>
      <c r="H1" s="10" t="inlineStr">
        <is>
          <t>Olivar 坏度</t>
        </is>
      </c>
    </row>
    <row r="2">
      <c r="A2" s="4" t="n">
        <v>1</v>
      </c>
      <c r="B2" s="4" t="inlineStr">
        <is>
          <t>UDP0039</t>
        </is>
      </c>
      <c r="C2" s="4" t="inlineStr">
        <is>
          <t>GCTGTAGGAA</t>
        </is>
      </c>
      <c r="D2" s="4" t="inlineStr">
        <is>
          <t>CAGCCGATTG</t>
        </is>
      </c>
      <c r="E2" s="6" t="inlineStr">
        <is>
          <t>A</t>
        </is>
      </c>
      <c r="F2" s="4" t="n">
        <v>-6.27</v>
      </c>
      <c r="G2" s="4" t="n">
        <v>-3.93</v>
      </c>
      <c r="H2" s="4" t="n">
        <v>36148</v>
      </c>
    </row>
    <row r="3">
      <c r="A3" s="4" t="n">
        <v>2</v>
      </c>
      <c r="B3" s="4" t="inlineStr">
        <is>
          <t>UDP0059</t>
        </is>
      </c>
      <c r="C3" s="4" t="inlineStr">
        <is>
          <t>ATAGACCGTT</t>
        </is>
      </c>
      <c r="D3" s="4" t="inlineStr">
        <is>
          <t>GGACCAACAG</t>
        </is>
      </c>
      <c r="E3" s="6" t="inlineStr">
        <is>
          <t>A</t>
        </is>
      </c>
      <c r="F3" s="4" t="n">
        <v>-6.23</v>
      </c>
      <c r="G3" s="4" t="n">
        <v>-4.41</v>
      </c>
      <c r="H3" s="4" t="n">
        <v>36992</v>
      </c>
    </row>
    <row r="4">
      <c r="A4" s="4" t="n">
        <v>3</v>
      </c>
      <c r="B4" s="4" t="inlineStr">
        <is>
          <t>UDP0078</t>
        </is>
      </c>
      <c r="C4" s="4" t="inlineStr">
        <is>
          <t>TGACTACATA</t>
        </is>
      </c>
      <c r="D4" s="4" t="inlineStr">
        <is>
          <t>CGCACTAATG</t>
        </is>
      </c>
      <c r="E4" s="6" t="inlineStr">
        <is>
          <t>A</t>
        </is>
      </c>
      <c r="F4" s="4" t="n">
        <v>-6.27</v>
      </c>
      <c r="G4" s="4" t="n">
        <v>-3.93</v>
      </c>
      <c r="H4" s="4" t="n">
        <v>38197</v>
      </c>
    </row>
    <row r="5">
      <c r="A5" s="4" t="n">
        <v>4</v>
      </c>
      <c r="B5" s="4" t="inlineStr">
        <is>
          <t>UDP0003V3</t>
        </is>
      </c>
      <c r="C5" s="4" t="inlineStr">
        <is>
          <t>TACGTTCATT</t>
        </is>
      </c>
      <c r="D5" s="4" t="inlineStr">
        <is>
          <t>TCGGATGTCG</t>
        </is>
      </c>
      <c r="E5" s="6" t="inlineStr">
        <is>
          <t>A</t>
        </is>
      </c>
      <c r="F5" s="4" t="n">
        <v>-6.09</v>
      </c>
      <c r="G5" s="4" t="n">
        <v>-3.88</v>
      </c>
      <c r="H5" s="4" t="n">
        <v>38887</v>
      </c>
    </row>
    <row r="6">
      <c r="A6" s="4" t="n">
        <v>5</v>
      </c>
      <c r="B6" s="4" t="inlineStr">
        <is>
          <t>UDP0033</t>
        </is>
      </c>
      <c r="C6" s="4" t="inlineStr">
        <is>
          <t>GTCGATTACA</t>
        </is>
      </c>
      <c r="D6" s="4" t="inlineStr">
        <is>
          <t>CGTATAATCA</t>
        </is>
      </c>
      <c r="E6" s="6" t="inlineStr">
        <is>
          <t>A</t>
        </is>
      </c>
      <c r="F6" s="4" t="n">
        <v>-6.44</v>
      </c>
      <c r="G6" s="4" t="n">
        <v>-3.83</v>
      </c>
      <c r="H6" s="4" t="n">
        <v>43551</v>
      </c>
    </row>
    <row r="7">
      <c r="A7" s="4" t="n">
        <v>6</v>
      </c>
      <c r="B7" s="4" t="inlineStr">
        <is>
          <t>UDP0024</t>
        </is>
      </c>
      <c r="C7" s="4" t="inlineStr">
        <is>
          <t>CTAACTGTAA</t>
        </is>
      </c>
      <c r="D7" s="4" t="inlineStr">
        <is>
          <t>GTATGTAGAA</t>
        </is>
      </c>
      <c r="E7" s="6" t="inlineStr">
        <is>
          <t>A</t>
        </is>
      </c>
      <c r="F7" s="4" t="n">
        <v>-6.68</v>
      </c>
      <c r="G7" s="4" t="n">
        <v>-3.87</v>
      </c>
      <c r="H7" s="4" t="n">
        <v>45471</v>
      </c>
    </row>
    <row r="8">
      <c r="A8" s="4" t="n">
        <v>7</v>
      </c>
      <c r="B8" s="4" t="inlineStr">
        <is>
          <t>UDP0026</t>
        </is>
      </c>
      <c r="C8" s="4" t="inlineStr">
        <is>
          <t>AATAGAGCAA</t>
        </is>
      </c>
      <c r="D8" s="4" t="inlineStr">
        <is>
          <t>CCTCGCAACC</t>
        </is>
      </c>
      <c r="E8" s="6" t="inlineStr">
        <is>
          <t>A</t>
        </is>
      </c>
      <c r="F8" s="4" t="n">
        <v>-6.52</v>
      </c>
      <c r="G8" s="4" t="n">
        <v>-3.83</v>
      </c>
      <c r="H8" s="4" t="n">
        <v>46366</v>
      </c>
    </row>
    <row r="9">
      <c r="A9" s="4" t="n">
        <v>8</v>
      </c>
      <c r="B9" s="4" t="inlineStr">
        <is>
          <t>UDP0088</t>
        </is>
      </c>
      <c r="C9" s="4" t="inlineStr">
        <is>
          <t>ATCCGTAAGT</t>
        </is>
      </c>
      <c r="D9" s="4" t="inlineStr">
        <is>
          <t>TACACGCTCC</t>
        </is>
      </c>
      <c r="E9" s="6" t="inlineStr">
        <is>
          <t>A</t>
        </is>
      </c>
      <c r="F9" s="4" t="n">
        <v>-5.91</v>
      </c>
      <c r="G9" s="4" t="n">
        <v>-3.79</v>
      </c>
      <c r="H9" s="4" t="n">
        <v>47490</v>
      </c>
    </row>
    <row r="10">
      <c r="A10" s="4" t="n">
        <v>9</v>
      </c>
      <c r="B10" s="4" t="inlineStr">
        <is>
          <t>UDP0089</t>
        </is>
      </c>
      <c r="C10" s="4" t="inlineStr">
        <is>
          <t>CGTGTATCTT</t>
        </is>
      </c>
      <c r="D10" s="4" t="inlineStr">
        <is>
          <t>GCTTACGGAC</t>
        </is>
      </c>
      <c r="E10" s="6" t="inlineStr">
        <is>
          <t>A</t>
        </is>
      </c>
      <c r="F10" s="4" t="n">
        <v>-5.74</v>
      </c>
      <c r="G10" s="4" t="n">
        <v>-3.79</v>
      </c>
      <c r="H10" s="4" t="n">
        <v>47574</v>
      </c>
    </row>
    <row r="11">
      <c r="A11" s="4" t="n">
        <v>10</v>
      </c>
      <c r="B11" s="4" t="inlineStr">
        <is>
          <t>UDP0027</t>
        </is>
      </c>
      <c r="C11" s="4" t="inlineStr">
        <is>
          <t>TCAATCCATT</t>
        </is>
      </c>
      <c r="D11" s="4" t="inlineStr">
        <is>
          <t>TGGATGCTTA</t>
        </is>
      </c>
      <c r="E11" s="6" t="inlineStr">
        <is>
          <t>A</t>
        </is>
      </c>
      <c r="F11" s="4" t="n">
        <v>-6.1</v>
      </c>
      <c r="G11" s="4" t="n">
        <v>-3.79</v>
      </c>
      <c r="H11" s="4" t="n">
        <v>48463</v>
      </c>
    </row>
    <row r="12">
      <c r="A12" s="4" t="n">
        <v>11</v>
      </c>
      <c r="B12" s="4" t="inlineStr">
        <is>
          <t>UDP0008</t>
        </is>
      </c>
      <c r="C12" s="4" t="inlineStr">
        <is>
          <t>CCTTGTTAAT</t>
        </is>
      </c>
      <c r="D12" s="4" t="inlineStr">
        <is>
          <t>TGCCTTGATC</t>
        </is>
      </c>
      <c r="E12" s="6" t="inlineStr">
        <is>
          <t>A</t>
        </is>
      </c>
      <c r="F12" s="4" t="n">
        <v>-5.74</v>
      </c>
      <c r="G12" s="4" t="n">
        <v>-4.17</v>
      </c>
      <c r="H12" s="4" t="n">
        <v>49641</v>
      </c>
    </row>
    <row r="13">
      <c r="A13" s="4" t="n">
        <v>12</v>
      </c>
      <c r="B13" s="4" t="inlineStr">
        <is>
          <t>UDP0071V3</t>
        </is>
      </c>
      <c r="C13" s="4" t="inlineStr">
        <is>
          <t>CTAGCGTCGA</t>
        </is>
      </c>
      <c r="D13" s="4" t="inlineStr">
        <is>
          <t>CACTTCTACT</t>
        </is>
      </c>
      <c r="E13" s="6" t="inlineStr">
        <is>
          <t>A</t>
        </is>
      </c>
      <c r="F13" s="4" t="n">
        <v>-6.6</v>
      </c>
      <c r="G13" s="4" t="n">
        <v>-3.83</v>
      </c>
      <c r="H13" s="4" t="n">
        <v>58032</v>
      </c>
    </row>
    <row r="14">
      <c r="A14" s="4" t="n">
        <v>13</v>
      </c>
      <c r="B14" s="4" t="inlineStr">
        <is>
          <t>UDP0095</t>
        </is>
      </c>
      <c r="C14" s="4" t="inlineStr">
        <is>
          <t>ATGTAGACAA</t>
        </is>
      </c>
      <c r="D14" s="4" t="inlineStr">
        <is>
          <t>GGTGGAATAC</t>
        </is>
      </c>
      <c r="E14" s="6" t="inlineStr">
        <is>
          <t>A</t>
        </is>
      </c>
      <c r="F14" s="4" t="n">
        <v>-6.03</v>
      </c>
      <c r="G14" s="4" t="n">
        <v>-3.83</v>
      </c>
      <c r="H14" s="4" t="n">
        <v>65951</v>
      </c>
    </row>
    <row r="15">
      <c r="A15" s="4" t="n">
        <v>14</v>
      </c>
      <c r="B15" s="4" t="inlineStr">
        <is>
          <t>UDP0017</t>
        </is>
      </c>
      <c r="C15" s="4" t="inlineStr">
        <is>
          <t>TCGGCAGCAA</t>
        </is>
      </c>
      <c r="D15" s="4" t="inlineStr">
        <is>
          <t>AACCATTCTC</t>
        </is>
      </c>
      <c r="E15" s="6" t="inlineStr">
        <is>
          <t>A</t>
        </is>
      </c>
      <c r="F15" s="4" t="n">
        <v>-6.71</v>
      </c>
      <c r="G15" s="4" t="n">
        <v>-3.83</v>
      </c>
      <c r="H15" s="4" t="n">
        <v>75762</v>
      </c>
    </row>
    <row r="16">
      <c r="A16" s="4" t="n">
        <v>15</v>
      </c>
      <c r="B16" s="4" t="inlineStr">
        <is>
          <t>UDP0062</t>
        </is>
      </c>
      <c r="C16" s="4" t="inlineStr">
        <is>
          <t>GCAAGTCTCA</t>
        </is>
      </c>
      <c r="D16" s="4" t="inlineStr">
        <is>
          <t>TAACAGTGTT</t>
        </is>
      </c>
      <c r="E16" s="6" t="inlineStr">
        <is>
          <t>A</t>
        </is>
      </c>
      <c r="F16" s="4" t="n">
        <v>-6.51</v>
      </c>
      <c r="G16" s="4" t="n">
        <v>-3.83</v>
      </c>
      <c r="H16" s="4" t="n">
        <v>86613</v>
      </c>
    </row>
    <row r="17">
      <c r="A17" s="4" t="n">
        <v>16</v>
      </c>
      <c r="B17" s="4" t="inlineStr">
        <is>
          <t>UDP0046V3</t>
        </is>
      </c>
      <c r="C17" s="4" t="inlineStr">
        <is>
          <t>CTTGTCTTAA</t>
        </is>
      </c>
      <c r="D17" s="4" t="inlineStr">
        <is>
          <t>TCCATGTTGC</t>
        </is>
      </c>
      <c r="E17" s="6" t="inlineStr">
        <is>
          <t>A</t>
        </is>
      </c>
      <c r="F17" s="4" t="n">
        <v>-6.38</v>
      </c>
      <c r="G17" s="4" t="n">
        <v>-4.44</v>
      </c>
      <c r="H17" s="4" t="n">
        <v>91657</v>
      </c>
    </row>
    <row r="18">
      <c r="A18" s="4" t="n">
        <v>17</v>
      </c>
      <c r="B18" s="4" t="inlineStr">
        <is>
          <t>UDP0085</t>
        </is>
      </c>
      <c r="C18" s="4" t="inlineStr">
        <is>
          <t>CATGAGTACT</t>
        </is>
      </c>
      <c r="D18" s="4" t="inlineStr">
        <is>
          <t>TTAGGTACCA</t>
        </is>
      </c>
      <c r="E18" s="6" t="inlineStr">
        <is>
          <t>A</t>
        </is>
      </c>
      <c r="F18" s="4" t="n">
        <v>-6.39</v>
      </c>
      <c r="G18" s="4" t="n">
        <v>-4.5</v>
      </c>
      <c r="H18" s="4" t="n">
        <v>134353</v>
      </c>
    </row>
    <row r="19">
      <c r="A19" s="4" t="n">
        <v>18</v>
      </c>
      <c r="B19" s="4" t="inlineStr">
        <is>
          <t>UDP0054V3</t>
        </is>
      </c>
      <c r="C19" s="4" t="inlineStr">
        <is>
          <t>GAGTCTCTCC</t>
        </is>
      </c>
      <c r="D19" s="4" t="inlineStr">
        <is>
          <t>GTAGTAATAG</t>
        </is>
      </c>
      <c r="E19" s="7" t="inlineStr">
        <is>
          <t>B</t>
        </is>
      </c>
      <c r="F19" s="4" t="n">
        <v>-5.86</v>
      </c>
      <c r="G19" s="4" t="n">
        <v>-4.54</v>
      </c>
      <c r="H19" s="4" t="n">
        <v>37385</v>
      </c>
    </row>
    <row r="20">
      <c r="A20" s="4" t="n">
        <v>19</v>
      </c>
      <c r="B20" s="4" t="inlineStr">
        <is>
          <t>UDP0043</t>
        </is>
      </c>
      <c r="C20" s="4" t="inlineStr">
        <is>
          <t>TTCTATGGTT</t>
        </is>
      </c>
      <c r="D20" s="4" t="inlineStr">
        <is>
          <t>GGCGAGATGG</t>
        </is>
      </c>
      <c r="E20" s="7" t="inlineStr">
        <is>
          <t>B</t>
        </is>
      </c>
      <c r="F20" s="4" t="n">
        <v>-5.93</v>
      </c>
      <c r="G20" s="4" t="n">
        <v>-4.68</v>
      </c>
      <c r="H20" s="4" t="n">
        <v>38734</v>
      </c>
    </row>
    <row r="21">
      <c r="A21" s="4" t="n">
        <v>20</v>
      </c>
      <c r="B21" s="4" t="inlineStr">
        <is>
          <t>UDP0011</t>
        </is>
      </c>
      <c r="C21" s="4" t="inlineStr">
        <is>
          <t>CATACACTGT</t>
        </is>
      </c>
      <c r="D21" s="4" t="inlineStr">
        <is>
          <t>GAACATACGG</t>
        </is>
      </c>
      <c r="E21" s="7" t="inlineStr">
        <is>
          <t>B</t>
        </is>
      </c>
      <c r="F21" s="4" t="n">
        <v>-8.09</v>
      </c>
      <c r="G21" s="4" t="n">
        <v>-4.6</v>
      </c>
      <c r="H21" s="4" t="n">
        <v>39662</v>
      </c>
    </row>
    <row r="22">
      <c r="A22" s="4" t="n">
        <v>21</v>
      </c>
      <c r="B22" s="4" t="inlineStr">
        <is>
          <t>UDP0051</t>
        </is>
      </c>
      <c r="C22" s="4" t="inlineStr">
        <is>
          <t>ACTGTTGTGA</t>
        </is>
      </c>
      <c r="D22" s="4" t="inlineStr">
        <is>
          <t>GACAGACAGG</t>
        </is>
      </c>
      <c r="E22" s="7" t="inlineStr">
        <is>
          <t>B</t>
        </is>
      </c>
      <c r="F22" s="4" t="n">
        <v>-7.07</v>
      </c>
      <c r="G22" s="4" t="n">
        <v>-4.74</v>
      </c>
      <c r="H22" s="4" t="n">
        <v>41652</v>
      </c>
    </row>
    <row r="23">
      <c r="A23" s="4" t="n">
        <v>22</v>
      </c>
      <c r="B23" s="4" t="inlineStr">
        <is>
          <t>UDP0052</t>
        </is>
      </c>
      <c r="C23" s="4" t="inlineStr">
        <is>
          <t>GTGCGTCCTT</t>
        </is>
      </c>
      <c r="D23" s="4" t="inlineStr">
        <is>
          <t>TCTTACATCA</t>
        </is>
      </c>
      <c r="E23" s="7" t="inlineStr">
        <is>
          <t>B</t>
        </is>
      </c>
      <c r="F23" s="4" t="n">
        <v>-7.93</v>
      </c>
      <c r="G23" s="4" t="n">
        <v>-3.79</v>
      </c>
      <c r="H23" s="4" t="n">
        <v>44235</v>
      </c>
    </row>
    <row r="24">
      <c r="A24" s="4" t="n">
        <v>23</v>
      </c>
      <c r="B24" s="4" t="inlineStr">
        <is>
          <t>UDP0058</t>
        </is>
      </c>
      <c r="C24" s="4" t="inlineStr">
        <is>
          <t>TACTAGTCAA</t>
        </is>
      </c>
      <c r="D24" s="4" t="inlineStr">
        <is>
          <t>CCGAAGCGAG</t>
        </is>
      </c>
      <c r="E24" s="7" t="inlineStr">
        <is>
          <t>B</t>
        </is>
      </c>
      <c r="F24" s="4" t="n">
        <v>-7.57</v>
      </c>
      <c r="G24" s="4" t="n">
        <v>-3.99</v>
      </c>
      <c r="H24" s="4" t="n">
        <v>45306</v>
      </c>
    </row>
    <row r="25">
      <c r="A25" s="4" t="n">
        <v>24</v>
      </c>
      <c r="B25" s="4" t="inlineStr">
        <is>
          <t>UDP0038</t>
        </is>
      </c>
      <c r="C25" s="4" t="inlineStr">
        <is>
          <t>TACCATCCGT</t>
        </is>
      </c>
      <c r="D25" s="4" t="inlineStr">
        <is>
          <t>CTGTCTGCAC</t>
        </is>
      </c>
      <c r="E25" s="7" t="inlineStr">
        <is>
          <t>B</t>
        </is>
      </c>
      <c r="F25" s="4" t="n">
        <v>-7.5</v>
      </c>
      <c r="G25" s="4" t="n">
        <v>-3.89</v>
      </c>
      <c r="H25" s="4" t="n">
        <v>46512</v>
      </c>
    </row>
    <row r="26">
      <c r="A26" s="4" t="n">
        <v>25</v>
      </c>
      <c r="B26" s="4" t="inlineStr">
        <is>
          <t>UDP0031</t>
        </is>
      </c>
      <c r="C26" s="4" t="inlineStr">
        <is>
          <t>GCTTACGGAC</t>
        </is>
      </c>
      <c r="D26" s="4" t="inlineStr">
        <is>
          <t>TGCGTGTCAC</t>
        </is>
      </c>
      <c r="E26" s="7" t="inlineStr">
        <is>
          <t>B</t>
        </is>
      </c>
      <c r="F26" s="4" t="n">
        <v>-6.72</v>
      </c>
      <c r="G26" s="4" t="n">
        <v>-5.14</v>
      </c>
      <c r="H26" s="4" t="n">
        <v>46768</v>
      </c>
    </row>
    <row r="27">
      <c r="A27" s="4" t="n">
        <v>26</v>
      </c>
      <c r="B27" s="4" t="inlineStr">
        <is>
          <t>UDP0019</t>
        </is>
      </c>
      <c r="C27" s="4" t="inlineStr">
        <is>
          <t>GGTTGCCTCT</t>
        </is>
      </c>
      <c r="D27" s="4" t="inlineStr">
        <is>
          <t>CTAATGATGG</t>
        </is>
      </c>
      <c r="E27" s="7" t="inlineStr">
        <is>
          <t>B</t>
        </is>
      </c>
      <c r="F27" s="4" t="n">
        <v>-5.93</v>
      </c>
      <c r="G27" s="4" t="n">
        <v>-4.68</v>
      </c>
      <c r="H27" s="4" t="n">
        <v>47027</v>
      </c>
    </row>
    <row r="28">
      <c r="A28" s="4" t="n">
        <v>27</v>
      </c>
      <c r="B28" s="4" t="inlineStr">
        <is>
          <t>UDP0065</t>
        </is>
      </c>
      <c r="C28" s="4" t="inlineStr">
        <is>
          <t>GTAAGGCATA</t>
        </is>
      </c>
      <c r="D28" s="4" t="inlineStr">
        <is>
          <t>AGACACATTA</t>
        </is>
      </c>
      <c r="E28" s="7" t="inlineStr">
        <is>
          <t>B</t>
        </is>
      </c>
      <c r="F28" s="4" t="n">
        <v>-6.44</v>
      </c>
      <c r="G28" s="4" t="n">
        <v>-4.76</v>
      </c>
      <c r="H28" s="4" t="n">
        <v>47970</v>
      </c>
    </row>
    <row r="29">
      <c r="A29" s="4" t="n">
        <v>28</v>
      </c>
      <c r="B29" s="4" t="inlineStr">
        <is>
          <t>UDP0006</t>
        </is>
      </c>
      <c r="C29" s="4" t="inlineStr">
        <is>
          <t>GTCCACTTGT</t>
        </is>
      </c>
      <c r="D29" s="4" t="inlineStr">
        <is>
          <t>GCGCGATGTT</t>
        </is>
      </c>
      <c r="E29" s="7" t="inlineStr">
        <is>
          <t>B</t>
        </is>
      </c>
      <c r="F29" s="4" t="n">
        <v>-7.91</v>
      </c>
      <c r="G29" s="4" t="n">
        <v>-3.79</v>
      </c>
      <c r="H29" s="4" t="n">
        <v>50850</v>
      </c>
    </row>
    <row r="30">
      <c r="A30" s="4" t="n">
        <v>29</v>
      </c>
      <c r="B30" s="4" t="inlineStr">
        <is>
          <t>UDP0014</t>
        </is>
      </c>
      <c r="C30" s="4" t="inlineStr">
        <is>
          <t>CGGCTCTACT</t>
        </is>
      </c>
      <c r="D30" s="4" t="inlineStr">
        <is>
          <t>GTGCCGCTTC</t>
        </is>
      </c>
      <c r="E30" s="7" t="inlineStr">
        <is>
          <t>B</t>
        </is>
      </c>
      <c r="F30" s="4" t="n">
        <v>-6.27</v>
      </c>
      <c r="G30" s="4" t="n">
        <v>-4.96</v>
      </c>
      <c r="H30" s="4" t="n">
        <v>51311</v>
      </c>
    </row>
    <row r="31">
      <c r="A31" s="4" t="n">
        <v>30</v>
      </c>
      <c r="B31" s="4" t="inlineStr">
        <is>
          <t>UDP0083</t>
        </is>
      </c>
      <c r="C31" s="4" t="inlineStr">
        <is>
          <t>AGACACATTA</t>
        </is>
      </c>
      <c r="D31" s="4" t="inlineStr">
        <is>
          <t>GTAAGGCATA</t>
        </is>
      </c>
      <c r="E31" s="7" t="inlineStr">
        <is>
          <t>B</t>
        </is>
      </c>
      <c r="F31" s="4" t="n">
        <v>-5.74</v>
      </c>
      <c r="G31" s="4" t="n">
        <v>-5.22</v>
      </c>
      <c r="H31" s="4" t="n">
        <v>51457</v>
      </c>
    </row>
    <row r="32">
      <c r="A32" s="4" t="n">
        <v>31</v>
      </c>
      <c r="B32" s="4" t="inlineStr">
        <is>
          <t>UDP0075V3</t>
        </is>
      </c>
      <c r="C32" s="4" t="inlineStr">
        <is>
          <t>AGATTGTTAC</t>
        </is>
      </c>
      <c r="D32" s="4" t="inlineStr">
        <is>
          <t>GTCTCGTGAA</t>
        </is>
      </c>
      <c r="E32" s="7" t="inlineStr">
        <is>
          <t>B</t>
        </is>
      </c>
      <c r="F32" s="4" t="n">
        <v>-6.84</v>
      </c>
      <c r="G32" s="4" t="n">
        <v>-4.95</v>
      </c>
      <c r="H32" s="4" t="n">
        <v>56726</v>
      </c>
    </row>
    <row r="33">
      <c r="A33" s="4" t="n">
        <v>32</v>
      </c>
      <c r="B33" s="4" t="inlineStr">
        <is>
          <t>UDP0087</t>
        </is>
      </c>
      <c r="C33" s="4" t="inlineStr">
        <is>
          <t>GATACCTCCT</t>
        </is>
      </c>
      <c r="D33" s="4" t="inlineStr">
        <is>
          <t>CATGTAGAGG</t>
        </is>
      </c>
      <c r="E33" s="7" t="inlineStr">
        <is>
          <t>B</t>
        </is>
      </c>
      <c r="F33" s="4" t="n">
        <v>-6.67</v>
      </c>
      <c r="G33" s="4" t="n">
        <v>-4.74</v>
      </c>
      <c r="H33" s="4" t="n">
        <v>63620</v>
      </c>
    </row>
    <row r="34">
      <c r="A34" s="4" t="n">
        <v>33</v>
      </c>
      <c r="B34" s="4" t="inlineStr">
        <is>
          <t>UDP0020</t>
        </is>
      </c>
      <c r="C34" s="4" t="inlineStr">
        <is>
          <t>CGCACATGGC</t>
        </is>
      </c>
      <c r="D34" s="4" t="inlineStr">
        <is>
          <t>TCGGCCTATC</t>
        </is>
      </c>
      <c r="E34" s="7" t="inlineStr">
        <is>
          <t>B</t>
        </is>
      </c>
      <c r="F34" s="4" t="n">
        <v>-8.029999999999999</v>
      </c>
      <c r="G34" s="4" t="n">
        <v>-4.78</v>
      </c>
      <c r="H34" s="4" t="n">
        <v>71056</v>
      </c>
    </row>
    <row r="35">
      <c r="A35" s="4" t="n">
        <v>34</v>
      </c>
      <c r="B35" s="4" t="inlineStr">
        <is>
          <t>UDP0072V3</t>
        </is>
      </c>
      <c r="C35" s="4" t="inlineStr">
        <is>
          <t>TAGCGAAGCA</t>
        </is>
      </c>
      <c r="D35" s="4" t="inlineStr">
        <is>
          <t>TGGACTCGTA</t>
        </is>
      </c>
      <c r="E35" s="7" t="inlineStr">
        <is>
          <t>B</t>
        </is>
      </c>
      <c r="F35" s="4" t="n">
        <v>-8.039999999999999</v>
      </c>
      <c r="G35" s="4" t="n">
        <v>-4.48</v>
      </c>
      <c r="H35" s="4" t="n">
        <v>83716</v>
      </c>
    </row>
    <row r="36">
      <c r="A36" s="4" t="n">
        <v>35</v>
      </c>
      <c r="B36" s="4" t="inlineStr">
        <is>
          <t>UDP0013</t>
        </is>
      </c>
      <c r="C36" s="4" t="inlineStr">
        <is>
          <t>ATCACGAAGG</t>
        </is>
      </c>
      <c r="D36" s="4" t="inlineStr">
        <is>
          <t>TAATGGCAAG</t>
        </is>
      </c>
      <c r="E36" s="7" t="inlineStr">
        <is>
          <t>B</t>
        </is>
      </c>
      <c r="F36" s="4" t="n">
        <v>-7.82</v>
      </c>
      <c r="G36" s="4" t="n">
        <v>-3.99</v>
      </c>
      <c r="H36" s="4" t="n">
        <v>84882</v>
      </c>
    </row>
    <row r="37">
      <c r="A37" s="4" t="n">
        <v>36</v>
      </c>
      <c r="B37" s="4" t="inlineStr">
        <is>
          <t>UDP0030</t>
        </is>
      </c>
      <c r="C37" s="4" t="inlineStr">
        <is>
          <t>CTTATGGAAT</t>
        </is>
      </c>
      <c r="D37" s="4" t="inlineStr">
        <is>
          <t>TGCCTGGTGG</t>
        </is>
      </c>
      <c r="E37" s="7" t="inlineStr">
        <is>
          <t>B</t>
        </is>
      </c>
      <c r="F37" s="4" t="n">
        <v>-6.88</v>
      </c>
      <c r="G37" s="4" t="n">
        <v>-4.68</v>
      </c>
      <c r="H37" s="4" t="n">
        <v>92810</v>
      </c>
    </row>
    <row r="38">
      <c r="A38" s="4" t="n">
        <v>37</v>
      </c>
      <c r="B38" s="4" t="inlineStr">
        <is>
          <t>UDP0021</t>
        </is>
      </c>
      <c r="C38" s="4" t="inlineStr">
        <is>
          <t>GGCCTGTCCT</t>
        </is>
      </c>
      <c r="D38" s="4" t="inlineStr">
        <is>
          <t>AGTCAACCAT</t>
        </is>
      </c>
      <c r="E38" s="7" t="inlineStr">
        <is>
          <t>B</t>
        </is>
      </c>
      <c r="F38" s="4" t="n">
        <v>-7.64</v>
      </c>
      <c r="G38" s="4" t="n">
        <v>-3.84</v>
      </c>
      <c r="H38" s="4" t="n">
        <v>93292</v>
      </c>
    </row>
    <row r="39">
      <c r="A39" s="4" t="n">
        <v>38</v>
      </c>
      <c r="B39" s="4" t="inlineStr">
        <is>
          <t>UDP0022</t>
        </is>
      </c>
      <c r="C39" s="4" t="inlineStr">
        <is>
          <t>CTGTGTTAGG</t>
        </is>
      </c>
      <c r="D39" s="4" t="inlineStr">
        <is>
          <t>GAGCGCAATA</t>
        </is>
      </c>
      <c r="E39" s="7" t="inlineStr">
        <is>
          <t>B</t>
        </is>
      </c>
      <c r="F39" s="4" t="n">
        <v>-7.9</v>
      </c>
      <c r="G39" s="4" t="n">
        <v>-5.04</v>
      </c>
      <c r="H39" s="4" t="n">
        <v>98234</v>
      </c>
    </row>
    <row r="40">
      <c r="A40" s="4" t="n">
        <v>39</v>
      </c>
      <c r="B40" s="4" t="inlineStr">
        <is>
          <t>UDP0025</t>
        </is>
      </c>
      <c r="C40" s="4" t="inlineStr">
        <is>
          <t>GGCGAGATGG</t>
        </is>
      </c>
      <c r="D40" s="4" t="inlineStr">
        <is>
          <t>TTCTATGGTT</t>
        </is>
      </c>
      <c r="E40" s="7" t="inlineStr">
        <is>
          <t>B</t>
        </is>
      </c>
      <c r="F40" s="4" t="n">
        <v>-7.22</v>
      </c>
      <c r="G40" s="4" t="n">
        <v>-4.53</v>
      </c>
      <c r="H40" s="4" t="n">
        <v>107258</v>
      </c>
    </row>
    <row r="41">
      <c r="A41" s="4" t="n">
        <v>40</v>
      </c>
      <c r="B41" s="4" t="inlineStr">
        <is>
          <t>UDP0005V3</t>
        </is>
      </c>
      <c r="C41" s="4" t="inlineStr">
        <is>
          <t>TCCATCCGAG</t>
        </is>
      </c>
      <c r="D41" s="4" t="inlineStr">
        <is>
          <t>TCCTATTGTG</t>
        </is>
      </c>
      <c r="E41" s="7" t="inlineStr">
        <is>
          <t>B</t>
        </is>
      </c>
      <c r="F41" s="4" t="n">
        <v>-7.68</v>
      </c>
      <c r="G41" s="4" t="n">
        <v>-4.19</v>
      </c>
      <c r="H41" s="4" t="n">
        <v>108814</v>
      </c>
    </row>
    <row r="42">
      <c r="A42" s="4" t="n">
        <v>41</v>
      </c>
      <c r="B42" s="4" t="inlineStr">
        <is>
          <t>UDP0067</t>
        </is>
      </c>
      <c r="C42" s="4" t="inlineStr">
        <is>
          <t>TTACAATTCC</t>
        </is>
      </c>
      <c r="D42" s="4" t="inlineStr">
        <is>
          <t>AGCACATCCT</t>
        </is>
      </c>
      <c r="E42" s="7" t="inlineStr">
        <is>
          <t>B</t>
        </is>
      </c>
      <c r="F42" s="4" t="n">
        <v>-7.85</v>
      </c>
      <c r="G42" s="4" t="n">
        <v>-4.54</v>
      </c>
      <c r="H42" s="4" t="n">
        <v>119857</v>
      </c>
    </row>
    <row r="43">
      <c r="A43" s="4" t="n">
        <v>42</v>
      </c>
      <c r="B43" s="4" t="inlineStr">
        <is>
          <t>UDP0080</t>
        </is>
      </c>
      <c r="C43" s="4" t="inlineStr">
        <is>
          <t>CAAGCATCCG</t>
        </is>
      </c>
      <c r="D43" s="4" t="inlineStr">
        <is>
          <t>CTGGCTTGCC</t>
        </is>
      </c>
      <c r="E43" s="7" t="inlineStr">
        <is>
          <t>B</t>
        </is>
      </c>
      <c r="F43" s="4" t="n">
        <v>-8.449999999999999</v>
      </c>
      <c r="G43" s="4" t="n">
        <v>-4.43</v>
      </c>
      <c r="H43" s="4" t="n">
        <v>122661</v>
      </c>
    </row>
    <row r="44">
      <c r="A44" s="4" t="n">
        <v>43</v>
      </c>
      <c r="B44" s="4" t="inlineStr">
        <is>
          <t>UDP0042</t>
        </is>
      </c>
      <c r="C44" s="4" t="inlineStr">
        <is>
          <t>AGTGGTCAGG</t>
        </is>
      </c>
      <c r="D44" s="4" t="inlineStr">
        <is>
          <t>GCCATTAGAC</t>
        </is>
      </c>
      <c r="E44" s="7" t="inlineStr">
        <is>
          <t>B</t>
        </is>
      </c>
      <c r="F44" s="4" t="n">
        <v>-7.49</v>
      </c>
      <c r="G44" s="4" t="n">
        <v>-3.99</v>
      </c>
      <c r="H44" s="4" t="n">
        <v>125791</v>
      </c>
    </row>
    <row r="45">
      <c r="A45" s="4" t="n">
        <v>44</v>
      </c>
      <c r="B45" s="4" t="inlineStr">
        <is>
          <t>UDP0092</t>
        </is>
      </c>
      <c r="C45" s="4" t="inlineStr">
        <is>
          <t>ACATACTTCC</t>
        </is>
      </c>
      <c r="D45" s="4" t="inlineStr">
        <is>
          <t>ATACCAACGC</t>
        </is>
      </c>
      <c r="E45" s="7" t="inlineStr">
        <is>
          <t>B</t>
        </is>
      </c>
      <c r="F45" s="4" t="n">
        <v>-7.55</v>
      </c>
      <c r="G45" s="4" t="n">
        <v>-4.54</v>
      </c>
      <c r="H45" s="4" t="n">
        <v>146091</v>
      </c>
    </row>
    <row r="46">
      <c r="A46" s="4" t="n">
        <v>45</v>
      </c>
      <c r="B46" s="4" t="inlineStr">
        <is>
          <t>UDP0060</t>
        </is>
      </c>
      <c r="C46" s="4" t="inlineStr">
        <is>
          <t>ACAGTTCCAG</t>
        </is>
      </c>
      <c r="D46" s="4" t="inlineStr">
        <is>
          <t>TTCCAGGTAA</t>
        </is>
      </c>
      <c r="E46" s="7" t="inlineStr">
        <is>
          <t>B</t>
        </is>
      </c>
      <c r="F46" s="4" t="n">
        <v>-8.210000000000001</v>
      </c>
      <c r="G46" s="4" t="n">
        <v>-5.43</v>
      </c>
      <c r="H46" s="4" t="n">
        <v>154331</v>
      </c>
    </row>
    <row r="47">
      <c r="A47" s="4" t="n">
        <v>46</v>
      </c>
      <c r="B47" s="4" t="inlineStr">
        <is>
          <t>UDP0004</t>
        </is>
      </c>
      <c r="C47" s="4" t="inlineStr">
        <is>
          <t>TGCCTGGTGG</t>
        </is>
      </c>
      <c r="D47" s="4" t="inlineStr">
        <is>
          <t>CTTATGGAAT</t>
        </is>
      </c>
      <c r="E47" s="7" t="inlineStr">
        <is>
          <t>B</t>
        </is>
      </c>
      <c r="F47" s="4" t="n">
        <v>-8.220000000000001</v>
      </c>
      <c r="G47" s="4" t="n">
        <v>-3.93</v>
      </c>
      <c r="H47" s="4" t="n">
        <v>167559</v>
      </c>
    </row>
    <row r="48">
      <c r="A48" s="4" t="n">
        <v>47</v>
      </c>
      <c r="B48" s="4" t="inlineStr">
        <is>
          <t>UDP0037</t>
        </is>
      </c>
      <c r="C48" s="4" t="inlineStr">
        <is>
          <t>GATCACCGCG</t>
        </is>
      </c>
      <c r="D48" s="4" t="inlineStr">
        <is>
          <t>GTCGATTACA</t>
        </is>
      </c>
      <c r="E48" s="7" t="inlineStr">
        <is>
          <t>B</t>
        </is>
      </c>
      <c r="F48" s="4" t="n">
        <v>-8.27</v>
      </c>
      <c r="G48" s="4" t="n">
        <v>-3.98</v>
      </c>
      <c r="H48" s="4" t="n">
        <v>177368</v>
      </c>
    </row>
    <row r="49">
      <c r="A49" s="4" t="n">
        <v>48</v>
      </c>
      <c r="B49" s="4" t="inlineStr">
        <is>
          <t>UDP0057</t>
        </is>
      </c>
      <c r="C49" s="4" t="inlineStr">
        <is>
          <t>CGTCGACTGG</t>
        </is>
      </c>
      <c r="D49" s="4" t="inlineStr">
        <is>
          <t>TTAGGATAGA</t>
        </is>
      </c>
      <c r="E49" s="7" t="inlineStr">
        <is>
          <t>B</t>
        </is>
      </c>
      <c r="F49" s="4" t="n">
        <v>-7.93</v>
      </c>
      <c r="G49" s="4" t="n">
        <v>-4.39</v>
      </c>
      <c r="H49" s="4" t="n">
        <v>181301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2026-10-08T12:36:30Z</dcterms:created>
  <dcterms:modified xsi:type="dcterms:W3CDTF">2026-10-08T12:36:30Z</dcterms:modified>
</cp:coreProperties>
</file>