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96组" sheetId="2" state="visible" r:id="rId2"/>
    <sheet name="每周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3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Illumina UDP（Set A–D）48 组与 96 组内联索引推荐</t>
        </is>
      </c>
    </row>
    <row r="2">
      <c r="A2" s="2" t="inlineStr">
        <is>
          <t>来源：Illumina Adapter Sequences（文档 1000000002694 v22）的 UDP0001–0384，i5/i7 取 “Bases in Adapter” 列，i5 加在正向引物 5′端，同编号 i7 加在反向引物 5′端，没有接头。已排除 UDP0017（你们测试测序量显著降低）。Oligonucleotide sequences © 2025 Illumina, Inc. All rights reserved.</t>
        </is>
      </c>
    </row>
    <row r="3">
      <c r="A3" s="2" t="inlineStr">
        <is>
          <t>筛选与硬约束：① i5 之间、i7 之间、i5 与 i7 之间的 Levenshtein 编辑距离都 ≥4（实测最小值 4）；② 每个周期（第 1–10 位）GC 占比、A+C 占比、A+T 占比都在 40–60%，A/C/G/T 每种 ≥15%（i5、i7 各自满足）；③ 近回文索引已剔除，无同聚物 ≥3；④ 每个管（同编号 i5+i7 加到 33 条引物池）的二聚体分级为 A 或 B，没有 C 级。</t>
        </is>
      </c>
    </row>
    <row r="4">
      <c r="A4" s="2" t="inlineStr">
        <is>
          <t>分级（经验阈值，没有文献依据）：A = 管内全局二聚体 ΔG ≥ −7 且 3′端 ≥ −4.5（58 °C，primer3）；B = ≥ −8.5 且 ≥ −5.5；无尾巴基线为 −5.7 / −3.8。</t>
        </is>
      </c>
    </row>
    <row r="5">
      <c r="A5" s="2" t="inlineStr">
        <is>
          <t>结果：48 组 = 28 个 A + 20 个 B；96 组 = 40 个 A + 56 个 B，48 组是 96 组的子集（先做 48 再扩到 96 即可）。</t>
        </is>
      </c>
    </row>
    <row r="6">
      <c r="A6" s="2" t="inlineStr">
        <is>
          <t>为什么 48 组不能只含 A 级：A 级候选的 i5 第 10 位（紧邻引物）只有 A/T，这个周期 GC 为 0%，C/G 没有信号；i5 以 G/C 结尾的候选全是 B 级，满足 GC ≥40% 至少要 20 个，所以 20 个 B 是下限。</t>
        </is>
      </c>
    </row>
    <row r="7">
      <c r="A7" s="2" t="inlineStr">
        <is>
          <t>提醒：① 部分索引单个 GC 为 3 或 7（占 10 位的 30% 或 70%）：48 组 i5 17 个、i7 16 个，96 组 i5 29 个、i7 31 个，每个周期仍达标；② i5 与 rc(i7) 的最小编辑距离只有 2，ONT 反向读取时要靠引物序列判断方向；③ 二聚体、发夹按 33 条引物池 + 单个管内的 i5/i7 评估，没有真实接头；④ 脱靶：尾巴放在 5′端，不改变 3′端种子，人和猪基因组全长（含尾巴）≤3 错配的位点见 96 组表；⑤ 混合建库后样本间 UDP 互补：头尾配对最长互补 7 nt、60 °C 最差 ΔG −5.4，锅柄最差 −3.1，没有 10 nt 完全互补（原始 UDP0001–0096 有 16 对）。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4" customWidth="1" min="4" max="4"/>
    <col width="14" customWidth="1" min="5" max="5"/>
    <col width="6" customWidth="1" min="6" max="6"/>
    <col width="6" customWidth="1" min="7" max="7"/>
    <col width="6" customWidth="1" min="8" max="8"/>
    <col width="12" customWidth="1" min="9" max="9"/>
    <col width="10" customWidth="1" min="10" max="10"/>
    <col width="10" customWidth="1" min="11" max="11"/>
    <col width="12" customWidth="1" min="12" max="12"/>
    <col width="10" customWidth="1" min="13" max="13"/>
    <col width="8" customWidth="1" min="14" max="14"/>
    <col width="10" customWidth="1" min="15" max="15"/>
    <col width="8" customWidth="1" min="16" max="16"/>
  </cols>
  <sheetData>
    <row r="1" ht="45" customHeight="1">
      <c r="A1" s="3" t="inlineStr">
        <is>
          <t>序号</t>
        </is>
      </c>
      <c r="B1" s="3" t="inlineStr">
        <is>
          <t>UDP</t>
        </is>
      </c>
      <c r="C1" s="3" t="inlineStr">
        <is>
          <t>在48组</t>
        </is>
      </c>
      <c r="D1" s="3" t="inlineStr">
        <is>
          <t>i5（正向引物尾巴）</t>
        </is>
      </c>
      <c r="E1" s="3" t="inlineStr">
        <is>
          <t>i7（反向引物尾巴）</t>
        </is>
      </c>
      <c r="F1" s="3" t="inlineStr">
        <is>
          <t>i5 GC</t>
        </is>
      </c>
      <c r="G1" s="3" t="inlineStr">
        <is>
          <t>i7 GC</t>
        </is>
      </c>
      <c r="H1" s="3" t="inlineStr">
        <is>
          <t>分级</t>
        </is>
      </c>
      <c r="I1" s="3" t="inlineStr">
        <is>
          <t>管内全局二聚体最差 ΔG</t>
        </is>
      </c>
      <c r="J1" s="3" t="inlineStr">
        <is>
          <t>3′端最差 ΔG</t>
        </is>
      </c>
      <c r="K1" s="3" t="inlineStr">
        <is>
          <t>发夹最差 ΔG</t>
        </is>
      </c>
      <c r="L1" s="3" t="inlineStr">
        <is>
          <t>Olivar 总坏度</t>
        </is>
      </c>
      <c r="M1" s="3" t="inlineStr">
        <is>
          <t>人 全长≤3错配位点</t>
        </is>
      </c>
      <c r="N1" s="3" t="inlineStr">
        <is>
          <t>人 ≤4</t>
        </is>
      </c>
      <c r="O1" s="3" t="inlineStr">
        <is>
          <t>猪 全长≤3错配位点</t>
        </is>
      </c>
      <c r="P1" s="3" t="inlineStr">
        <is>
          <t>猪 ≤4</t>
        </is>
      </c>
      <c r="Q1" t="inlineStr">
        <is>
          <t>i5 第1位</t>
        </is>
      </c>
      <c r="R1" t="inlineStr">
        <is>
          <t>i5 第2位</t>
        </is>
      </c>
      <c r="S1" t="inlineStr">
        <is>
          <t>i5 第3位</t>
        </is>
      </c>
      <c r="T1" t="inlineStr">
        <is>
          <t>i5 第4位</t>
        </is>
      </c>
      <c r="U1" t="inlineStr">
        <is>
          <t>i5 第5位</t>
        </is>
      </c>
      <c r="V1" t="inlineStr">
        <is>
          <t>i5 第6位</t>
        </is>
      </c>
      <c r="W1" t="inlineStr">
        <is>
          <t>i5 第7位</t>
        </is>
      </c>
      <c r="X1" t="inlineStr">
        <is>
          <t>i5 第8位</t>
        </is>
      </c>
      <c r="Y1" t="inlineStr">
        <is>
          <t>i5 第9位</t>
        </is>
      </c>
      <c r="Z1" t="inlineStr">
        <is>
          <t>i5 第10位</t>
        </is>
      </c>
      <c r="AA1" t="inlineStr">
        <is>
          <t>i7 第1位</t>
        </is>
      </c>
      <c r="AB1" t="inlineStr">
        <is>
          <t>i7 第2位</t>
        </is>
      </c>
      <c r="AC1" t="inlineStr">
        <is>
          <t>i7 第3位</t>
        </is>
      </c>
      <c r="AD1" t="inlineStr">
        <is>
          <t>i7 第4位</t>
        </is>
      </c>
      <c r="AE1" t="inlineStr">
        <is>
          <t>i7 第5位</t>
        </is>
      </c>
      <c r="AF1" t="inlineStr">
        <is>
          <t>i7 第6位</t>
        </is>
      </c>
      <c r="AG1" t="inlineStr">
        <is>
          <t>i7 第7位</t>
        </is>
      </c>
      <c r="AH1" t="inlineStr">
        <is>
          <t>i7 第8位</t>
        </is>
      </c>
      <c r="AI1" t="inlineStr">
        <is>
          <t>i7 第9位</t>
        </is>
      </c>
      <c r="AJ1" t="inlineStr">
        <is>
          <t>i7 第10位</t>
        </is>
      </c>
    </row>
    <row r="2">
      <c r="A2" s="4" t="n">
        <v>1</v>
      </c>
      <c r="B2" s="4" t="inlineStr">
        <is>
          <t>UDP0004</t>
        </is>
      </c>
      <c r="C2" s="4" t="inlineStr">
        <is>
          <t>是</t>
        </is>
      </c>
      <c r="D2" s="5" t="inlineStr">
        <is>
          <t>TGCCTGGTGG</t>
        </is>
      </c>
      <c r="E2" s="5" t="inlineStr">
        <is>
          <t>CTTATGGAAT</t>
        </is>
      </c>
      <c r="F2" s="4">
        <f>LEN(SUBSTITUTE(SUBSTITUTE(D2,"A",""),"T",""))</f>
        <v/>
      </c>
      <c r="G2" s="4">
        <f>LEN(SUBSTITUTE(SUBSTITUTE(E2,"A",""),"T",""))</f>
        <v/>
      </c>
      <c r="H2" s="6" t="inlineStr">
        <is>
          <t>B</t>
        </is>
      </c>
      <c r="I2" s="4" t="n">
        <v>-8.220000000000001</v>
      </c>
      <c r="J2" s="4" t="n">
        <v>-3.93</v>
      </c>
      <c r="K2" s="4" t="n">
        <v>-1.59</v>
      </c>
      <c r="L2" s="4" t="n">
        <v>167559</v>
      </c>
      <c r="M2" s="4" t="n">
        <v>0</v>
      </c>
      <c r="N2" s="4" t="n">
        <v>0</v>
      </c>
      <c r="O2" s="4" t="n">
        <v>0</v>
      </c>
      <c r="P2" s="4" t="n">
        <v>2</v>
      </c>
      <c r="Q2">
        <f>MID($D2,1,1)</f>
        <v/>
      </c>
      <c r="R2">
        <f>MID($D2,2,1)</f>
        <v/>
      </c>
      <c r="S2">
        <f>MID($D2,3,1)</f>
        <v/>
      </c>
      <c r="T2">
        <f>MID($D2,4,1)</f>
        <v/>
      </c>
      <c r="U2">
        <f>MID($D2,5,1)</f>
        <v/>
      </c>
      <c r="V2">
        <f>MID($D2,6,1)</f>
        <v/>
      </c>
      <c r="W2">
        <f>MID($D2,7,1)</f>
        <v/>
      </c>
      <c r="X2">
        <f>MID($D2,8,1)</f>
        <v/>
      </c>
      <c r="Y2">
        <f>MID($D2,9,1)</f>
        <v/>
      </c>
      <c r="Z2">
        <f>MID($D2,10,1)</f>
        <v/>
      </c>
      <c r="AA2">
        <f>MID($E2,1,1)</f>
        <v/>
      </c>
      <c r="AB2">
        <f>MID($E2,2,1)</f>
        <v/>
      </c>
      <c r="AC2">
        <f>MID($E2,3,1)</f>
        <v/>
      </c>
      <c r="AD2">
        <f>MID($E2,4,1)</f>
        <v/>
      </c>
      <c r="AE2">
        <f>MID($E2,5,1)</f>
        <v/>
      </c>
      <c r="AF2">
        <f>MID($E2,6,1)</f>
        <v/>
      </c>
      <c r="AG2">
        <f>MID($E2,7,1)</f>
        <v/>
      </c>
      <c r="AH2">
        <f>MID($E2,8,1)</f>
        <v/>
      </c>
      <c r="AI2">
        <f>MID($E2,9,1)</f>
        <v/>
      </c>
      <c r="AJ2">
        <f>MID($E2,10,1)</f>
        <v/>
      </c>
    </row>
    <row r="3">
      <c r="A3" s="4" t="n">
        <v>2</v>
      </c>
      <c r="B3" s="4" t="inlineStr">
        <is>
          <t>UDP0013</t>
        </is>
      </c>
      <c r="C3" s="4" t="inlineStr">
        <is>
          <t>是</t>
        </is>
      </c>
      <c r="D3" s="5" t="inlineStr">
        <is>
          <t>ATCACGAAGG</t>
        </is>
      </c>
      <c r="E3" s="5" t="inlineStr">
        <is>
          <t>TAATGGCAAG</t>
        </is>
      </c>
      <c r="F3" s="4">
        <f>LEN(SUBSTITUTE(SUBSTITUTE(D3,"A",""),"T",""))</f>
        <v/>
      </c>
      <c r="G3" s="4">
        <f>LEN(SUBSTITUTE(SUBSTITUTE(E3,"A",""),"T",""))</f>
        <v/>
      </c>
      <c r="H3" s="6" t="inlineStr">
        <is>
          <t>B</t>
        </is>
      </c>
      <c r="I3" s="4" t="n">
        <v>-7.82</v>
      </c>
      <c r="J3" s="4" t="n">
        <v>-3.99</v>
      </c>
      <c r="K3" s="4" t="n">
        <v>-1.77</v>
      </c>
      <c r="L3" s="4" t="n">
        <v>84882</v>
      </c>
      <c r="M3" s="4" t="n">
        <v>0</v>
      </c>
      <c r="N3" s="4" t="n">
        <v>0</v>
      </c>
      <c r="O3" s="4" t="n">
        <v>0</v>
      </c>
      <c r="P3" s="4" t="n">
        <v>0</v>
      </c>
      <c r="Q3">
        <f>MID($D3,1,1)</f>
        <v/>
      </c>
      <c r="R3">
        <f>MID($D3,2,1)</f>
        <v/>
      </c>
      <c r="S3">
        <f>MID($D3,3,1)</f>
        <v/>
      </c>
      <c r="T3">
        <f>MID($D3,4,1)</f>
        <v/>
      </c>
      <c r="U3">
        <f>MID($D3,5,1)</f>
        <v/>
      </c>
      <c r="V3">
        <f>MID($D3,6,1)</f>
        <v/>
      </c>
      <c r="W3">
        <f>MID($D3,7,1)</f>
        <v/>
      </c>
      <c r="X3">
        <f>MID($D3,8,1)</f>
        <v/>
      </c>
      <c r="Y3">
        <f>MID($D3,9,1)</f>
        <v/>
      </c>
      <c r="Z3">
        <f>MID($D3,10,1)</f>
        <v/>
      </c>
      <c r="AA3">
        <f>MID($E3,1,1)</f>
        <v/>
      </c>
      <c r="AB3">
        <f>MID($E3,2,1)</f>
        <v/>
      </c>
      <c r="AC3">
        <f>MID($E3,3,1)</f>
        <v/>
      </c>
      <c r="AD3">
        <f>MID($E3,4,1)</f>
        <v/>
      </c>
      <c r="AE3">
        <f>MID($E3,5,1)</f>
        <v/>
      </c>
      <c r="AF3">
        <f>MID($E3,6,1)</f>
        <v/>
      </c>
      <c r="AG3">
        <f>MID($E3,7,1)</f>
        <v/>
      </c>
      <c r="AH3">
        <f>MID($E3,8,1)</f>
        <v/>
      </c>
      <c r="AI3">
        <f>MID($E3,9,1)</f>
        <v/>
      </c>
      <c r="AJ3">
        <f>MID($E3,10,1)</f>
        <v/>
      </c>
    </row>
    <row r="4">
      <c r="A4" s="4" t="n">
        <v>3</v>
      </c>
      <c r="B4" s="4" t="inlineStr">
        <is>
          <t>UDP0025</t>
        </is>
      </c>
      <c r="C4" s="4" t="inlineStr">
        <is>
          <t>是</t>
        </is>
      </c>
      <c r="D4" s="5" t="inlineStr">
        <is>
          <t>GGCGAGATGG</t>
        </is>
      </c>
      <c r="E4" s="5" t="inlineStr">
        <is>
          <t>TTCTATGGTT</t>
        </is>
      </c>
      <c r="F4" s="4">
        <f>LEN(SUBSTITUTE(SUBSTITUTE(D4,"A",""),"T",""))</f>
        <v/>
      </c>
      <c r="G4" s="4">
        <f>LEN(SUBSTITUTE(SUBSTITUTE(E4,"A",""),"T",""))</f>
        <v/>
      </c>
      <c r="H4" s="6" t="inlineStr">
        <is>
          <t>B</t>
        </is>
      </c>
      <c r="I4" s="4" t="n">
        <v>-7.22</v>
      </c>
      <c r="J4" s="4" t="n">
        <v>-4.53</v>
      </c>
      <c r="K4" s="4" t="n">
        <v>-1.59</v>
      </c>
      <c r="L4" s="4" t="n">
        <v>107258</v>
      </c>
      <c r="M4" s="4" t="n">
        <v>0</v>
      </c>
      <c r="N4" s="4" t="n">
        <v>0</v>
      </c>
      <c r="O4" s="4" t="n">
        <v>0</v>
      </c>
      <c r="P4" s="4" t="n">
        <v>1</v>
      </c>
      <c r="Q4">
        <f>MID($D4,1,1)</f>
        <v/>
      </c>
      <c r="R4">
        <f>MID($D4,2,1)</f>
        <v/>
      </c>
      <c r="S4">
        <f>MID($D4,3,1)</f>
        <v/>
      </c>
      <c r="T4">
        <f>MID($D4,4,1)</f>
        <v/>
      </c>
      <c r="U4">
        <f>MID($D4,5,1)</f>
        <v/>
      </c>
      <c r="V4">
        <f>MID($D4,6,1)</f>
        <v/>
      </c>
      <c r="W4">
        <f>MID($D4,7,1)</f>
        <v/>
      </c>
      <c r="X4">
        <f>MID($D4,8,1)</f>
        <v/>
      </c>
      <c r="Y4">
        <f>MID($D4,9,1)</f>
        <v/>
      </c>
      <c r="Z4">
        <f>MID($D4,10,1)</f>
        <v/>
      </c>
      <c r="AA4">
        <f>MID($E4,1,1)</f>
        <v/>
      </c>
      <c r="AB4">
        <f>MID($E4,2,1)</f>
        <v/>
      </c>
      <c r="AC4">
        <f>MID($E4,3,1)</f>
        <v/>
      </c>
      <c r="AD4">
        <f>MID($E4,4,1)</f>
        <v/>
      </c>
      <c r="AE4">
        <f>MID($E4,5,1)</f>
        <v/>
      </c>
      <c r="AF4">
        <f>MID($E4,6,1)</f>
        <v/>
      </c>
      <c r="AG4">
        <f>MID($E4,7,1)</f>
        <v/>
      </c>
      <c r="AH4">
        <f>MID($E4,8,1)</f>
        <v/>
      </c>
      <c r="AI4">
        <f>MID($E4,9,1)</f>
        <v/>
      </c>
      <c r="AJ4">
        <f>MID($E4,10,1)</f>
        <v/>
      </c>
    </row>
    <row r="5">
      <c r="A5" s="4" t="n">
        <v>4</v>
      </c>
      <c r="B5" s="4" t="inlineStr">
        <is>
          <t>UDP0027</t>
        </is>
      </c>
      <c r="C5" s="4" t="inlineStr">
        <is>
          <t>是</t>
        </is>
      </c>
      <c r="D5" s="5" t="inlineStr">
        <is>
          <t>TCAATCCATT</t>
        </is>
      </c>
      <c r="E5" s="5" t="inlineStr">
        <is>
          <t>TGGATGCTTA</t>
        </is>
      </c>
      <c r="F5" s="4">
        <f>LEN(SUBSTITUTE(SUBSTITUTE(D5,"A",""),"T",""))</f>
        <v/>
      </c>
      <c r="G5" s="4">
        <f>LEN(SUBSTITUTE(SUBSTITUTE(E5,"A",""),"T",""))</f>
        <v/>
      </c>
      <c r="H5" s="7" t="inlineStr">
        <is>
          <t>A</t>
        </is>
      </c>
      <c r="I5" s="4" t="n">
        <v>-6.1</v>
      </c>
      <c r="J5" s="4" t="n">
        <v>-3.79</v>
      </c>
      <c r="K5" s="4" t="n">
        <v>-2.61</v>
      </c>
      <c r="L5" s="4" t="n">
        <v>48463</v>
      </c>
      <c r="M5" s="4" t="n">
        <v>0</v>
      </c>
      <c r="N5" s="4" t="n">
        <v>5</v>
      </c>
      <c r="O5" s="4" t="n">
        <v>0</v>
      </c>
      <c r="P5" s="4" t="n">
        <v>1</v>
      </c>
      <c r="Q5">
        <f>MID($D5,1,1)</f>
        <v/>
      </c>
      <c r="R5">
        <f>MID($D5,2,1)</f>
        <v/>
      </c>
      <c r="S5">
        <f>MID($D5,3,1)</f>
        <v/>
      </c>
      <c r="T5">
        <f>MID($D5,4,1)</f>
        <v/>
      </c>
      <c r="U5">
        <f>MID($D5,5,1)</f>
        <v/>
      </c>
      <c r="V5">
        <f>MID($D5,6,1)</f>
        <v/>
      </c>
      <c r="W5">
        <f>MID($D5,7,1)</f>
        <v/>
      </c>
      <c r="X5">
        <f>MID($D5,8,1)</f>
        <v/>
      </c>
      <c r="Y5">
        <f>MID($D5,9,1)</f>
        <v/>
      </c>
      <c r="Z5">
        <f>MID($D5,10,1)</f>
        <v/>
      </c>
      <c r="AA5">
        <f>MID($E5,1,1)</f>
        <v/>
      </c>
      <c r="AB5">
        <f>MID($E5,2,1)</f>
        <v/>
      </c>
      <c r="AC5">
        <f>MID($E5,3,1)</f>
        <v/>
      </c>
      <c r="AD5">
        <f>MID($E5,4,1)</f>
        <v/>
      </c>
      <c r="AE5">
        <f>MID($E5,5,1)</f>
        <v/>
      </c>
      <c r="AF5">
        <f>MID($E5,6,1)</f>
        <v/>
      </c>
      <c r="AG5">
        <f>MID($E5,7,1)</f>
        <v/>
      </c>
      <c r="AH5">
        <f>MID($E5,8,1)</f>
        <v/>
      </c>
      <c r="AI5">
        <f>MID($E5,9,1)</f>
        <v/>
      </c>
      <c r="AJ5">
        <f>MID($E5,10,1)</f>
        <v/>
      </c>
    </row>
    <row r="6">
      <c r="A6" s="4" t="n">
        <v>5</v>
      </c>
      <c r="B6" s="4" t="inlineStr">
        <is>
          <t>UDP0033</t>
        </is>
      </c>
      <c r="C6" s="4" t="inlineStr">
        <is>
          <t>是</t>
        </is>
      </c>
      <c r="D6" s="5" t="inlineStr">
        <is>
          <t>GTCGATTACA</t>
        </is>
      </c>
      <c r="E6" s="5" t="inlineStr">
        <is>
          <t>CGTATAATCA</t>
        </is>
      </c>
      <c r="F6" s="4">
        <f>LEN(SUBSTITUTE(SUBSTITUTE(D6,"A",""),"T",""))</f>
        <v/>
      </c>
      <c r="G6" s="4">
        <f>LEN(SUBSTITUTE(SUBSTITUTE(E6,"A",""),"T",""))</f>
        <v/>
      </c>
      <c r="H6" s="7" t="inlineStr">
        <is>
          <t>A</t>
        </is>
      </c>
      <c r="I6" s="4" t="n">
        <v>-6.44</v>
      </c>
      <c r="J6" s="4" t="n">
        <v>-3.83</v>
      </c>
      <c r="K6" s="4" t="n">
        <v>-2.61</v>
      </c>
      <c r="L6" s="4" t="n">
        <v>43551</v>
      </c>
      <c r="M6" s="4" t="n">
        <v>0</v>
      </c>
      <c r="N6" s="4" t="n">
        <v>0</v>
      </c>
      <c r="O6" s="4" t="n">
        <v>0</v>
      </c>
      <c r="P6" s="4" t="n">
        <v>0</v>
      </c>
      <c r="Q6">
        <f>MID($D6,1,1)</f>
        <v/>
      </c>
      <c r="R6">
        <f>MID($D6,2,1)</f>
        <v/>
      </c>
      <c r="S6">
        <f>MID($D6,3,1)</f>
        <v/>
      </c>
      <c r="T6">
        <f>MID($D6,4,1)</f>
        <v/>
      </c>
      <c r="U6">
        <f>MID($D6,5,1)</f>
        <v/>
      </c>
      <c r="V6">
        <f>MID($D6,6,1)</f>
        <v/>
      </c>
      <c r="W6">
        <f>MID($D6,7,1)</f>
        <v/>
      </c>
      <c r="X6">
        <f>MID($D6,8,1)</f>
        <v/>
      </c>
      <c r="Y6">
        <f>MID($D6,9,1)</f>
        <v/>
      </c>
      <c r="Z6">
        <f>MID($D6,10,1)</f>
        <v/>
      </c>
      <c r="AA6">
        <f>MID($E6,1,1)</f>
        <v/>
      </c>
      <c r="AB6">
        <f>MID($E6,2,1)</f>
        <v/>
      </c>
      <c r="AC6">
        <f>MID($E6,3,1)</f>
        <v/>
      </c>
      <c r="AD6">
        <f>MID($E6,4,1)</f>
        <v/>
      </c>
      <c r="AE6">
        <f>MID($E6,5,1)</f>
        <v/>
      </c>
      <c r="AF6">
        <f>MID($E6,6,1)</f>
        <v/>
      </c>
      <c r="AG6">
        <f>MID($E6,7,1)</f>
        <v/>
      </c>
      <c r="AH6">
        <f>MID($E6,8,1)</f>
        <v/>
      </c>
      <c r="AI6">
        <f>MID($E6,9,1)</f>
        <v/>
      </c>
      <c r="AJ6">
        <f>MID($E6,10,1)</f>
        <v/>
      </c>
    </row>
    <row r="7">
      <c r="A7" s="4" t="n">
        <v>6</v>
      </c>
      <c r="B7" s="4" t="inlineStr">
        <is>
          <t>UDP0057</t>
        </is>
      </c>
      <c r="C7" s="4" t="inlineStr">
        <is>
          <t>是</t>
        </is>
      </c>
      <c r="D7" s="5" t="inlineStr">
        <is>
          <t>CGTCGACTGG</t>
        </is>
      </c>
      <c r="E7" s="5" t="inlineStr">
        <is>
          <t>TTAGGATAGA</t>
        </is>
      </c>
      <c r="F7" s="4">
        <f>LEN(SUBSTITUTE(SUBSTITUTE(D7,"A",""),"T",""))</f>
        <v/>
      </c>
      <c r="G7" s="4">
        <f>LEN(SUBSTITUTE(SUBSTITUTE(E7,"A",""),"T",""))</f>
        <v/>
      </c>
      <c r="H7" s="6" t="inlineStr">
        <is>
          <t>B</t>
        </is>
      </c>
      <c r="I7" s="4" t="n">
        <v>-7.93</v>
      </c>
      <c r="J7" s="4" t="n">
        <v>-4.39</v>
      </c>
      <c r="K7" s="4" t="n">
        <v>-2.61</v>
      </c>
      <c r="L7" s="4" t="n">
        <v>181301</v>
      </c>
      <c r="M7" s="4" t="n">
        <v>0</v>
      </c>
      <c r="N7" s="4" t="n">
        <v>1</v>
      </c>
      <c r="O7" s="4" t="n">
        <v>0</v>
      </c>
      <c r="P7" s="4" t="n">
        <v>0</v>
      </c>
      <c r="Q7">
        <f>MID($D7,1,1)</f>
        <v/>
      </c>
      <c r="R7">
        <f>MID($D7,2,1)</f>
        <v/>
      </c>
      <c r="S7">
        <f>MID($D7,3,1)</f>
        <v/>
      </c>
      <c r="T7">
        <f>MID($D7,4,1)</f>
        <v/>
      </c>
      <c r="U7">
        <f>MID($D7,5,1)</f>
        <v/>
      </c>
      <c r="V7">
        <f>MID($D7,6,1)</f>
        <v/>
      </c>
      <c r="W7">
        <f>MID($D7,7,1)</f>
        <v/>
      </c>
      <c r="X7">
        <f>MID($D7,8,1)</f>
        <v/>
      </c>
      <c r="Y7">
        <f>MID($D7,9,1)</f>
        <v/>
      </c>
      <c r="Z7">
        <f>MID($D7,10,1)</f>
        <v/>
      </c>
      <c r="AA7">
        <f>MID($E7,1,1)</f>
        <v/>
      </c>
      <c r="AB7">
        <f>MID($E7,2,1)</f>
        <v/>
      </c>
      <c r="AC7">
        <f>MID($E7,3,1)</f>
        <v/>
      </c>
      <c r="AD7">
        <f>MID($E7,4,1)</f>
        <v/>
      </c>
      <c r="AE7">
        <f>MID($E7,5,1)</f>
        <v/>
      </c>
      <c r="AF7">
        <f>MID($E7,6,1)</f>
        <v/>
      </c>
      <c r="AG7">
        <f>MID($E7,7,1)</f>
        <v/>
      </c>
      <c r="AH7">
        <f>MID($E7,8,1)</f>
        <v/>
      </c>
      <c r="AI7">
        <f>MID($E7,9,1)</f>
        <v/>
      </c>
      <c r="AJ7">
        <f>MID($E7,10,1)</f>
        <v/>
      </c>
    </row>
    <row r="8">
      <c r="A8" s="4" t="n">
        <v>7</v>
      </c>
      <c r="B8" s="4" t="inlineStr">
        <is>
          <t>UDP0059</t>
        </is>
      </c>
      <c r="C8" s="4" t="inlineStr">
        <is>
          <t>是</t>
        </is>
      </c>
      <c r="D8" s="5" t="inlineStr">
        <is>
          <t>ATAGACCGTT</t>
        </is>
      </c>
      <c r="E8" s="5" t="inlineStr">
        <is>
          <t>GGACCAACAG</t>
        </is>
      </c>
      <c r="F8" s="4">
        <f>LEN(SUBSTITUTE(SUBSTITUTE(D8,"A",""),"T",""))</f>
        <v/>
      </c>
      <c r="G8" s="4">
        <f>LEN(SUBSTITUTE(SUBSTITUTE(E8,"A",""),"T",""))</f>
        <v/>
      </c>
      <c r="H8" s="7" t="inlineStr">
        <is>
          <t>A</t>
        </is>
      </c>
      <c r="I8" s="4" t="n">
        <v>-6.23</v>
      </c>
      <c r="J8" s="4" t="n">
        <v>-4.41</v>
      </c>
      <c r="K8" s="4" t="n">
        <v>-1.77</v>
      </c>
      <c r="L8" s="4" t="n">
        <v>36992</v>
      </c>
      <c r="M8" s="4" t="n">
        <v>0</v>
      </c>
      <c r="N8" s="4" t="n">
        <v>0</v>
      </c>
      <c r="O8" s="4" t="n">
        <v>0</v>
      </c>
      <c r="P8" s="4" t="n">
        <v>0</v>
      </c>
      <c r="Q8">
        <f>MID($D8,1,1)</f>
        <v/>
      </c>
      <c r="R8">
        <f>MID($D8,2,1)</f>
        <v/>
      </c>
      <c r="S8">
        <f>MID($D8,3,1)</f>
        <v/>
      </c>
      <c r="T8">
        <f>MID($D8,4,1)</f>
        <v/>
      </c>
      <c r="U8">
        <f>MID($D8,5,1)</f>
        <v/>
      </c>
      <c r="V8">
        <f>MID($D8,6,1)</f>
        <v/>
      </c>
      <c r="W8">
        <f>MID($D8,7,1)</f>
        <v/>
      </c>
      <c r="X8">
        <f>MID($D8,8,1)</f>
        <v/>
      </c>
      <c r="Y8">
        <f>MID($D8,9,1)</f>
        <v/>
      </c>
      <c r="Z8">
        <f>MID($D8,10,1)</f>
        <v/>
      </c>
      <c r="AA8">
        <f>MID($E8,1,1)</f>
        <v/>
      </c>
      <c r="AB8">
        <f>MID($E8,2,1)</f>
        <v/>
      </c>
      <c r="AC8">
        <f>MID($E8,3,1)</f>
        <v/>
      </c>
      <c r="AD8">
        <f>MID($E8,4,1)</f>
        <v/>
      </c>
      <c r="AE8">
        <f>MID($E8,5,1)</f>
        <v/>
      </c>
      <c r="AF8">
        <f>MID($E8,6,1)</f>
        <v/>
      </c>
      <c r="AG8">
        <f>MID($E8,7,1)</f>
        <v/>
      </c>
      <c r="AH8">
        <f>MID($E8,8,1)</f>
        <v/>
      </c>
      <c r="AI8">
        <f>MID($E8,9,1)</f>
        <v/>
      </c>
      <c r="AJ8">
        <f>MID($E8,10,1)</f>
        <v/>
      </c>
    </row>
    <row r="9">
      <c r="A9" s="4" t="n">
        <v>8</v>
      </c>
      <c r="B9" s="4" t="inlineStr">
        <is>
          <t>UDP0060</t>
        </is>
      </c>
      <c r="C9" s="4" t="inlineStr">
        <is>
          <t>是</t>
        </is>
      </c>
      <c r="D9" s="5" t="inlineStr">
        <is>
          <t>ACAGTTCCAG</t>
        </is>
      </c>
      <c r="E9" s="5" t="inlineStr">
        <is>
          <t>TTCCAGGTAA</t>
        </is>
      </c>
      <c r="F9" s="4">
        <f>LEN(SUBSTITUTE(SUBSTITUTE(D9,"A",""),"T",""))</f>
        <v/>
      </c>
      <c r="G9" s="4">
        <f>LEN(SUBSTITUTE(SUBSTITUTE(E9,"A",""),"T",""))</f>
        <v/>
      </c>
      <c r="H9" s="6" t="inlineStr">
        <is>
          <t>B</t>
        </is>
      </c>
      <c r="I9" s="4" t="n">
        <v>-8.210000000000001</v>
      </c>
      <c r="J9" s="4" t="n">
        <v>-5.43</v>
      </c>
      <c r="K9" s="4" t="n">
        <v>-2.61</v>
      </c>
      <c r="L9" s="4" t="n">
        <v>154331</v>
      </c>
      <c r="M9" s="4" t="n">
        <v>0</v>
      </c>
      <c r="N9" s="4" t="n">
        <v>2</v>
      </c>
      <c r="O9" s="4" t="n">
        <v>0</v>
      </c>
      <c r="P9" s="4" t="n">
        <v>3</v>
      </c>
      <c r="Q9">
        <f>MID($D9,1,1)</f>
        <v/>
      </c>
      <c r="R9">
        <f>MID($D9,2,1)</f>
        <v/>
      </c>
      <c r="S9">
        <f>MID($D9,3,1)</f>
        <v/>
      </c>
      <c r="T9">
        <f>MID($D9,4,1)</f>
        <v/>
      </c>
      <c r="U9">
        <f>MID($D9,5,1)</f>
        <v/>
      </c>
      <c r="V9">
        <f>MID($D9,6,1)</f>
        <v/>
      </c>
      <c r="W9">
        <f>MID($D9,7,1)</f>
        <v/>
      </c>
      <c r="X9">
        <f>MID($D9,8,1)</f>
        <v/>
      </c>
      <c r="Y9">
        <f>MID($D9,9,1)</f>
        <v/>
      </c>
      <c r="Z9">
        <f>MID($D9,10,1)</f>
        <v/>
      </c>
      <c r="AA9">
        <f>MID($E9,1,1)</f>
        <v/>
      </c>
      <c r="AB9">
        <f>MID($E9,2,1)</f>
        <v/>
      </c>
      <c r="AC9">
        <f>MID($E9,3,1)</f>
        <v/>
      </c>
      <c r="AD9">
        <f>MID($E9,4,1)</f>
        <v/>
      </c>
      <c r="AE9">
        <f>MID($E9,5,1)</f>
        <v/>
      </c>
      <c r="AF9">
        <f>MID($E9,6,1)</f>
        <v/>
      </c>
      <c r="AG9">
        <f>MID($E9,7,1)</f>
        <v/>
      </c>
      <c r="AH9">
        <f>MID($E9,8,1)</f>
        <v/>
      </c>
      <c r="AI9">
        <f>MID($E9,9,1)</f>
        <v/>
      </c>
      <c r="AJ9">
        <f>MID($E9,10,1)</f>
        <v/>
      </c>
    </row>
    <row r="10">
      <c r="A10" s="4" t="n">
        <v>9</v>
      </c>
      <c r="B10" s="4" t="inlineStr">
        <is>
          <t>UDP0080</t>
        </is>
      </c>
      <c r="C10" s="4" t="inlineStr">
        <is>
          <t>是</t>
        </is>
      </c>
      <c r="D10" s="5" t="inlineStr">
        <is>
          <t>CAAGCATCCG</t>
        </is>
      </c>
      <c r="E10" s="5" t="inlineStr">
        <is>
          <t>CTGGCTTGCC</t>
        </is>
      </c>
      <c r="F10" s="4">
        <f>LEN(SUBSTITUTE(SUBSTITUTE(D10,"A",""),"T",""))</f>
        <v/>
      </c>
      <c r="G10" s="4">
        <f>LEN(SUBSTITUTE(SUBSTITUTE(E10,"A",""),"T",""))</f>
        <v/>
      </c>
      <c r="H10" s="6" t="inlineStr">
        <is>
          <t>B</t>
        </is>
      </c>
      <c r="I10" s="4" t="n">
        <v>-8.449999999999999</v>
      </c>
      <c r="J10" s="4" t="n">
        <v>-4.43</v>
      </c>
      <c r="K10" s="4" t="n">
        <v>-1.62</v>
      </c>
      <c r="L10" s="4" t="n">
        <v>122661</v>
      </c>
      <c r="M10" s="4" t="n">
        <v>0</v>
      </c>
      <c r="N10" s="4" t="n">
        <v>1</v>
      </c>
      <c r="O10" s="4" t="n">
        <v>0</v>
      </c>
      <c r="P10" s="4" t="n">
        <v>0</v>
      </c>
      <c r="Q10">
        <f>MID($D10,1,1)</f>
        <v/>
      </c>
      <c r="R10">
        <f>MID($D10,2,1)</f>
        <v/>
      </c>
      <c r="S10">
        <f>MID($D10,3,1)</f>
        <v/>
      </c>
      <c r="T10">
        <f>MID($D10,4,1)</f>
        <v/>
      </c>
      <c r="U10">
        <f>MID($D10,5,1)</f>
        <v/>
      </c>
      <c r="V10">
        <f>MID($D10,6,1)</f>
        <v/>
      </c>
      <c r="W10">
        <f>MID($D10,7,1)</f>
        <v/>
      </c>
      <c r="X10">
        <f>MID($D10,8,1)</f>
        <v/>
      </c>
      <c r="Y10">
        <f>MID($D10,9,1)</f>
        <v/>
      </c>
      <c r="Z10">
        <f>MID($D10,10,1)</f>
        <v/>
      </c>
      <c r="AA10">
        <f>MID($E10,1,1)</f>
        <v/>
      </c>
      <c r="AB10">
        <f>MID($E10,2,1)</f>
        <v/>
      </c>
      <c r="AC10">
        <f>MID($E10,3,1)</f>
        <v/>
      </c>
      <c r="AD10">
        <f>MID($E10,4,1)</f>
        <v/>
      </c>
      <c r="AE10">
        <f>MID($E10,5,1)</f>
        <v/>
      </c>
      <c r="AF10">
        <f>MID($E10,6,1)</f>
        <v/>
      </c>
      <c r="AG10">
        <f>MID($E10,7,1)</f>
        <v/>
      </c>
      <c r="AH10">
        <f>MID($E10,8,1)</f>
        <v/>
      </c>
      <c r="AI10">
        <f>MID($E10,9,1)</f>
        <v/>
      </c>
      <c r="AJ10">
        <f>MID($E10,10,1)</f>
        <v/>
      </c>
    </row>
    <row r="11">
      <c r="A11" s="4" t="n">
        <v>10</v>
      </c>
      <c r="B11" s="4" t="inlineStr">
        <is>
          <t>UDP0089</t>
        </is>
      </c>
      <c r="C11" s="4" t="inlineStr">
        <is>
          <t>是</t>
        </is>
      </c>
      <c r="D11" s="5" t="inlineStr">
        <is>
          <t>CGTGTATCTT</t>
        </is>
      </c>
      <c r="E11" s="5" t="inlineStr">
        <is>
          <t>GCTTACGGAC</t>
        </is>
      </c>
      <c r="F11" s="4">
        <f>LEN(SUBSTITUTE(SUBSTITUTE(D11,"A",""),"T",""))</f>
        <v/>
      </c>
      <c r="G11" s="4">
        <f>LEN(SUBSTITUTE(SUBSTITUTE(E11,"A",""),"T",""))</f>
        <v/>
      </c>
      <c r="H11" s="7" t="inlineStr">
        <is>
          <t>A</t>
        </is>
      </c>
      <c r="I11" s="4" t="n">
        <v>-5.74</v>
      </c>
      <c r="J11" s="4" t="n">
        <v>-3.79</v>
      </c>
      <c r="K11" s="4" t="n">
        <v>-1.62</v>
      </c>
      <c r="L11" s="4" t="n">
        <v>47574</v>
      </c>
      <c r="M11" s="4" t="n">
        <v>0</v>
      </c>
      <c r="N11" s="4" t="n">
        <v>0</v>
      </c>
      <c r="O11" s="4" t="n">
        <v>0</v>
      </c>
      <c r="P11" s="4" t="n">
        <v>0</v>
      </c>
      <c r="Q11">
        <f>MID($D11,1,1)</f>
        <v/>
      </c>
      <c r="R11">
        <f>MID($D11,2,1)</f>
        <v/>
      </c>
      <c r="S11">
        <f>MID($D11,3,1)</f>
        <v/>
      </c>
      <c r="T11">
        <f>MID($D11,4,1)</f>
        <v/>
      </c>
      <c r="U11">
        <f>MID($D11,5,1)</f>
        <v/>
      </c>
      <c r="V11">
        <f>MID($D11,6,1)</f>
        <v/>
      </c>
      <c r="W11">
        <f>MID($D11,7,1)</f>
        <v/>
      </c>
      <c r="X11">
        <f>MID($D11,8,1)</f>
        <v/>
      </c>
      <c r="Y11">
        <f>MID($D11,9,1)</f>
        <v/>
      </c>
      <c r="Z11">
        <f>MID($D11,10,1)</f>
        <v/>
      </c>
      <c r="AA11">
        <f>MID($E11,1,1)</f>
        <v/>
      </c>
      <c r="AB11">
        <f>MID($E11,2,1)</f>
        <v/>
      </c>
      <c r="AC11">
        <f>MID($E11,3,1)</f>
        <v/>
      </c>
      <c r="AD11">
        <f>MID($E11,4,1)</f>
        <v/>
      </c>
      <c r="AE11">
        <f>MID($E11,5,1)</f>
        <v/>
      </c>
      <c r="AF11">
        <f>MID($E11,6,1)</f>
        <v/>
      </c>
      <c r="AG11">
        <f>MID($E11,7,1)</f>
        <v/>
      </c>
      <c r="AH11">
        <f>MID($E11,8,1)</f>
        <v/>
      </c>
      <c r="AI11">
        <f>MID($E11,9,1)</f>
        <v/>
      </c>
      <c r="AJ11">
        <f>MID($E11,10,1)</f>
        <v/>
      </c>
    </row>
    <row r="12">
      <c r="A12" s="4" t="n">
        <v>11</v>
      </c>
      <c r="B12" s="4" t="inlineStr">
        <is>
          <t>UDP0092</t>
        </is>
      </c>
      <c r="C12" s="4" t="inlineStr">
        <is>
          <t>是</t>
        </is>
      </c>
      <c r="D12" s="5" t="inlineStr">
        <is>
          <t>ACATACTTCC</t>
        </is>
      </c>
      <c r="E12" s="5" t="inlineStr">
        <is>
          <t>ATACCAACGC</t>
        </is>
      </c>
      <c r="F12" s="4">
        <f>LEN(SUBSTITUTE(SUBSTITUTE(D12,"A",""),"T",""))</f>
        <v/>
      </c>
      <c r="G12" s="4">
        <f>LEN(SUBSTITUTE(SUBSTITUTE(E12,"A",""),"T",""))</f>
        <v/>
      </c>
      <c r="H12" s="6" t="inlineStr">
        <is>
          <t>B</t>
        </is>
      </c>
      <c r="I12" s="4" t="n">
        <v>-7.55</v>
      </c>
      <c r="J12" s="4" t="n">
        <v>-4.54</v>
      </c>
      <c r="K12" s="4" t="n">
        <v>-1.98</v>
      </c>
      <c r="L12" s="4" t="n">
        <v>146091</v>
      </c>
      <c r="M12" s="4" t="n">
        <v>0</v>
      </c>
      <c r="N12" s="4" t="n">
        <v>0</v>
      </c>
      <c r="O12" s="4" t="n">
        <v>0</v>
      </c>
      <c r="P12" s="4" t="n">
        <v>0</v>
      </c>
      <c r="Q12">
        <f>MID($D12,1,1)</f>
        <v/>
      </c>
      <c r="R12">
        <f>MID($D12,2,1)</f>
        <v/>
      </c>
      <c r="S12">
        <f>MID($D12,3,1)</f>
        <v/>
      </c>
      <c r="T12">
        <f>MID($D12,4,1)</f>
        <v/>
      </c>
      <c r="U12">
        <f>MID($D12,5,1)</f>
        <v/>
      </c>
      <c r="V12">
        <f>MID($D12,6,1)</f>
        <v/>
      </c>
      <c r="W12">
        <f>MID($D12,7,1)</f>
        <v/>
      </c>
      <c r="X12">
        <f>MID($D12,8,1)</f>
        <v/>
      </c>
      <c r="Y12">
        <f>MID($D12,9,1)</f>
        <v/>
      </c>
      <c r="Z12">
        <f>MID($D12,10,1)</f>
        <v/>
      </c>
      <c r="AA12">
        <f>MID($E12,1,1)</f>
        <v/>
      </c>
      <c r="AB12">
        <f>MID($E12,2,1)</f>
        <v/>
      </c>
      <c r="AC12">
        <f>MID($E12,3,1)</f>
        <v/>
      </c>
      <c r="AD12">
        <f>MID($E12,4,1)</f>
        <v/>
      </c>
      <c r="AE12">
        <f>MID($E12,5,1)</f>
        <v/>
      </c>
      <c r="AF12">
        <f>MID($E12,6,1)</f>
        <v/>
      </c>
      <c r="AG12">
        <f>MID($E12,7,1)</f>
        <v/>
      </c>
      <c r="AH12">
        <f>MID($E12,8,1)</f>
        <v/>
      </c>
      <c r="AI12">
        <f>MID($E12,9,1)</f>
        <v/>
      </c>
      <c r="AJ12">
        <f>MID($E12,10,1)</f>
        <v/>
      </c>
    </row>
    <row r="13">
      <c r="A13" s="4" t="n">
        <v>12</v>
      </c>
      <c r="B13" s="4" t="inlineStr">
        <is>
          <t>UDP0109</t>
        </is>
      </c>
      <c r="C13" s="4" t="inlineStr">
        <is>
          <t>是</t>
        </is>
      </c>
      <c r="D13" s="5" t="inlineStr">
        <is>
          <t>GTAGCCATCA</t>
        </is>
      </c>
      <c r="E13" s="5" t="inlineStr">
        <is>
          <t>TAATTCTACC</t>
        </is>
      </c>
      <c r="F13" s="4">
        <f>LEN(SUBSTITUTE(SUBSTITUTE(D13,"A",""),"T",""))</f>
        <v/>
      </c>
      <c r="G13" s="4">
        <f>LEN(SUBSTITUTE(SUBSTITUTE(E13,"A",""),"T",""))</f>
        <v/>
      </c>
      <c r="H13" s="7" t="inlineStr">
        <is>
          <t>A</t>
        </is>
      </c>
      <c r="I13" s="4" t="n">
        <v>-6.03</v>
      </c>
      <c r="J13" s="4" t="n">
        <v>-3.83</v>
      </c>
      <c r="K13" s="4" t="n">
        <v>-1.62</v>
      </c>
      <c r="L13" s="4" t="n">
        <v>92341</v>
      </c>
      <c r="M13" s="4" t="n">
        <v>0</v>
      </c>
      <c r="N13" s="4" t="n">
        <v>1</v>
      </c>
      <c r="O13" s="4" t="n">
        <v>0</v>
      </c>
      <c r="P13" s="4" t="n">
        <v>0</v>
      </c>
      <c r="Q13">
        <f>MID($D13,1,1)</f>
        <v/>
      </c>
      <c r="R13">
        <f>MID($D13,2,1)</f>
        <v/>
      </c>
      <c r="S13">
        <f>MID($D13,3,1)</f>
        <v/>
      </c>
      <c r="T13">
        <f>MID($D13,4,1)</f>
        <v/>
      </c>
      <c r="U13">
        <f>MID($D13,5,1)</f>
        <v/>
      </c>
      <c r="V13">
        <f>MID($D13,6,1)</f>
        <v/>
      </c>
      <c r="W13">
        <f>MID($D13,7,1)</f>
        <v/>
      </c>
      <c r="X13">
        <f>MID($D13,8,1)</f>
        <v/>
      </c>
      <c r="Y13">
        <f>MID($D13,9,1)</f>
        <v/>
      </c>
      <c r="Z13">
        <f>MID($D13,10,1)</f>
        <v/>
      </c>
      <c r="AA13">
        <f>MID($E13,1,1)</f>
        <v/>
      </c>
      <c r="AB13">
        <f>MID($E13,2,1)</f>
        <v/>
      </c>
      <c r="AC13">
        <f>MID($E13,3,1)</f>
        <v/>
      </c>
      <c r="AD13">
        <f>MID($E13,4,1)</f>
        <v/>
      </c>
      <c r="AE13">
        <f>MID($E13,5,1)</f>
        <v/>
      </c>
      <c r="AF13">
        <f>MID($E13,6,1)</f>
        <v/>
      </c>
      <c r="AG13">
        <f>MID($E13,7,1)</f>
        <v/>
      </c>
      <c r="AH13">
        <f>MID($E13,8,1)</f>
        <v/>
      </c>
      <c r="AI13">
        <f>MID($E13,9,1)</f>
        <v/>
      </c>
      <c r="AJ13">
        <f>MID($E13,10,1)</f>
        <v/>
      </c>
    </row>
    <row r="14">
      <c r="A14" s="4" t="n">
        <v>13</v>
      </c>
      <c r="B14" s="4" t="inlineStr">
        <is>
          <t>UDP0116</t>
        </is>
      </c>
      <c r="C14" s="4" t="inlineStr">
        <is>
          <t>是</t>
        </is>
      </c>
      <c r="D14" s="5" t="inlineStr">
        <is>
          <t>TCCAAGAATT</t>
        </is>
      </c>
      <c r="E14" s="5" t="inlineStr">
        <is>
          <t>CTTCGCCGAT</t>
        </is>
      </c>
      <c r="F14" s="4">
        <f>LEN(SUBSTITUTE(SUBSTITUTE(D14,"A",""),"T",""))</f>
        <v/>
      </c>
      <c r="G14" s="4">
        <f>LEN(SUBSTITUTE(SUBSTITUTE(E14,"A",""),"T",""))</f>
        <v/>
      </c>
      <c r="H14" s="7" t="inlineStr">
        <is>
          <t>A</t>
        </is>
      </c>
      <c r="I14" s="4" t="n">
        <v>-6.11</v>
      </c>
      <c r="J14" s="4" t="n">
        <v>-3.79</v>
      </c>
      <c r="K14" s="4" t="n">
        <v>-1.59</v>
      </c>
      <c r="L14" s="4" t="n">
        <v>53142</v>
      </c>
      <c r="M14" s="4" t="n">
        <v>0</v>
      </c>
      <c r="N14" s="4" t="n">
        <v>0</v>
      </c>
      <c r="O14" s="4" t="n">
        <v>0</v>
      </c>
      <c r="P14" s="4" t="n">
        <v>0</v>
      </c>
      <c r="Q14">
        <f>MID($D14,1,1)</f>
        <v/>
      </c>
      <c r="R14">
        <f>MID($D14,2,1)</f>
        <v/>
      </c>
      <c r="S14">
        <f>MID($D14,3,1)</f>
        <v/>
      </c>
      <c r="T14">
        <f>MID($D14,4,1)</f>
        <v/>
      </c>
      <c r="U14">
        <f>MID($D14,5,1)</f>
        <v/>
      </c>
      <c r="V14">
        <f>MID($D14,6,1)</f>
        <v/>
      </c>
      <c r="W14">
        <f>MID($D14,7,1)</f>
        <v/>
      </c>
      <c r="X14">
        <f>MID($D14,8,1)</f>
        <v/>
      </c>
      <c r="Y14">
        <f>MID($D14,9,1)</f>
        <v/>
      </c>
      <c r="Z14">
        <f>MID($D14,10,1)</f>
        <v/>
      </c>
      <c r="AA14">
        <f>MID($E14,1,1)</f>
        <v/>
      </c>
      <c r="AB14">
        <f>MID($E14,2,1)</f>
        <v/>
      </c>
      <c r="AC14">
        <f>MID($E14,3,1)</f>
        <v/>
      </c>
      <c r="AD14">
        <f>MID($E14,4,1)</f>
        <v/>
      </c>
      <c r="AE14">
        <f>MID($E14,5,1)</f>
        <v/>
      </c>
      <c r="AF14">
        <f>MID($E14,6,1)</f>
        <v/>
      </c>
      <c r="AG14">
        <f>MID($E14,7,1)</f>
        <v/>
      </c>
      <c r="AH14">
        <f>MID($E14,8,1)</f>
        <v/>
      </c>
      <c r="AI14">
        <f>MID($E14,9,1)</f>
        <v/>
      </c>
      <c r="AJ14">
        <f>MID($E14,10,1)</f>
        <v/>
      </c>
    </row>
    <row r="15">
      <c r="A15" s="4" t="n">
        <v>14</v>
      </c>
      <c r="B15" s="4" t="inlineStr">
        <is>
          <t>UDP0133</t>
        </is>
      </c>
      <c r="C15" s="4" t="inlineStr">
        <is>
          <t>是</t>
        </is>
      </c>
      <c r="D15" s="5" t="inlineStr">
        <is>
          <t>ATACCTGGAT</t>
        </is>
      </c>
      <c r="E15" s="5" t="inlineStr">
        <is>
          <t>CGGCCTCGTT</t>
        </is>
      </c>
      <c r="F15" s="4">
        <f>LEN(SUBSTITUTE(SUBSTITUTE(D15,"A",""),"T",""))</f>
        <v/>
      </c>
      <c r="G15" s="4">
        <f>LEN(SUBSTITUTE(SUBSTITUTE(E15,"A",""),"T",""))</f>
        <v/>
      </c>
      <c r="H15" s="7" t="inlineStr">
        <is>
          <t>A</t>
        </is>
      </c>
      <c r="I15" s="4" t="n">
        <v>-6.9</v>
      </c>
      <c r="J15" s="4" t="n">
        <v>-4.17</v>
      </c>
      <c r="K15" s="4" t="n">
        <v>-1.6</v>
      </c>
      <c r="L15" s="4" t="n">
        <v>161445</v>
      </c>
      <c r="M15" s="4" t="n">
        <v>0</v>
      </c>
      <c r="N15" s="4" t="n">
        <v>0</v>
      </c>
      <c r="O15" s="4" t="n">
        <v>0</v>
      </c>
      <c r="P15" s="4" t="n">
        <v>1</v>
      </c>
      <c r="Q15">
        <f>MID($D15,1,1)</f>
        <v/>
      </c>
      <c r="R15">
        <f>MID($D15,2,1)</f>
        <v/>
      </c>
      <c r="S15">
        <f>MID($D15,3,1)</f>
        <v/>
      </c>
      <c r="T15">
        <f>MID($D15,4,1)</f>
        <v/>
      </c>
      <c r="U15">
        <f>MID($D15,5,1)</f>
        <v/>
      </c>
      <c r="V15">
        <f>MID($D15,6,1)</f>
        <v/>
      </c>
      <c r="W15">
        <f>MID($D15,7,1)</f>
        <v/>
      </c>
      <c r="X15">
        <f>MID($D15,8,1)</f>
        <v/>
      </c>
      <c r="Y15">
        <f>MID($D15,9,1)</f>
        <v/>
      </c>
      <c r="Z15">
        <f>MID($D15,10,1)</f>
        <v/>
      </c>
      <c r="AA15">
        <f>MID($E15,1,1)</f>
        <v/>
      </c>
      <c r="AB15">
        <f>MID($E15,2,1)</f>
        <v/>
      </c>
      <c r="AC15">
        <f>MID($E15,3,1)</f>
        <v/>
      </c>
      <c r="AD15">
        <f>MID($E15,4,1)</f>
        <v/>
      </c>
      <c r="AE15">
        <f>MID($E15,5,1)</f>
        <v/>
      </c>
      <c r="AF15">
        <f>MID($E15,6,1)</f>
        <v/>
      </c>
      <c r="AG15">
        <f>MID($E15,7,1)</f>
        <v/>
      </c>
      <c r="AH15">
        <f>MID($E15,8,1)</f>
        <v/>
      </c>
      <c r="AI15">
        <f>MID($E15,9,1)</f>
        <v/>
      </c>
      <c r="AJ15">
        <f>MID($E15,10,1)</f>
        <v/>
      </c>
    </row>
    <row r="16">
      <c r="A16" s="4" t="n">
        <v>15</v>
      </c>
      <c r="B16" s="4" t="inlineStr">
        <is>
          <t>UDP0153</t>
        </is>
      </c>
      <c r="C16" s="4" t="inlineStr">
        <is>
          <t>是</t>
        </is>
      </c>
      <c r="D16" s="5" t="inlineStr">
        <is>
          <t>TATTCCTCAG</t>
        </is>
      </c>
      <c r="E16" s="5" t="inlineStr">
        <is>
          <t>TTCAGCGTGG</t>
        </is>
      </c>
      <c r="F16" s="4">
        <f>LEN(SUBSTITUTE(SUBSTITUTE(D16,"A",""),"T",""))</f>
        <v/>
      </c>
      <c r="G16" s="4">
        <f>LEN(SUBSTITUTE(SUBSTITUTE(E16,"A",""),"T",""))</f>
        <v/>
      </c>
      <c r="H16" s="6" t="inlineStr">
        <is>
          <t>B</t>
        </is>
      </c>
      <c r="I16" s="4" t="n">
        <v>-7.82</v>
      </c>
      <c r="J16" s="4" t="n">
        <v>-4.68</v>
      </c>
      <c r="K16" s="4" t="n">
        <v>-2.3</v>
      </c>
      <c r="L16" s="4" t="n">
        <v>87505</v>
      </c>
      <c r="M16" s="4" t="n">
        <v>0</v>
      </c>
      <c r="N16" s="4" t="n">
        <v>0</v>
      </c>
      <c r="O16" s="4" t="n">
        <v>1</v>
      </c>
      <c r="P16" s="4" t="n">
        <v>3</v>
      </c>
      <c r="Q16">
        <f>MID($D16,1,1)</f>
        <v/>
      </c>
      <c r="R16">
        <f>MID($D16,2,1)</f>
        <v/>
      </c>
      <c r="S16">
        <f>MID($D16,3,1)</f>
        <v/>
      </c>
      <c r="T16">
        <f>MID($D16,4,1)</f>
        <v/>
      </c>
      <c r="U16">
        <f>MID($D16,5,1)</f>
        <v/>
      </c>
      <c r="V16">
        <f>MID($D16,6,1)</f>
        <v/>
      </c>
      <c r="W16">
        <f>MID($D16,7,1)</f>
        <v/>
      </c>
      <c r="X16">
        <f>MID($D16,8,1)</f>
        <v/>
      </c>
      <c r="Y16">
        <f>MID($D16,9,1)</f>
        <v/>
      </c>
      <c r="Z16">
        <f>MID($D16,10,1)</f>
        <v/>
      </c>
      <c r="AA16">
        <f>MID($E16,1,1)</f>
        <v/>
      </c>
      <c r="AB16">
        <f>MID($E16,2,1)</f>
        <v/>
      </c>
      <c r="AC16">
        <f>MID($E16,3,1)</f>
        <v/>
      </c>
      <c r="AD16">
        <f>MID($E16,4,1)</f>
        <v/>
      </c>
      <c r="AE16">
        <f>MID($E16,5,1)</f>
        <v/>
      </c>
      <c r="AF16">
        <f>MID($E16,6,1)</f>
        <v/>
      </c>
      <c r="AG16">
        <f>MID($E16,7,1)</f>
        <v/>
      </c>
      <c r="AH16">
        <f>MID($E16,8,1)</f>
        <v/>
      </c>
      <c r="AI16">
        <f>MID($E16,9,1)</f>
        <v/>
      </c>
      <c r="AJ16">
        <f>MID($E16,10,1)</f>
        <v/>
      </c>
    </row>
    <row r="17">
      <c r="A17" s="4" t="n">
        <v>16</v>
      </c>
      <c r="B17" s="4" t="inlineStr">
        <is>
          <t>UDP0160</t>
        </is>
      </c>
      <c r="C17" s="4" t="inlineStr">
        <is>
          <t>是</t>
        </is>
      </c>
      <c r="D17" s="5" t="inlineStr">
        <is>
          <t>TGGCGGTCCA</t>
        </is>
      </c>
      <c r="E17" s="5" t="inlineStr">
        <is>
          <t>GCTCCGTCAC</t>
        </is>
      </c>
      <c r="F17" s="4">
        <f>LEN(SUBSTITUTE(SUBSTITUTE(D17,"A",""),"T",""))</f>
        <v/>
      </c>
      <c r="G17" s="4">
        <f>LEN(SUBSTITUTE(SUBSTITUTE(E17,"A",""),"T",""))</f>
        <v/>
      </c>
      <c r="H17" s="7" t="inlineStr">
        <is>
          <t>A</t>
        </is>
      </c>
      <c r="I17" s="4" t="n">
        <v>-6.19</v>
      </c>
      <c r="J17" s="4" t="n">
        <v>-3.94</v>
      </c>
      <c r="K17" s="4" t="n">
        <v>-1.62</v>
      </c>
      <c r="L17" s="4" t="n">
        <v>46255</v>
      </c>
      <c r="M17" s="4" t="n">
        <v>0</v>
      </c>
      <c r="N17" s="4" t="n">
        <v>0</v>
      </c>
      <c r="O17" s="4" t="n">
        <v>0</v>
      </c>
      <c r="P17" s="4" t="n">
        <v>0</v>
      </c>
      <c r="Q17">
        <f>MID($D17,1,1)</f>
        <v/>
      </c>
      <c r="R17">
        <f>MID($D17,2,1)</f>
        <v/>
      </c>
      <c r="S17">
        <f>MID($D17,3,1)</f>
        <v/>
      </c>
      <c r="T17">
        <f>MID($D17,4,1)</f>
        <v/>
      </c>
      <c r="U17">
        <f>MID($D17,5,1)</f>
        <v/>
      </c>
      <c r="V17">
        <f>MID($D17,6,1)</f>
        <v/>
      </c>
      <c r="W17">
        <f>MID($D17,7,1)</f>
        <v/>
      </c>
      <c r="X17">
        <f>MID($D17,8,1)</f>
        <v/>
      </c>
      <c r="Y17">
        <f>MID($D17,9,1)</f>
        <v/>
      </c>
      <c r="Z17">
        <f>MID($D17,10,1)</f>
        <v/>
      </c>
      <c r="AA17">
        <f>MID($E17,1,1)</f>
        <v/>
      </c>
      <c r="AB17">
        <f>MID($E17,2,1)</f>
        <v/>
      </c>
      <c r="AC17">
        <f>MID($E17,3,1)</f>
        <v/>
      </c>
      <c r="AD17">
        <f>MID($E17,4,1)</f>
        <v/>
      </c>
      <c r="AE17">
        <f>MID($E17,5,1)</f>
        <v/>
      </c>
      <c r="AF17">
        <f>MID($E17,6,1)</f>
        <v/>
      </c>
      <c r="AG17">
        <f>MID($E17,7,1)</f>
        <v/>
      </c>
      <c r="AH17">
        <f>MID($E17,8,1)</f>
        <v/>
      </c>
      <c r="AI17">
        <f>MID($E17,9,1)</f>
        <v/>
      </c>
      <c r="AJ17">
        <f>MID($E17,10,1)</f>
        <v/>
      </c>
    </row>
    <row r="18">
      <c r="A18" s="4" t="n">
        <v>17</v>
      </c>
      <c r="B18" s="4" t="inlineStr">
        <is>
          <t>UDP0168</t>
        </is>
      </c>
      <c r="C18" s="4" t="inlineStr">
        <is>
          <t>是</t>
        </is>
      </c>
      <c r="D18" s="5" t="inlineStr">
        <is>
          <t>TTGCTTGTAT</t>
        </is>
      </c>
      <c r="E18" s="5" t="inlineStr">
        <is>
          <t>GATTGTCATA</t>
        </is>
      </c>
      <c r="F18" s="4">
        <f>LEN(SUBSTITUTE(SUBSTITUTE(D18,"A",""),"T",""))</f>
        <v/>
      </c>
      <c r="G18" s="4">
        <f>LEN(SUBSTITUTE(SUBSTITUTE(E18,"A",""),"T",""))</f>
        <v/>
      </c>
      <c r="H18" s="7" t="inlineStr">
        <is>
          <t>A</t>
        </is>
      </c>
      <c r="I18" s="4" t="n">
        <v>-6.1</v>
      </c>
      <c r="J18" s="4" t="n">
        <v>-4.26</v>
      </c>
      <c r="K18" s="4" t="n">
        <v>-2.61</v>
      </c>
      <c r="L18" s="4" t="n">
        <v>61089</v>
      </c>
      <c r="M18" s="4" t="n">
        <v>0</v>
      </c>
      <c r="N18" s="4" t="n">
        <v>1</v>
      </c>
      <c r="O18" s="4" t="n">
        <v>0</v>
      </c>
      <c r="P18" s="4" t="n">
        <v>0</v>
      </c>
      <c r="Q18">
        <f>MID($D18,1,1)</f>
        <v/>
      </c>
      <c r="R18">
        <f>MID($D18,2,1)</f>
        <v/>
      </c>
      <c r="S18">
        <f>MID($D18,3,1)</f>
        <v/>
      </c>
      <c r="T18">
        <f>MID($D18,4,1)</f>
        <v/>
      </c>
      <c r="U18">
        <f>MID($D18,5,1)</f>
        <v/>
      </c>
      <c r="V18">
        <f>MID($D18,6,1)</f>
        <v/>
      </c>
      <c r="W18">
        <f>MID($D18,7,1)</f>
        <v/>
      </c>
      <c r="X18">
        <f>MID($D18,8,1)</f>
        <v/>
      </c>
      <c r="Y18">
        <f>MID($D18,9,1)</f>
        <v/>
      </c>
      <c r="Z18">
        <f>MID($D18,10,1)</f>
        <v/>
      </c>
      <c r="AA18">
        <f>MID($E18,1,1)</f>
        <v/>
      </c>
      <c r="AB18">
        <f>MID($E18,2,1)</f>
        <v/>
      </c>
      <c r="AC18">
        <f>MID($E18,3,1)</f>
        <v/>
      </c>
      <c r="AD18">
        <f>MID($E18,4,1)</f>
        <v/>
      </c>
      <c r="AE18">
        <f>MID($E18,5,1)</f>
        <v/>
      </c>
      <c r="AF18">
        <f>MID($E18,6,1)</f>
        <v/>
      </c>
      <c r="AG18">
        <f>MID($E18,7,1)</f>
        <v/>
      </c>
      <c r="AH18">
        <f>MID($E18,8,1)</f>
        <v/>
      </c>
      <c r="AI18">
        <f>MID($E18,9,1)</f>
        <v/>
      </c>
      <c r="AJ18">
        <f>MID($E18,10,1)</f>
        <v/>
      </c>
    </row>
    <row r="19">
      <c r="A19" s="4" t="n">
        <v>18</v>
      </c>
      <c r="B19" s="4" t="inlineStr">
        <is>
          <t>UDP0187</t>
        </is>
      </c>
      <c r="C19" s="4" t="inlineStr">
        <is>
          <t>是</t>
        </is>
      </c>
      <c r="D19" s="5" t="inlineStr">
        <is>
          <t>CTAATGTCTT</t>
        </is>
      </c>
      <c r="E19" s="5" t="inlineStr">
        <is>
          <t>GTGTGGCGCT</t>
        </is>
      </c>
      <c r="F19" s="4">
        <f>LEN(SUBSTITUTE(SUBSTITUTE(D19,"A",""),"T",""))</f>
        <v/>
      </c>
      <c r="G19" s="4">
        <f>LEN(SUBSTITUTE(SUBSTITUTE(E19,"A",""),"T",""))</f>
        <v/>
      </c>
      <c r="H19" s="7" t="inlineStr">
        <is>
          <t>A</t>
        </is>
      </c>
      <c r="I19" s="4" t="n">
        <v>-6.63</v>
      </c>
      <c r="J19" s="4" t="n">
        <v>-3.79</v>
      </c>
      <c r="K19" s="4" t="n">
        <v>-1.59</v>
      </c>
      <c r="L19" s="4" t="n">
        <v>130907</v>
      </c>
      <c r="M19" s="4" t="n">
        <v>1</v>
      </c>
      <c r="N19" s="4" t="n">
        <v>3</v>
      </c>
      <c r="O19" s="4" t="n">
        <v>0</v>
      </c>
      <c r="P19" s="4" t="n">
        <v>0</v>
      </c>
      <c r="Q19">
        <f>MID($D19,1,1)</f>
        <v/>
      </c>
      <c r="R19">
        <f>MID($D19,2,1)</f>
        <v/>
      </c>
      <c r="S19">
        <f>MID($D19,3,1)</f>
        <v/>
      </c>
      <c r="T19">
        <f>MID($D19,4,1)</f>
        <v/>
      </c>
      <c r="U19">
        <f>MID($D19,5,1)</f>
        <v/>
      </c>
      <c r="V19">
        <f>MID($D19,6,1)</f>
        <v/>
      </c>
      <c r="W19">
        <f>MID($D19,7,1)</f>
        <v/>
      </c>
      <c r="X19">
        <f>MID($D19,8,1)</f>
        <v/>
      </c>
      <c r="Y19">
        <f>MID($D19,9,1)</f>
        <v/>
      </c>
      <c r="Z19">
        <f>MID($D19,10,1)</f>
        <v/>
      </c>
      <c r="AA19">
        <f>MID($E19,1,1)</f>
        <v/>
      </c>
      <c r="AB19">
        <f>MID($E19,2,1)</f>
        <v/>
      </c>
      <c r="AC19">
        <f>MID($E19,3,1)</f>
        <v/>
      </c>
      <c r="AD19">
        <f>MID($E19,4,1)</f>
        <v/>
      </c>
      <c r="AE19">
        <f>MID($E19,5,1)</f>
        <v/>
      </c>
      <c r="AF19">
        <f>MID($E19,6,1)</f>
        <v/>
      </c>
      <c r="AG19">
        <f>MID($E19,7,1)</f>
        <v/>
      </c>
      <c r="AH19">
        <f>MID($E19,8,1)</f>
        <v/>
      </c>
      <c r="AI19">
        <f>MID($E19,9,1)</f>
        <v/>
      </c>
      <c r="AJ19">
        <f>MID($E19,10,1)</f>
        <v/>
      </c>
    </row>
    <row r="20">
      <c r="A20" s="4" t="n">
        <v>19</v>
      </c>
      <c r="B20" s="4" t="inlineStr">
        <is>
          <t>UDP0195V3</t>
        </is>
      </c>
      <c r="C20" s="4" t="inlineStr">
        <is>
          <t>是</t>
        </is>
      </c>
      <c r="D20" s="5" t="inlineStr">
        <is>
          <t>AAGACAAGGA</t>
        </is>
      </c>
      <c r="E20" s="5" t="inlineStr">
        <is>
          <t>GCGATATAAC</t>
        </is>
      </c>
      <c r="F20" s="4">
        <f>LEN(SUBSTITUTE(SUBSTITUTE(D20,"A",""),"T",""))</f>
        <v/>
      </c>
      <c r="G20" s="4">
        <f>LEN(SUBSTITUTE(SUBSTITUTE(E20,"A",""),"T",""))</f>
        <v/>
      </c>
      <c r="H20" s="7" t="inlineStr">
        <is>
          <t>A</t>
        </is>
      </c>
      <c r="I20" s="4" t="n">
        <v>-6.03</v>
      </c>
      <c r="J20" s="4" t="n">
        <v>-3.83</v>
      </c>
      <c r="K20" s="4" t="n">
        <v>-1.75</v>
      </c>
      <c r="L20" s="4" t="n">
        <v>50514</v>
      </c>
      <c r="M20" s="4" t="n">
        <v>0</v>
      </c>
      <c r="N20" s="4" t="n">
        <v>1</v>
      </c>
      <c r="O20" s="4" t="n">
        <v>0</v>
      </c>
      <c r="P20" s="4" t="n">
        <v>0</v>
      </c>
      <c r="Q20">
        <f>MID($D20,1,1)</f>
        <v/>
      </c>
      <c r="R20">
        <f>MID($D20,2,1)</f>
        <v/>
      </c>
      <c r="S20">
        <f>MID($D20,3,1)</f>
        <v/>
      </c>
      <c r="T20">
        <f>MID($D20,4,1)</f>
        <v/>
      </c>
      <c r="U20">
        <f>MID($D20,5,1)</f>
        <v/>
      </c>
      <c r="V20">
        <f>MID($D20,6,1)</f>
        <v/>
      </c>
      <c r="W20">
        <f>MID($D20,7,1)</f>
        <v/>
      </c>
      <c r="X20">
        <f>MID($D20,8,1)</f>
        <v/>
      </c>
      <c r="Y20">
        <f>MID($D20,9,1)</f>
        <v/>
      </c>
      <c r="Z20">
        <f>MID($D20,10,1)</f>
        <v/>
      </c>
      <c r="AA20">
        <f>MID($E20,1,1)</f>
        <v/>
      </c>
      <c r="AB20">
        <f>MID($E20,2,1)</f>
        <v/>
      </c>
      <c r="AC20">
        <f>MID($E20,3,1)</f>
        <v/>
      </c>
      <c r="AD20">
        <f>MID($E20,4,1)</f>
        <v/>
      </c>
      <c r="AE20">
        <f>MID($E20,5,1)</f>
        <v/>
      </c>
      <c r="AF20">
        <f>MID($E20,6,1)</f>
        <v/>
      </c>
      <c r="AG20">
        <f>MID($E20,7,1)</f>
        <v/>
      </c>
      <c r="AH20">
        <f>MID($E20,8,1)</f>
        <v/>
      </c>
      <c r="AI20">
        <f>MID($E20,9,1)</f>
        <v/>
      </c>
      <c r="AJ20">
        <f>MID($E20,10,1)</f>
        <v/>
      </c>
    </row>
    <row r="21">
      <c r="A21" s="4" t="n">
        <v>20</v>
      </c>
      <c r="B21" s="4" t="inlineStr">
        <is>
          <t>UDP0198</t>
        </is>
      </c>
      <c r="C21" s="4" t="inlineStr">
        <is>
          <t>是</t>
        </is>
      </c>
      <c r="D21" s="5" t="inlineStr">
        <is>
          <t>TCTCATCAAT</t>
        </is>
      </c>
      <c r="E21" s="5" t="inlineStr">
        <is>
          <t>AGCAGAATTA</t>
        </is>
      </c>
      <c r="F21" s="4">
        <f>LEN(SUBSTITUTE(SUBSTITUTE(D21,"A",""),"T",""))</f>
        <v/>
      </c>
      <c r="G21" s="4">
        <f>LEN(SUBSTITUTE(SUBSTITUTE(E21,"A",""),"T",""))</f>
        <v/>
      </c>
      <c r="H21" s="7" t="inlineStr">
        <is>
          <t>A</t>
        </is>
      </c>
      <c r="I21" s="4" t="n">
        <v>-6.1</v>
      </c>
      <c r="J21" s="4" t="n">
        <v>-4.17</v>
      </c>
      <c r="K21" s="4" t="n">
        <v>-2.61</v>
      </c>
      <c r="L21" s="4" t="n">
        <v>63164</v>
      </c>
      <c r="M21" s="4" t="n">
        <v>0</v>
      </c>
      <c r="N21" s="4" t="n">
        <v>0</v>
      </c>
      <c r="O21" s="4" t="n">
        <v>0</v>
      </c>
      <c r="P21" s="4" t="n">
        <v>0</v>
      </c>
      <c r="Q21">
        <f>MID($D21,1,1)</f>
        <v/>
      </c>
      <c r="R21">
        <f>MID($D21,2,1)</f>
        <v/>
      </c>
      <c r="S21">
        <f>MID($D21,3,1)</f>
        <v/>
      </c>
      <c r="T21">
        <f>MID($D21,4,1)</f>
        <v/>
      </c>
      <c r="U21">
        <f>MID($D21,5,1)</f>
        <v/>
      </c>
      <c r="V21">
        <f>MID($D21,6,1)</f>
        <v/>
      </c>
      <c r="W21">
        <f>MID($D21,7,1)</f>
        <v/>
      </c>
      <c r="X21">
        <f>MID($D21,8,1)</f>
        <v/>
      </c>
      <c r="Y21">
        <f>MID($D21,9,1)</f>
        <v/>
      </c>
      <c r="Z21">
        <f>MID($D21,10,1)</f>
        <v/>
      </c>
      <c r="AA21">
        <f>MID($E21,1,1)</f>
        <v/>
      </c>
      <c r="AB21">
        <f>MID($E21,2,1)</f>
        <v/>
      </c>
      <c r="AC21">
        <f>MID($E21,3,1)</f>
        <v/>
      </c>
      <c r="AD21">
        <f>MID($E21,4,1)</f>
        <v/>
      </c>
      <c r="AE21">
        <f>MID($E21,5,1)</f>
        <v/>
      </c>
      <c r="AF21">
        <f>MID($E21,6,1)</f>
        <v/>
      </c>
      <c r="AG21">
        <f>MID($E21,7,1)</f>
        <v/>
      </c>
      <c r="AH21">
        <f>MID($E21,8,1)</f>
        <v/>
      </c>
      <c r="AI21">
        <f>MID($E21,9,1)</f>
        <v/>
      </c>
      <c r="AJ21">
        <f>MID($E21,10,1)</f>
        <v/>
      </c>
    </row>
    <row r="22">
      <c r="A22" s="4" t="n">
        <v>21</v>
      </c>
      <c r="B22" s="4" t="inlineStr">
        <is>
          <t>UDP0201</t>
        </is>
      </c>
      <c r="C22" s="4" t="inlineStr">
        <is>
          <t>是</t>
        </is>
      </c>
      <c r="D22" s="5" t="inlineStr">
        <is>
          <t>GATCTCTGGA</t>
        </is>
      </c>
      <c r="E22" s="5" t="inlineStr">
        <is>
          <t>GAACTCGGTT</t>
        </is>
      </c>
      <c r="F22" s="4">
        <f>LEN(SUBSTITUTE(SUBSTITUTE(D22,"A",""),"T",""))</f>
        <v/>
      </c>
      <c r="G22" s="4">
        <f>LEN(SUBSTITUTE(SUBSTITUTE(E22,"A",""),"T",""))</f>
        <v/>
      </c>
      <c r="H22" s="7" t="inlineStr">
        <is>
          <t>A</t>
        </is>
      </c>
      <c r="I22" s="4" t="n">
        <v>-6.51</v>
      </c>
      <c r="J22" s="4" t="n">
        <v>-3.83</v>
      </c>
      <c r="K22" s="4" t="n">
        <v>-1.59</v>
      </c>
      <c r="L22" s="4" t="n">
        <v>51767</v>
      </c>
      <c r="M22" s="4" t="n">
        <v>0</v>
      </c>
      <c r="N22" s="4" t="n">
        <v>1</v>
      </c>
      <c r="O22" s="4" t="n">
        <v>0</v>
      </c>
      <c r="P22" s="4" t="n">
        <v>2</v>
      </c>
      <c r="Q22">
        <f>MID($D22,1,1)</f>
        <v/>
      </c>
      <c r="R22">
        <f>MID($D22,2,1)</f>
        <v/>
      </c>
      <c r="S22">
        <f>MID($D22,3,1)</f>
        <v/>
      </c>
      <c r="T22">
        <f>MID($D22,4,1)</f>
        <v/>
      </c>
      <c r="U22">
        <f>MID($D22,5,1)</f>
        <v/>
      </c>
      <c r="V22">
        <f>MID($D22,6,1)</f>
        <v/>
      </c>
      <c r="W22">
        <f>MID($D22,7,1)</f>
        <v/>
      </c>
      <c r="X22">
        <f>MID($D22,8,1)</f>
        <v/>
      </c>
      <c r="Y22">
        <f>MID($D22,9,1)</f>
        <v/>
      </c>
      <c r="Z22">
        <f>MID($D22,10,1)</f>
        <v/>
      </c>
      <c r="AA22">
        <f>MID($E22,1,1)</f>
        <v/>
      </c>
      <c r="AB22">
        <f>MID($E22,2,1)</f>
        <v/>
      </c>
      <c r="AC22">
        <f>MID($E22,3,1)</f>
        <v/>
      </c>
      <c r="AD22">
        <f>MID($E22,4,1)</f>
        <v/>
      </c>
      <c r="AE22">
        <f>MID($E22,5,1)</f>
        <v/>
      </c>
      <c r="AF22">
        <f>MID($E22,6,1)</f>
        <v/>
      </c>
      <c r="AG22">
        <f>MID($E22,7,1)</f>
        <v/>
      </c>
      <c r="AH22">
        <f>MID($E22,8,1)</f>
        <v/>
      </c>
      <c r="AI22">
        <f>MID($E22,9,1)</f>
        <v/>
      </c>
      <c r="AJ22">
        <f>MID($E22,10,1)</f>
        <v/>
      </c>
    </row>
    <row r="23">
      <c r="A23" s="4" t="n">
        <v>22</v>
      </c>
      <c r="B23" s="4" t="inlineStr">
        <is>
          <t>UDP0207</t>
        </is>
      </c>
      <c r="C23" s="4" t="inlineStr">
        <is>
          <t>是</t>
        </is>
      </c>
      <c r="D23" s="5" t="inlineStr">
        <is>
          <t>ACGAGACTGA</t>
        </is>
      </c>
      <c r="E23" s="5" t="inlineStr">
        <is>
          <t>CCGCATATTC</t>
        </is>
      </c>
      <c r="F23" s="4">
        <f>LEN(SUBSTITUTE(SUBSTITUTE(D23,"A",""),"T",""))</f>
        <v/>
      </c>
      <c r="G23" s="4">
        <f>LEN(SUBSTITUTE(SUBSTITUTE(E23,"A",""),"T",""))</f>
        <v/>
      </c>
      <c r="H23" s="7" t="inlineStr">
        <is>
          <t>A</t>
        </is>
      </c>
      <c r="I23" s="4" t="n">
        <v>-6.03</v>
      </c>
      <c r="J23" s="4" t="n">
        <v>-3.83</v>
      </c>
      <c r="K23" s="4" t="n">
        <v>-1.62</v>
      </c>
      <c r="L23" s="4" t="n">
        <v>51587</v>
      </c>
      <c r="M23" s="4" t="n">
        <v>0</v>
      </c>
      <c r="N23" s="4" t="n">
        <v>0</v>
      </c>
      <c r="O23" s="4" t="n">
        <v>0</v>
      </c>
      <c r="P23" s="4" t="n">
        <v>0</v>
      </c>
      <c r="Q23">
        <f>MID($D23,1,1)</f>
        <v/>
      </c>
      <c r="R23">
        <f>MID($D23,2,1)</f>
        <v/>
      </c>
      <c r="S23">
        <f>MID($D23,3,1)</f>
        <v/>
      </c>
      <c r="T23">
        <f>MID($D23,4,1)</f>
        <v/>
      </c>
      <c r="U23">
        <f>MID($D23,5,1)</f>
        <v/>
      </c>
      <c r="V23">
        <f>MID($D23,6,1)</f>
        <v/>
      </c>
      <c r="W23">
        <f>MID($D23,7,1)</f>
        <v/>
      </c>
      <c r="X23">
        <f>MID($D23,8,1)</f>
        <v/>
      </c>
      <c r="Y23">
        <f>MID($D23,9,1)</f>
        <v/>
      </c>
      <c r="Z23">
        <f>MID($D23,10,1)</f>
        <v/>
      </c>
      <c r="AA23">
        <f>MID($E23,1,1)</f>
        <v/>
      </c>
      <c r="AB23">
        <f>MID($E23,2,1)</f>
        <v/>
      </c>
      <c r="AC23">
        <f>MID($E23,3,1)</f>
        <v/>
      </c>
      <c r="AD23">
        <f>MID($E23,4,1)</f>
        <v/>
      </c>
      <c r="AE23">
        <f>MID($E23,5,1)</f>
        <v/>
      </c>
      <c r="AF23">
        <f>MID($E23,6,1)</f>
        <v/>
      </c>
      <c r="AG23">
        <f>MID($E23,7,1)</f>
        <v/>
      </c>
      <c r="AH23">
        <f>MID($E23,8,1)</f>
        <v/>
      </c>
      <c r="AI23">
        <f>MID($E23,9,1)</f>
        <v/>
      </c>
      <c r="AJ23">
        <f>MID($E23,10,1)</f>
        <v/>
      </c>
    </row>
    <row r="24">
      <c r="A24" s="4" t="n">
        <v>23</v>
      </c>
      <c r="B24" s="4" t="inlineStr">
        <is>
          <t>UDP0211</t>
        </is>
      </c>
      <c r="C24" s="4" t="inlineStr">
        <is>
          <t>是</t>
        </is>
      </c>
      <c r="D24" s="5" t="inlineStr">
        <is>
          <t>GCCTGCCATG</t>
        </is>
      </c>
      <c r="E24" s="5" t="inlineStr">
        <is>
          <t>ACTCCGGTGG</t>
        </is>
      </c>
      <c r="F24" s="4">
        <f>LEN(SUBSTITUTE(SUBSTITUTE(D24,"A",""),"T",""))</f>
        <v/>
      </c>
      <c r="G24" s="4">
        <f>LEN(SUBSTITUTE(SUBSTITUTE(E24,"A",""),"T",""))</f>
        <v/>
      </c>
      <c r="H24" s="6" t="inlineStr">
        <is>
          <t>B</t>
        </is>
      </c>
      <c r="I24" s="4" t="n">
        <v>-8.4</v>
      </c>
      <c r="J24" s="4" t="n">
        <v>-4.68</v>
      </c>
      <c r="K24" s="4" t="n">
        <v>-2.92</v>
      </c>
      <c r="L24" s="4" t="n">
        <v>123021</v>
      </c>
      <c r="M24" s="4" t="n">
        <v>0</v>
      </c>
      <c r="N24" s="4" t="n">
        <v>0</v>
      </c>
      <c r="O24" s="4" t="n">
        <v>0</v>
      </c>
      <c r="P24" s="4" t="n">
        <v>0</v>
      </c>
      <c r="Q24">
        <f>MID($D24,1,1)</f>
        <v/>
      </c>
      <c r="R24">
        <f>MID($D24,2,1)</f>
        <v/>
      </c>
      <c r="S24">
        <f>MID($D24,3,1)</f>
        <v/>
      </c>
      <c r="T24">
        <f>MID($D24,4,1)</f>
        <v/>
      </c>
      <c r="U24">
        <f>MID($D24,5,1)</f>
        <v/>
      </c>
      <c r="V24">
        <f>MID($D24,6,1)</f>
        <v/>
      </c>
      <c r="W24">
        <f>MID($D24,7,1)</f>
        <v/>
      </c>
      <c r="X24">
        <f>MID($D24,8,1)</f>
        <v/>
      </c>
      <c r="Y24">
        <f>MID($D24,9,1)</f>
        <v/>
      </c>
      <c r="Z24">
        <f>MID($D24,10,1)</f>
        <v/>
      </c>
      <c r="AA24">
        <f>MID($E24,1,1)</f>
        <v/>
      </c>
      <c r="AB24">
        <f>MID($E24,2,1)</f>
        <v/>
      </c>
      <c r="AC24">
        <f>MID($E24,3,1)</f>
        <v/>
      </c>
      <c r="AD24">
        <f>MID($E24,4,1)</f>
        <v/>
      </c>
      <c r="AE24">
        <f>MID($E24,5,1)</f>
        <v/>
      </c>
      <c r="AF24">
        <f>MID($E24,6,1)</f>
        <v/>
      </c>
      <c r="AG24">
        <f>MID($E24,7,1)</f>
        <v/>
      </c>
      <c r="AH24">
        <f>MID($E24,8,1)</f>
        <v/>
      </c>
      <c r="AI24">
        <f>MID($E24,9,1)</f>
        <v/>
      </c>
      <c r="AJ24">
        <f>MID($E24,10,1)</f>
        <v/>
      </c>
    </row>
    <row r="25">
      <c r="A25" s="4" t="n">
        <v>24</v>
      </c>
      <c r="B25" s="4" t="inlineStr">
        <is>
          <t>UDP0215</t>
        </is>
      </c>
      <c r="C25" s="4" t="inlineStr">
        <is>
          <t>是</t>
        </is>
      </c>
      <c r="D25" s="5" t="inlineStr">
        <is>
          <t>CAGAGTGATA</t>
        </is>
      </c>
      <c r="E25" s="5" t="inlineStr">
        <is>
          <t>ATTCTAAGCG</t>
        </is>
      </c>
      <c r="F25" s="4">
        <f>LEN(SUBSTITUTE(SUBSTITUTE(D25,"A",""),"T",""))</f>
        <v/>
      </c>
      <c r="G25" s="4">
        <f>LEN(SUBSTITUTE(SUBSTITUTE(E25,"A",""),"T",""))</f>
        <v/>
      </c>
      <c r="H25" s="7" t="inlineStr">
        <is>
          <t>A</t>
        </is>
      </c>
      <c r="I25" s="4" t="n">
        <v>-6.56</v>
      </c>
      <c r="J25" s="4" t="n">
        <v>-4.45</v>
      </c>
      <c r="K25" s="4" t="n">
        <v>-1.77</v>
      </c>
      <c r="L25" s="4" t="n">
        <v>52367</v>
      </c>
      <c r="M25" s="4" t="n">
        <v>1</v>
      </c>
      <c r="N25" s="4" t="n">
        <v>3</v>
      </c>
      <c r="O25" s="4" t="n">
        <v>0</v>
      </c>
      <c r="P25" s="4" t="n">
        <v>1</v>
      </c>
      <c r="Q25">
        <f>MID($D25,1,1)</f>
        <v/>
      </c>
      <c r="R25">
        <f>MID($D25,2,1)</f>
        <v/>
      </c>
      <c r="S25">
        <f>MID($D25,3,1)</f>
        <v/>
      </c>
      <c r="T25">
        <f>MID($D25,4,1)</f>
        <v/>
      </c>
      <c r="U25">
        <f>MID($D25,5,1)</f>
        <v/>
      </c>
      <c r="V25">
        <f>MID($D25,6,1)</f>
        <v/>
      </c>
      <c r="W25">
        <f>MID($D25,7,1)</f>
        <v/>
      </c>
      <c r="X25">
        <f>MID($D25,8,1)</f>
        <v/>
      </c>
      <c r="Y25">
        <f>MID($D25,9,1)</f>
        <v/>
      </c>
      <c r="Z25">
        <f>MID($D25,10,1)</f>
        <v/>
      </c>
      <c r="AA25">
        <f>MID($E25,1,1)</f>
        <v/>
      </c>
      <c r="AB25">
        <f>MID($E25,2,1)</f>
        <v/>
      </c>
      <c r="AC25">
        <f>MID($E25,3,1)</f>
        <v/>
      </c>
      <c r="AD25">
        <f>MID($E25,4,1)</f>
        <v/>
      </c>
      <c r="AE25">
        <f>MID($E25,5,1)</f>
        <v/>
      </c>
      <c r="AF25">
        <f>MID($E25,6,1)</f>
        <v/>
      </c>
      <c r="AG25">
        <f>MID($E25,7,1)</f>
        <v/>
      </c>
      <c r="AH25">
        <f>MID($E25,8,1)</f>
        <v/>
      </c>
      <c r="AI25">
        <f>MID($E25,9,1)</f>
        <v/>
      </c>
      <c r="AJ25">
        <f>MID($E25,10,1)</f>
        <v/>
      </c>
    </row>
    <row r="26">
      <c r="A26" s="4" t="n">
        <v>25</v>
      </c>
      <c r="B26" s="4" t="inlineStr">
        <is>
          <t>UDP0216</t>
        </is>
      </c>
      <c r="C26" s="4" t="inlineStr">
        <is>
          <t>是</t>
        </is>
      </c>
      <c r="D26" s="5" t="inlineStr">
        <is>
          <t>TGCTAACTAT</t>
        </is>
      </c>
      <c r="E26" s="5" t="inlineStr">
        <is>
          <t>AGCGCTTCGG</t>
        </is>
      </c>
      <c r="F26" s="4">
        <f>LEN(SUBSTITUTE(SUBSTITUTE(D26,"A",""),"T",""))</f>
        <v/>
      </c>
      <c r="G26" s="4">
        <f>LEN(SUBSTITUTE(SUBSTITUTE(E26,"A",""),"T",""))</f>
        <v/>
      </c>
      <c r="H26" s="7" t="inlineStr">
        <is>
          <t>A</t>
        </is>
      </c>
      <c r="I26" s="4" t="n">
        <v>-6.63</v>
      </c>
      <c r="J26" s="4" t="n">
        <v>-4.41</v>
      </c>
      <c r="K26" s="4" t="n">
        <v>-3.69</v>
      </c>
      <c r="L26" s="4" t="n">
        <v>73041</v>
      </c>
      <c r="M26" s="4" t="n">
        <v>0</v>
      </c>
      <c r="N26" s="4" t="n">
        <v>0</v>
      </c>
      <c r="O26" s="4" t="n">
        <v>0</v>
      </c>
      <c r="P26" s="4" t="n">
        <v>0</v>
      </c>
      <c r="Q26">
        <f>MID($D26,1,1)</f>
        <v/>
      </c>
      <c r="R26">
        <f>MID($D26,2,1)</f>
        <v/>
      </c>
      <c r="S26">
        <f>MID($D26,3,1)</f>
        <v/>
      </c>
      <c r="T26">
        <f>MID($D26,4,1)</f>
        <v/>
      </c>
      <c r="U26">
        <f>MID($D26,5,1)</f>
        <v/>
      </c>
      <c r="V26">
        <f>MID($D26,6,1)</f>
        <v/>
      </c>
      <c r="W26">
        <f>MID($D26,7,1)</f>
        <v/>
      </c>
      <c r="X26">
        <f>MID($D26,8,1)</f>
        <v/>
      </c>
      <c r="Y26">
        <f>MID($D26,9,1)</f>
        <v/>
      </c>
      <c r="Z26">
        <f>MID($D26,10,1)</f>
        <v/>
      </c>
      <c r="AA26">
        <f>MID($E26,1,1)</f>
        <v/>
      </c>
      <c r="AB26">
        <f>MID($E26,2,1)</f>
        <v/>
      </c>
      <c r="AC26">
        <f>MID($E26,3,1)</f>
        <v/>
      </c>
      <c r="AD26">
        <f>MID($E26,4,1)</f>
        <v/>
      </c>
      <c r="AE26">
        <f>MID($E26,5,1)</f>
        <v/>
      </c>
      <c r="AF26">
        <f>MID($E26,6,1)</f>
        <v/>
      </c>
      <c r="AG26">
        <f>MID($E26,7,1)</f>
        <v/>
      </c>
      <c r="AH26">
        <f>MID($E26,8,1)</f>
        <v/>
      </c>
      <c r="AI26">
        <f>MID($E26,9,1)</f>
        <v/>
      </c>
      <c r="AJ26">
        <f>MID($E26,10,1)</f>
        <v/>
      </c>
    </row>
    <row r="27">
      <c r="A27" s="4" t="n">
        <v>26</v>
      </c>
      <c r="B27" s="4" t="inlineStr">
        <is>
          <t>UDP0229</t>
        </is>
      </c>
      <c r="C27" s="4" t="inlineStr">
        <is>
          <t>是</t>
        </is>
      </c>
      <c r="D27" s="5" t="inlineStr">
        <is>
          <t>CACGTCCACC</t>
        </is>
      </c>
      <c r="E27" s="5" t="inlineStr">
        <is>
          <t>AGTTAAGAGC</t>
        </is>
      </c>
      <c r="F27" s="4">
        <f>LEN(SUBSTITUTE(SUBSTITUTE(D27,"A",""),"T",""))</f>
        <v/>
      </c>
      <c r="G27" s="4">
        <f>LEN(SUBSTITUTE(SUBSTITUTE(E27,"A",""),"T",""))</f>
        <v/>
      </c>
      <c r="H27" s="6" t="inlineStr">
        <is>
          <t>B</t>
        </is>
      </c>
      <c r="I27" s="4" t="n">
        <v>-6.03</v>
      </c>
      <c r="J27" s="4" t="n">
        <v>-4.54</v>
      </c>
      <c r="K27" s="4" t="n">
        <v>-1.62</v>
      </c>
      <c r="L27" s="4" t="n">
        <v>94952</v>
      </c>
      <c r="M27" s="4" t="n">
        <v>0</v>
      </c>
      <c r="N27" s="4" t="n">
        <v>0</v>
      </c>
      <c r="O27" s="4" t="n">
        <v>0</v>
      </c>
      <c r="P27" s="4" t="n">
        <v>0</v>
      </c>
      <c r="Q27">
        <f>MID($D27,1,1)</f>
        <v/>
      </c>
      <c r="R27">
        <f>MID($D27,2,1)</f>
        <v/>
      </c>
      <c r="S27">
        <f>MID($D27,3,1)</f>
        <v/>
      </c>
      <c r="T27">
        <f>MID($D27,4,1)</f>
        <v/>
      </c>
      <c r="U27">
        <f>MID($D27,5,1)</f>
        <v/>
      </c>
      <c r="V27">
        <f>MID($D27,6,1)</f>
        <v/>
      </c>
      <c r="W27">
        <f>MID($D27,7,1)</f>
        <v/>
      </c>
      <c r="X27">
        <f>MID($D27,8,1)</f>
        <v/>
      </c>
      <c r="Y27">
        <f>MID($D27,9,1)</f>
        <v/>
      </c>
      <c r="Z27">
        <f>MID($D27,10,1)</f>
        <v/>
      </c>
      <c r="AA27">
        <f>MID($E27,1,1)</f>
        <v/>
      </c>
      <c r="AB27">
        <f>MID($E27,2,1)</f>
        <v/>
      </c>
      <c r="AC27">
        <f>MID($E27,3,1)</f>
        <v/>
      </c>
      <c r="AD27">
        <f>MID($E27,4,1)</f>
        <v/>
      </c>
      <c r="AE27">
        <f>MID($E27,5,1)</f>
        <v/>
      </c>
      <c r="AF27">
        <f>MID($E27,6,1)</f>
        <v/>
      </c>
      <c r="AG27">
        <f>MID($E27,7,1)</f>
        <v/>
      </c>
      <c r="AH27">
        <f>MID($E27,8,1)</f>
        <v/>
      </c>
      <c r="AI27">
        <f>MID($E27,9,1)</f>
        <v/>
      </c>
      <c r="AJ27">
        <f>MID($E27,10,1)</f>
        <v/>
      </c>
    </row>
    <row r="28">
      <c r="A28" s="4" t="n">
        <v>27</v>
      </c>
      <c r="B28" s="4" t="inlineStr">
        <is>
          <t>UDP0230</t>
        </is>
      </c>
      <c r="C28" s="4" t="inlineStr">
        <is>
          <t>是</t>
        </is>
      </c>
      <c r="D28" s="5" t="inlineStr">
        <is>
          <t>GCTACTATCT</t>
        </is>
      </c>
      <c r="E28" s="5" t="inlineStr">
        <is>
          <t>CAGATACCAC</t>
        </is>
      </c>
      <c r="F28" s="4">
        <f>LEN(SUBSTITUTE(SUBSTITUTE(D28,"A",""),"T",""))</f>
        <v/>
      </c>
      <c r="G28" s="4">
        <f>LEN(SUBSTITUTE(SUBSTITUTE(E28,"A",""),"T",""))</f>
        <v/>
      </c>
      <c r="H28" s="7" t="inlineStr">
        <is>
          <t>A</t>
        </is>
      </c>
      <c r="I28" s="4" t="n">
        <v>-5.95</v>
      </c>
      <c r="J28" s="4" t="n">
        <v>-3.78</v>
      </c>
      <c r="K28" s="4" t="n">
        <v>-2.51</v>
      </c>
      <c r="L28" s="4" t="n">
        <v>49521</v>
      </c>
      <c r="M28" s="4" t="n">
        <v>0</v>
      </c>
      <c r="N28" s="4" t="n">
        <v>0</v>
      </c>
      <c r="O28" s="4" t="n">
        <v>0</v>
      </c>
      <c r="P28" s="4" t="n">
        <v>1</v>
      </c>
      <c r="Q28">
        <f>MID($D28,1,1)</f>
        <v/>
      </c>
      <c r="R28">
        <f>MID($D28,2,1)</f>
        <v/>
      </c>
      <c r="S28">
        <f>MID($D28,3,1)</f>
        <v/>
      </c>
      <c r="T28">
        <f>MID($D28,4,1)</f>
        <v/>
      </c>
      <c r="U28">
        <f>MID($D28,5,1)</f>
        <v/>
      </c>
      <c r="V28">
        <f>MID($D28,6,1)</f>
        <v/>
      </c>
      <c r="W28">
        <f>MID($D28,7,1)</f>
        <v/>
      </c>
      <c r="X28">
        <f>MID($D28,8,1)</f>
        <v/>
      </c>
      <c r="Y28">
        <f>MID($D28,9,1)</f>
        <v/>
      </c>
      <c r="Z28">
        <f>MID($D28,10,1)</f>
        <v/>
      </c>
      <c r="AA28">
        <f>MID($E28,1,1)</f>
        <v/>
      </c>
      <c r="AB28">
        <f>MID($E28,2,1)</f>
        <v/>
      </c>
      <c r="AC28">
        <f>MID($E28,3,1)</f>
        <v/>
      </c>
      <c r="AD28">
        <f>MID($E28,4,1)</f>
        <v/>
      </c>
      <c r="AE28">
        <f>MID($E28,5,1)</f>
        <v/>
      </c>
      <c r="AF28">
        <f>MID($E28,6,1)</f>
        <v/>
      </c>
      <c r="AG28">
        <f>MID($E28,7,1)</f>
        <v/>
      </c>
      <c r="AH28">
        <f>MID($E28,8,1)</f>
        <v/>
      </c>
      <c r="AI28">
        <f>MID($E28,9,1)</f>
        <v/>
      </c>
      <c r="AJ28">
        <f>MID($E28,10,1)</f>
        <v/>
      </c>
    </row>
    <row r="29">
      <c r="A29" s="4" t="n">
        <v>28</v>
      </c>
      <c r="B29" s="4" t="inlineStr">
        <is>
          <t>UDP0231</t>
        </is>
      </c>
      <c r="C29" s="4" t="inlineStr">
        <is>
          <t>是</t>
        </is>
      </c>
      <c r="D29" s="5" t="inlineStr">
        <is>
          <t>AGTCAACCAT</t>
        </is>
      </c>
      <c r="E29" s="5" t="inlineStr">
        <is>
          <t>ACGGCCGTCA</t>
        </is>
      </c>
      <c r="F29" s="4">
        <f>LEN(SUBSTITUTE(SUBSTITUTE(D29,"A",""),"T",""))</f>
        <v/>
      </c>
      <c r="G29" s="4">
        <f>LEN(SUBSTITUTE(SUBSTITUTE(E29,"A",""),"T",""))</f>
        <v/>
      </c>
      <c r="H29" s="7" t="inlineStr">
        <is>
          <t>A</t>
        </is>
      </c>
      <c r="I29" s="4" t="n">
        <v>-6.67</v>
      </c>
      <c r="J29" s="4" t="n">
        <v>-4.17</v>
      </c>
      <c r="K29" s="4" t="n">
        <v>-2.61</v>
      </c>
      <c r="L29" s="4" t="n">
        <v>887417</v>
      </c>
      <c r="M29" s="4" t="n">
        <v>0</v>
      </c>
      <c r="N29" s="4" t="n">
        <v>1</v>
      </c>
      <c r="O29" s="4" t="n">
        <v>0</v>
      </c>
      <c r="P29" s="4" t="n">
        <v>0</v>
      </c>
      <c r="Q29">
        <f>MID($D29,1,1)</f>
        <v/>
      </c>
      <c r="R29">
        <f>MID($D29,2,1)</f>
        <v/>
      </c>
      <c r="S29">
        <f>MID($D29,3,1)</f>
        <v/>
      </c>
      <c r="T29">
        <f>MID($D29,4,1)</f>
        <v/>
      </c>
      <c r="U29">
        <f>MID($D29,5,1)</f>
        <v/>
      </c>
      <c r="V29">
        <f>MID($D29,6,1)</f>
        <v/>
      </c>
      <c r="W29">
        <f>MID($D29,7,1)</f>
        <v/>
      </c>
      <c r="X29">
        <f>MID($D29,8,1)</f>
        <v/>
      </c>
      <c r="Y29">
        <f>MID($D29,9,1)</f>
        <v/>
      </c>
      <c r="Z29">
        <f>MID($D29,10,1)</f>
        <v/>
      </c>
      <c r="AA29">
        <f>MID($E29,1,1)</f>
        <v/>
      </c>
      <c r="AB29">
        <f>MID($E29,2,1)</f>
        <v/>
      </c>
      <c r="AC29">
        <f>MID($E29,3,1)</f>
        <v/>
      </c>
      <c r="AD29">
        <f>MID($E29,4,1)</f>
        <v/>
      </c>
      <c r="AE29">
        <f>MID($E29,5,1)</f>
        <v/>
      </c>
      <c r="AF29">
        <f>MID($E29,6,1)</f>
        <v/>
      </c>
      <c r="AG29">
        <f>MID($E29,7,1)</f>
        <v/>
      </c>
      <c r="AH29">
        <f>MID($E29,8,1)</f>
        <v/>
      </c>
      <c r="AI29">
        <f>MID($E29,9,1)</f>
        <v/>
      </c>
      <c r="AJ29">
        <f>MID($E29,10,1)</f>
        <v/>
      </c>
    </row>
    <row r="30">
      <c r="A30" s="4" t="n">
        <v>29</v>
      </c>
      <c r="B30" s="4" t="inlineStr">
        <is>
          <t>UDP0238</t>
        </is>
      </c>
      <c r="C30" s="4" t="inlineStr">
        <is>
          <t>是</t>
        </is>
      </c>
      <c r="D30" s="5" t="inlineStr">
        <is>
          <t>TCTACATACC</t>
        </is>
      </c>
      <c r="E30" s="5" t="inlineStr">
        <is>
          <t>TGGTTAAGAA</t>
        </is>
      </c>
      <c r="F30" s="4">
        <f>LEN(SUBSTITUTE(SUBSTITUTE(D30,"A",""),"T",""))</f>
        <v/>
      </c>
      <c r="G30" s="4">
        <f>LEN(SUBSTITUTE(SUBSTITUTE(E30,"A",""),"T",""))</f>
        <v/>
      </c>
      <c r="H30" s="6" t="inlineStr">
        <is>
          <t>B</t>
        </is>
      </c>
      <c r="I30" s="4" t="n">
        <v>-6.68</v>
      </c>
      <c r="J30" s="4" t="n">
        <v>-4.54</v>
      </c>
      <c r="K30" s="4" t="n">
        <v>-2.61</v>
      </c>
      <c r="L30" s="4" t="n">
        <v>51514</v>
      </c>
      <c r="M30" s="4" t="n">
        <v>0</v>
      </c>
      <c r="N30" s="4" t="n">
        <v>2</v>
      </c>
      <c r="O30" s="4" t="n">
        <v>0</v>
      </c>
      <c r="P30" s="4" t="n">
        <v>0</v>
      </c>
      <c r="Q30">
        <f>MID($D30,1,1)</f>
        <v/>
      </c>
      <c r="R30">
        <f>MID($D30,2,1)</f>
        <v/>
      </c>
      <c r="S30">
        <f>MID($D30,3,1)</f>
        <v/>
      </c>
      <c r="T30">
        <f>MID($D30,4,1)</f>
        <v/>
      </c>
      <c r="U30">
        <f>MID($D30,5,1)</f>
        <v/>
      </c>
      <c r="V30">
        <f>MID($D30,6,1)</f>
        <v/>
      </c>
      <c r="W30">
        <f>MID($D30,7,1)</f>
        <v/>
      </c>
      <c r="X30">
        <f>MID($D30,8,1)</f>
        <v/>
      </c>
      <c r="Y30">
        <f>MID($D30,9,1)</f>
        <v/>
      </c>
      <c r="Z30">
        <f>MID($D30,10,1)</f>
        <v/>
      </c>
      <c r="AA30">
        <f>MID($E30,1,1)</f>
        <v/>
      </c>
      <c r="AB30">
        <f>MID($E30,2,1)</f>
        <v/>
      </c>
      <c r="AC30">
        <f>MID($E30,3,1)</f>
        <v/>
      </c>
      <c r="AD30">
        <f>MID($E30,4,1)</f>
        <v/>
      </c>
      <c r="AE30">
        <f>MID($E30,5,1)</f>
        <v/>
      </c>
      <c r="AF30">
        <f>MID($E30,6,1)</f>
        <v/>
      </c>
      <c r="AG30">
        <f>MID($E30,7,1)</f>
        <v/>
      </c>
      <c r="AH30">
        <f>MID($E30,8,1)</f>
        <v/>
      </c>
      <c r="AI30">
        <f>MID($E30,9,1)</f>
        <v/>
      </c>
      <c r="AJ30">
        <f>MID($E30,10,1)</f>
        <v/>
      </c>
    </row>
    <row r="31">
      <c r="A31" s="4" t="n">
        <v>30</v>
      </c>
      <c r="B31" s="4" t="inlineStr">
        <is>
          <t>UDP0239</t>
        </is>
      </c>
      <c r="C31" s="4" t="inlineStr">
        <is>
          <t>是</t>
        </is>
      </c>
      <c r="D31" s="5" t="inlineStr">
        <is>
          <t>CACGTTAGGC</t>
        </is>
      </c>
      <c r="E31" s="5" t="inlineStr">
        <is>
          <t>ACTCTTCCTT</t>
        </is>
      </c>
      <c r="F31" s="4">
        <f>LEN(SUBSTITUTE(SUBSTITUTE(D31,"A",""),"T",""))</f>
        <v/>
      </c>
      <c r="G31" s="4">
        <f>LEN(SUBSTITUTE(SUBSTITUTE(E31,"A",""),"T",""))</f>
        <v/>
      </c>
      <c r="H31" s="6" t="inlineStr">
        <is>
          <t>B</t>
        </is>
      </c>
      <c r="I31" s="4" t="n">
        <v>-7.3</v>
      </c>
      <c r="J31" s="4" t="n">
        <v>-4.78</v>
      </c>
      <c r="K31" s="4" t="n">
        <v>-1.86</v>
      </c>
      <c r="L31" s="4" t="n">
        <v>75435</v>
      </c>
      <c r="M31" s="4" t="n">
        <v>0</v>
      </c>
      <c r="N31" s="4" t="n">
        <v>1</v>
      </c>
      <c r="O31" s="4" t="n">
        <v>0</v>
      </c>
      <c r="P31" s="4" t="n">
        <v>0</v>
      </c>
      <c r="Q31">
        <f>MID($D31,1,1)</f>
        <v/>
      </c>
      <c r="R31">
        <f>MID($D31,2,1)</f>
        <v/>
      </c>
      <c r="S31">
        <f>MID($D31,3,1)</f>
        <v/>
      </c>
      <c r="T31">
        <f>MID($D31,4,1)</f>
        <v/>
      </c>
      <c r="U31">
        <f>MID($D31,5,1)</f>
        <v/>
      </c>
      <c r="V31">
        <f>MID($D31,6,1)</f>
        <v/>
      </c>
      <c r="W31">
        <f>MID($D31,7,1)</f>
        <v/>
      </c>
      <c r="X31">
        <f>MID($D31,8,1)</f>
        <v/>
      </c>
      <c r="Y31">
        <f>MID($D31,9,1)</f>
        <v/>
      </c>
      <c r="Z31">
        <f>MID($D31,10,1)</f>
        <v/>
      </c>
      <c r="AA31">
        <f>MID($E31,1,1)</f>
        <v/>
      </c>
      <c r="AB31">
        <f>MID($E31,2,1)</f>
        <v/>
      </c>
      <c r="AC31">
        <f>MID($E31,3,1)</f>
        <v/>
      </c>
      <c r="AD31">
        <f>MID($E31,4,1)</f>
        <v/>
      </c>
      <c r="AE31">
        <f>MID($E31,5,1)</f>
        <v/>
      </c>
      <c r="AF31">
        <f>MID($E31,6,1)</f>
        <v/>
      </c>
      <c r="AG31">
        <f>MID($E31,7,1)</f>
        <v/>
      </c>
      <c r="AH31">
        <f>MID($E31,8,1)</f>
        <v/>
      </c>
      <c r="AI31">
        <f>MID($E31,9,1)</f>
        <v/>
      </c>
      <c r="AJ31">
        <f>MID($E31,10,1)</f>
        <v/>
      </c>
    </row>
    <row r="32">
      <c r="A32" s="4" t="n">
        <v>31</v>
      </c>
      <c r="B32" s="4" t="inlineStr">
        <is>
          <t>UDP0252V2</t>
        </is>
      </c>
      <c r="C32" s="4" t="inlineStr">
        <is>
          <t>是</t>
        </is>
      </c>
      <c r="D32" s="5" t="inlineStr">
        <is>
          <t>ATGAATCAAG</t>
        </is>
      </c>
      <c r="E32" s="5" t="inlineStr">
        <is>
          <t>CCAGATTCGG</t>
        </is>
      </c>
      <c r="F32" s="4">
        <f>LEN(SUBSTITUTE(SUBSTITUTE(D32,"A",""),"T",""))</f>
        <v/>
      </c>
      <c r="G32" s="4">
        <f>LEN(SUBSTITUTE(SUBSTITUTE(E32,"A",""),"T",""))</f>
        <v/>
      </c>
      <c r="H32" s="6" t="inlineStr">
        <is>
          <t>B</t>
        </is>
      </c>
      <c r="I32" s="4" t="n">
        <v>-8.369999999999999</v>
      </c>
      <c r="J32" s="4" t="n">
        <v>-4.41</v>
      </c>
      <c r="K32" s="4" t="n">
        <v>-3.69</v>
      </c>
      <c r="L32" s="4" t="n">
        <v>79336</v>
      </c>
      <c r="M32" s="4" t="n">
        <v>0</v>
      </c>
      <c r="N32" s="4" t="n">
        <v>0</v>
      </c>
      <c r="O32" s="4" t="n">
        <v>1</v>
      </c>
      <c r="P32" s="4" t="n">
        <v>3</v>
      </c>
      <c r="Q32">
        <f>MID($D32,1,1)</f>
        <v/>
      </c>
      <c r="R32">
        <f>MID($D32,2,1)</f>
        <v/>
      </c>
      <c r="S32">
        <f>MID($D32,3,1)</f>
        <v/>
      </c>
      <c r="T32">
        <f>MID($D32,4,1)</f>
        <v/>
      </c>
      <c r="U32">
        <f>MID($D32,5,1)</f>
        <v/>
      </c>
      <c r="V32">
        <f>MID($D32,6,1)</f>
        <v/>
      </c>
      <c r="W32">
        <f>MID($D32,7,1)</f>
        <v/>
      </c>
      <c r="X32">
        <f>MID($D32,8,1)</f>
        <v/>
      </c>
      <c r="Y32">
        <f>MID($D32,9,1)</f>
        <v/>
      </c>
      <c r="Z32">
        <f>MID($D32,10,1)</f>
        <v/>
      </c>
      <c r="AA32">
        <f>MID($E32,1,1)</f>
        <v/>
      </c>
      <c r="AB32">
        <f>MID($E32,2,1)</f>
        <v/>
      </c>
      <c r="AC32">
        <f>MID($E32,3,1)</f>
        <v/>
      </c>
      <c r="AD32">
        <f>MID($E32,4,1)</f>
        <v/>
      </c>
      <c r="AE32">
        <f>MID($E32,5,1)</f>
        <v/>
      </c>
      <c r="AF32">
        <f>MID($E32,6,1)</f>
        <v/>
      </c>
      <c r="AG32">
        <f>MID($E32,7,1)</f>
        <v/>
      </c>
      <c r="AH32">
        <f>MID($E32,8,1)</f>
        <v/>
      </c>
      <c r="AI32">
        <f>MID($E32,9,1)</f>
        <v/>
      </c>
      <c r="AJ32">
        <f>MID($E32,10,1)</f>
        <v/>
      </c>
    </row>
    <row r="33">
      <c r="A33" s="4" t="n">
        <v>32</v>
      </c>
      <c r="B33" s="4" t="inlineStr">
        <is>
          <t>UDP0301V2</t>
        </is>
      </c>
      <c r="C33" s="4" t="inlineStr">
        <is>
          <t>是</t>
        </is>
      </c>
      <c r="D33" s="5" t="inlineStr">
        <is>
          <t>AGTTACTTGG</t>
        </is>
      </c>
      <c r="E33" s="5" t="inlineStr">
        <is>
          <t>CAAGCCACTA</t>
        </is>
      </c>
      <c r="F33" s="4">
        <f>LEN(SUBSTITUTE(SUBSTITUTE(D33,"A",""),"T",""))</f>
        <v/>
      </c>
      <c r="G33" s="4">
        <f>LEN(SUBSTITUTE(SUBSTITUTE(E33,"A",""),"T",""))</f>
        <v/>
      </c>
      <c r="H33" s="6" t="inlineStr">
        <is>
          <t>B</t>
        </is>
      </c>
      <c r="I33" s="4" t="n">
        <v>-7.9</v>
      </c>
      <c r="J33" s="4" t="n">
        <v>-3.93</v>
      </c>
      <c r="K33" s="4" t="n">
        <v>-2.61</v>
      </c>
      <c r="L33" s="4" t="n">
        <v>114427</v>
      </c>
      <c r="M33" s="4" t="n">
        <v>0</v>
      </c>
      <c r="N33" s="4" t="n">
        <v>2</v>
      </c>
      <c r="O33" s="4" t="n">
        <v>1</v>
      </c>
      <c r="P33" s="4" t="n">
        <v>3</v>
      </c>
      <c r="Q33">
        <f>MID($D33,1,1)</f>
        <v/>
      </c>
      <c r="R33">
        <f>MID($D33,2,1)</f>
        <v/>
      </c>
      <c r="S33">
        <f>MID($D33,3,1)</f>
        <v/>
      </c>
      <c r="T33">
        <f>MID($D33,4,1)</f>
        <v/>
      </c>
      <c r="U33">
        <f>MID($D33,5,1)</f>
        <v/>
      </c>
      <c r="V33">
        <f>MID($D33,6,1)</f>
        <v/>
      </c>
      <c r="W33">
        <f>MID($D33,7,1)</f>
        <v/>
      </c>
      <c r="X33">
        <f>MID($D33,8,1)</f>
        <v/>
      </c>
      <c r="Y33">
        <f>MID($D33,9,1)</f>
        <v/>
      </c>
      <c r="Z33">
        <f>MID($D33,10,1)</f>
        <v/>
      </c>
      <c r="AA33">
        <f>MID($E33,1,1)</f>
        <v/>
      </c>
      <c r="AB33">
        <f>MID($E33,2,1)</f>
        <v/>
      </c>
      <c r="AC33">
        <f>MID($E33,3,1)</f>
        <v/>
      </c>
      <c r="AD33">
        <f>MID($E33,4,1)</f>
        <v/>
      </c>
      <c r="AE33">
        <f>MID($E33,5,1)</f>
        <v/>
      </c>
      <c r="AF33">
        <f>MID($E33,6,1)</f>
        <v/>
      </c>
      <c r="AG33">
        <f>MID($E33,7,1)</f>
        <v/>
      </c>
      <c r="AH33">
        <f>MID($E33,8,1)</f>
        <v/>
      </c>
      <c r="AI33">
        <f>MID($E33,9,1)</f>
        <v/>
      </c>
      <c r="AJ33">
        <f>MID($E33,10,1)</f>
        <v/>
      </c>
    </row>
    <row r="34">
      <c r="A34" s="4" t="n">
        <v>33</v>
      </c>
      <c r="B34" s="4" t="inlineStr">
        <is>
          <t>UDP0312</t>
        </is>
      </c>
      <c r="C34" s="4" t="inlineStr">
        <is>
          <t>是</t>
        </is>
      </c>
      <c r="D34" s="5" t="inlineStr">
        <is>
          <t>TCTCGGACGA</t>
        </is>
      </c>
      <c r="E34" s="5" t="inlineStr">
        <is>
          <t>ACTTCCTAGC</t>
        </is>
      </c>
      <c r="F34" s="4">
        <f>LEN(SUBSTITUTE(SUBSTITUTE(D34,"A",""),"T",""))</f>
        <v/>
      </c>
      <c r="G34" s="4">
        <f>LEN(SUBSTITUTE(SUBSTITUTE(E34,"A",""),"T",""))</f>
        <v/>
      </c>
      <c r="H34" s="7" t="inlineStr">
        <is>
          <t>A</t>
        </is>
      </c>
      <c r="I34" s="4" t="n">
        <v>-6.43</v>
      </c>
      <c r="J34" s="4" t="n">
        <v>-4.11</v>
      </c>
      <c r="K34" s="4" t="n">
        <v>-1.62</v>
      </c>
      <c r="L34" s="4" t="n">
        <v>82839</v>
      </c>
      <c r="M34" s="4" t="n">
        <v>0</v>
      </c>
      <c r="N34" s="4" t="n">
        <v>0</v>
      </c>
      <c r="O34" s="4" t="n">
        <v>0</v>
      </c>
      <c r="P34" s="4" t="n">
        <v>1</v>
      </c>
      <c r="Q34">
        <f>MID($D34,1,1)</f>
        <v/>
      </c>
      <c r="R34">
        <f>MID($D34,2,1)</f>
        <v/>
      </c>
      <c r="S34">
        <f>MID($D34,3,1)</f>
        <v/>
      </c>
      <c r="T34">
        <f>MID($D34,4,1)</f>
        <v/>
      </c>
      <c r="U34">
        <f>MID($D34,5,1)</f>
        <v/>
      </c>
      <c r="V34">
        <f>MID($D34,6,1)</f>
        <v/>
      </c>
      <c r="W34">
        <f>MID($D34,7,1)</f>
        <v/>
      </c>
      <c r="X34">
        <f>MID($D34,8,1)</f>
        <v/>
      </c>
      <c r="Y34">
        <f>MID($D34,9,1)</f>
        <v/>
      </c>
      <c r="Z34">
        <f>MID($D34,10,1)</f>
        <v/>
      </c>
      <c r="AA34">
        <f>MID($E34,1,1)</f>
        <v/>
      </c>
      <c r="AB34">
        <f>MID($E34,2,1)</f>
        <v/>
      </c>
      <c r="AC34">
        <f>MID($E34,3,1)</f>
        <v/>
      </c>
      <c r="AD34">
        <f>MID($E34,4,1)</f>
        <v/>
      </c>
      <c r="AE34">
        <f>MID($E34,5,1)</f>
        <v/>
      </c>
      <c r="AF34">
        <f>MID($E34,6,1)</f>
        <v/>
      </c>
      <c r="AG34">
        <f>MID($E34,7,1)</f>
        <v/>
      </c>
      <c r="AH34">
        <f>MID($E34,8,1)</f>
        <v/>
      </c>
      <c r="AI34">
        <f>MID($E34,9,1)</f>
        <v/>
      </c>
      <c r="AJ34">
        <f>MID($E34,10,1)</f>
        <v/>
      </c>
    </row>
    <row r="35">
      <c r="A35" s="4" t="n">
        <v>34</v>
      </c>
      <c r="B35" s="4" t="inlineStr">
        <is>
          <t>UDP0314</t>
        </is>
      </c>
      <c r="C35" s="4" t="inlineStr">
        <is>
          <t>是</t>
        </is>
      </c>
      <c r="D35" s="5" t="inlineStr">
        <is>
          <t>GTTGTACTCA</t>
        </is>
      </c>
      <c r="E35" s="5" t="inlineStr">
        <is>
          <t>AGCGTGAATG</t>
        </is>
      </c>
      <c r="F35" s="4">
        <f>LEN(SUBSTITUTE(SUBSTITUTE(D35,"A",""),"T",""))</f>
        <v/>
      </c>
      <c r="G35" s="4">
        <f>LEN(SUBSTITUTE(SUBSTITUTE(E35,"A",""),"T",""))</f>
        <v/>
      </c>
      <c r="H35" s="7" t="inlineStr">
        <is>
          <t>A</t>
        </is>
      </c>
      <c r="I35" s="4" t="n">
        <v>-6.27</v>
      </c>
      <c r="J35" s="4" t="n">
        <v>-3.93</v>
      </c>
      <c r="K35" s="4" t="n">
        <v>-1.77</v>
      </c>
      <c r="L35" s="4" t="n">
        <v>41964</v>
      </c>
      <c r="M35" s="4" t="n">
        <v>0</v>
      </c>
      <c r="N35" s="4" t="n">
        <v>1</v>
      </c>
      <c r="O35" s="4" t="n">
        <v>0</v>
      </c>
      <c r="P35" s="4" t="n">
        <v>2</v>
      </c>
      <c r="Q35">
        <f>MID($D35,1,1)</f>
        <v/>
      </c>
      <c r="R35">
        <f>MID($D35,2,1)</f>
        <v/>
      </c>
      <c r="S35">
        <f>MID($D35,3,1)</f>
        <v/>
      </c>
      <c r="T35">
        <f>MID($D35,4,1)</f>
        <v/>
      </c>
      <c r="U35">
        <f>MID($D35,5,1)</f>
        <v/>
      </c>
      <c r="V35">
        <f>MID($D35,6,1)</f>
        <v/>
      </c>
      <c r="W35">
        <f>MID($D35,7,1)</f>
        <v/>
      </c>
      <c r="X35">
        <f>MID($D35,8,1)</f>
        <v/>
      </c>
      <c r="Y35">
        <f>MID($D35,9,1)</f>
        <v/>
      </c>
      <c r="Z35">
        <f>MID($D35,10,1)</f>
        <v/>
      </c>
      <c r="AA35">
        <f>MID($E35,1,1)</f>
        <v/>
      </c>
      <c r="AB35">
        <f>MID($E35,2,1)</f>
        <v/>
      </c>
      <c r="AC35">
        <f>MID($E35,3,1)</f>
        <v/>
      </c>
      <c r="AD35">
        <f>MID($E35,4,1)</f>
        <v/>
      </c>
      <c r="AE35">
        <f>MID($E35,5,1)</f>
        <v/>
      </c>
      <c r="AF35">
        <f>MID($E35,6,1)</f>
        <v/>
      </c>
      <c r="AG35">
        <f>MID($E35,7,1)</f>
        <v/>
      </c>
      <c r="AH35">
        <f>MID($E35,8,1)</f>
        <v/>
      </c>
      <c r="AI35">
        <f>MID($E35,9,1)</f>
        <v/>
      </c>
      <c r="AJ35">
        <f>MID($E35,10,1)</f>
        <v/>
      </c>
    </row>
    <row r="36">
      <c r="A36" s="4" t="n">
        <v>35</v>
      </c>
      <c r="B36" s="4" t="inlineStr">
        <is>
          <t>UDP0316</t>
        </is>
      </c>
      <c r="C36" s="4" t="inlineStr">
        <is>
          <t>是</t>
        </is>
      </c>
      <c r="D36" s="5" t="inlineStr">
        <is>
          <t>AGTCCGAGGA</t>
        </is>
      </c>
      <c r="E36" s="5" t="inlineStr">
        <is>
          <t>TGTACCGAAT</t>
        </is>
      </c>
      <c r="F36" s="4">
        <f>LEN(SUBSTITUTE(SUBSTITUTE(D36,"A",""),"T",""))</f>
        <v/>
      </c>
      <c r="G36" s="4">
        <f>LEN(SUBSTITUTE(SUBSTITUTE(E36,"A",""),"T",""))</f>
        <v/>
      </c>
      <c r="H36" s="7" t="inlineStr">
        <is>
          <t>A</t>
        </is>
      </c>
      <c r="I36" s="4" t="n">
        <v>-5.74</v>
      </c>
      <c r="J36" s="4" t="n">
        <v>-4.31</v>
      </c>
      <c r="K36" s="4" t="n">
        <v>-1.76</v>
      </c>
      <c r="L36" s="4" t="n">
        <v>55996</v>
      </c>
      <c r="M36" s="4" t="n">
        <v>0</v>
      </c>
      <c r="N36" s="4" t="n">
        <v>0</v>
      </c>
      <c r="O36" s="4" t="n">
        <v>0</v>
      </c>
      <c r="P36" s="4" t="n">
        <v>2</v>
      </c>
      <c r="Q36">
        <f>MID($D36,1,1)</f>
        <v/>
      </c>
      <c r="R36">
        <f>MID($D36,2,1)</f>
        <v/>
      </c>
      <c r="S36">
        <f>MID($D36,3,1)</f>
        <v/>
      </c>
      <c r="T36">
        <f>MID($D36,4,1)</f>
        <v/>
      </c>
      <c r="U36">
        <f>MID($D36,5,1)</f>
        <v/>
      </c>
      <c r="V36">
        <f>MID($D36,6,1)</f>
        <v/>
      </c>
      <c r="W36">
        <f>MID($D36,7,1)</f>
        <v/>
      </c>
      <c r="X36">
        <f>MID($D36,8,1)</f>
        <v/>
      </c>
      <c r="Y36">
        <f>MID($D36,9,1)</f>
        <v/>
      </c>
      <c r="Z36">
        <f>MID($D36,10,1)</f>
        <v/>
      </c>
      <c r="AA36">
        <f>MID($E36,1,1)</f>
        <v/>
      </c>
      <c r="AB36">
        <f>MID($E36,2,1)</f>
        <v/>
      </c>
      <c r="AC36">
        <f>MID($E36,3,1)</f>
        <v/>
      </c>
      <c r="AD36">
        <f>MID($E36,4,1)</f>
        <v/>
      </c>
      <c r="AE36">
        <f>MID($E36,5,1)</f>
        <v/>
      </c>
      <c r="AF36">
        <f>MID($E36,6,1)</f>
        <v/>
      </c>
      <c r="AG36">
        <f>MID($E36,7,1)</f>
        <v/>
      </c>
      <c r="AH36">
        <f>MID($E36,8,1)</f>
        <v/>
      </c>
      <c r="AI36">
        <f>MID($E36,9,1)</f>
        <v/>
      </c>
      <c r="AJ36">
        <f>MID($E36,10,1)</f>
        <v/>
      </c>
    </row>
    <row r="37">
      <c r="A37" s="4" t="n">
        <v>36</v>
      </c>
      <c r="B37" s="4" t="inlineStr">
        <is>
          <t>UDP0318</t>
        </is>
      </c>
      <c r="C37" s="4" t="inlineStr">
        <is>
          <t>是</t>
        </is>
      </c>
      <c r="D37" s="5" t="inlineStr">
        <is>
          <t>TACTCTGTTA</t>
        </is>
      </c>
      <c r="E37" s="5" t="inlineStr">
        <is>
          <t>TACTAACACA</t>
        </is>
      </c>
      <c r="F37" s="4">
        <f>LEN(SUBSTITUTE(SUBSTITUTE(D37,"A",""),"T",""))</f>
        <v/>
      </c>
      <c r="G37" s="4">
        <f>LEN(SUBSTITUTE(SUBSTITUTE(E37,"A",""),"T",""))</f>
        <v/>
      </c>
      <c r="H37" s="7" t="inlineStr">
        <is>
          <t>A</t>
        </is>
      </c>
      <c r="I37" s="4" t="n">
        <v>-6.44</v>
      </c>
      <c r="J37" s="4" t="n">
        <v>-3.83</v>
      </c>
      <c r="K37" s="4" t="n">
        <v>-2.61</v>
      </c>
      <c r="L37" s="4" t="n">
        <v>53992</v>
      </c>
      <c r="M37" s="4" t="n">
        <v>0</v>
      </c>
      <c r="N37" s="4" t="n">
        <v>2</v>
      </c>
      <c r="O37" s="4" t="n">
        <v>0</v>
      </c>
      <c r="P37" s="4" t="n">
        <v>2</v>
      </c>
      <c r="Q37">
        <f>MID($D37,1,1)</f>
        <v/>
      </c>
      <c r="R37">
        <f>MID($D37,2,1)</f>
        <v/>
      </c>
      <c r="S37">
        <f>MID($D37,3,1)</f>
        <v/>
      </c>
      <c r="T37">
        <f>MID($D37,4,1)</f>
        <v/>
      </c>
      <c r="U37">
        <f>MID($D37,5,1)</f>
        <v/>
      </c>
      <c r="V37">
        <f>MID($D37,6,1)</f>
        <v/>
      </c>
      <c r="W37">
        <f>MID($D37,7,1)</f>
        <v/>
      </c>
      <c r="X37">
        <f>MID($D37,8,1)</f>
        <v/>
      </c>
      <c r="Y37">
        <f>MID($D37,9,1)</f>
        <v/>
      </c>
      <c r="Z37">
        <f>MID($D37,10,1)</f>
        <v/>
      </c>
      <c r="AA37">
        <f>MID($E37,1,1)</f>
        <v/>
      </c>
      <c r="AB37">
        <f>MID($E37,2,1)</f>
        <v/>
      </c>
      <c r="AC37">
        <f>MID($E37,3,1)</f>
        <v/>
      </c>
      <c r="AD37">
        <f>MID($E37,4,1)</f>
        <v/>
      </c>
      <c r="AE37">
        <f>MID($E37,5,1)</f>
        <v/>
      </c>
      <c r="AF37">
        <f>MID($E37,6,1)</f>
        <v/>
      </c>
      <c r="AG37">
        <f>MID($E37,7,1)</f>
        <v/>
      </c>
      <c r="AH37">
        <f>MID($E37,8,1)</f>
        <v/>
      </c>
      <c r="AI37">
        <f>MID($E37,9,1)</f>
        <v/>
      </c>
      <c r="AJ37">
        <f>MID($E37,10,1)</f>
        <v/>
      </c>
    </row>
    <row r="38">
      <c r="A38" s="4" t="n">
        <v>37</v>
      </c>
      <c r="B38" s="4" t="inlineStr">
        <is>
          <t>UDP0319</t>
        </is>
      </c>
      <c r="C38" s="4" t="inlineStr">
        <is>
          <t>是</t>
        </is>
      </c>
      <c r="D38" s="5" t="inlineStr">
        <is>
          <t>GCGACTCGAT</t>
        </is>
      </c>
      <c r="E38" s="5" t="inlineStr">
        <is>
          <t>TAGGTCGTTG</t>
        </is>
      </c>
      <c r="F38" s="4">
        <f>LEN(SUBSTITUTE(SUBSTITUTE(D38,"A",""),"T",""))</f>
        <v/>
      </c>
      <c r="G38" s="4">
        <f>LEN(SUBSTITUTE(SUBSTITUTE(E38,"A",""),"T",""))</f>
        <v/>
      </c>
      <c r="H38" s="7" t="inlineStr">
        <is>
          <t>A</t>
        </is>
      </c>
      <c r="I38" s="4" t="n">
        <v>-5.74</v>
      </c>
      <c r="J38" s="4" t="n">
        <v>-4.18</v>
      </c>
      <c r="K38" s="4" t="n">
        <v>-1.77</v>
      </c>
      <c r="L38" s="4" t="n">
        <v>36800</v>
      </c>
      <c r="M38" s="4" t="n">
        <v>0</v>
      </c>
      <c r="N38" s="4" t="n">
        <v>0</v>
      </c>
      <c r="O38" s="4" t="n">
        <v>0</v>
      </c>
      <c r="P38" s="4" t="n">
        <v>0</v>
      </c>
      <c r="Q38">
        <f>MID($D38,1,1)</f>
        <v/>
      </c>
      <c r="R38">
        <f>MID($D38,2,1)</f>
        <v/>
      </c>
      <c r="S38">
        <f>MID($D38,3,1)</f>
        <v/>
      </c>
      <c r="T38">
        <f>MID($D38,4,1)</f>
        <v/>
      </c>
      <c r="U38">
        <f>MID($D38,5,1)</f>
        <v/>
      </c>
      <c r="V38">
        <f>MID($D38,6,1)</f>
        <v/>
      </c>
      <c r="W38">
        <f>MID($D38,7,1)</f>
        <v/>
      </c>
      <c r="X38">
        <f>MID($D38,8,1)</f>
        <v/>
      </c>
      <c r="Y38">
        <f>MID($D38,9,1)</f>
        <v/>
      </c>
      <c r="Z38">
        <f>MID($D38,10,1)</f>
        <v/>
      </c>
      <c r="AA38">
        <f>MID($E38,1,1)</f>
        <v/>
      </c>
      <c r="AB38">
        <f>MID($E38,2,1)</f>
        <v/>
      </c>
      <c r="AC38">
        <f>MID($E38,3,1)</f>
        <v/>
      </c>
      <c r="AD38">
        <f>MID($E38,4,1)</f>
        <v/>
      </c>
      <c r="AE38">
        <f>MID($E38,5,1)</f>
        <v/>
      </c>
      <c r="AF38">
        <f>MID($E38,6,1)</f>
        <v/>
      </c>
      <c r="AG38">
        <f>MID($E38,7,1)</f>
        <v/>
      </c>
      <c r="AH38">
        <f>MID($E38,8,1)</f>
        <v/>
      </c>
      <c r="AI38">
        <f>MID($E38,9,1)</f>
        <v/>
      </c>
      <c r="AJ38">
        <f>MID($E38,10,1)</f>
        <v/>
      </c>
    </row>
    <row r="39">
      <c r="A39" s="4" t="n">
        <v>38</v>
      </c>
      <c r="B39" s="4" t="inlineStr">
        <is>
          <t>UDP0326</t>
        </is>
      </c>
      <c r="C39" s="4" t="inlineStr">
        <is>
          <t>是</t>
        </is>
      </c>
      <c r="D39" s="5" t="inlineStr">
        <is>
          <t>CAATGCTGAA</t>
        </is>
      </c>
      <c r="E39" s="5" t="inlineStr">
        <is>
          <t>GCCAGATCCA</t>
        </is>
      </c>
      <c r="F39" s="4">
        <f>LEN(SUBSTITUTE(SUBSTITUTE(D39,"A",""),"T",""))</f>
        <v/>
      </c>
      <c r="G39" s="4">
        <f>LEN(SUBSTITUTE(SUBSTITUTE(E39,"A",""),"T",""))</f>
        <v/>
      </c>
      <c r="H39" s="7" t="inlineStr">
        <is>
          <t>A</t>
        </is>
      </c>
      <c r="I39" s="4" t="n">
        <v>-6.46</v>
      </c>
      <c r="J39" s="4" t="n">
        <v>-3.83</v>
      </c>
      <c r="K39" s="4" t="n">
        <v>-2.61</v>
      </c>
      <c r="L39" s="4" t="n">
        <v>62669</v>
      </c>
      <c r="M39" s="4" t="n">
        <v>0</v>
      </c>
      <c r="N39" s="4" t="n">
        <v>0</v>
      </c>
      <c r="O39" s="4" t="n">
        <v>0</v>
      </c>
      <c r="P39" s="4" t="n">
        <v>0</v>
      </c>
      <c r="Q39">
        <f>MID($D39,1,1)</f>
        <v/>
      </c>
      <c r="R39">
        <f>MID($D39,2,1)</f>
        <v/>
      </c>
      <c r="S39">
        <f>MID($D39,3,1)</f>
        <v/>
      </c>
      <c r="T39">
        <f>MID($D39,4,1)</f>
        <v/>
      </c>
      <c r="U39">
        <f>MID($D39,5,1)</f>
        <v/>
      </c>
      <c r="V39">
        <f>MID($D39,6,1)</f>
        <v/>
      </c>
      <c r="W39">
        <f>MID($D39,7,1)</f>
        <v/>
      </c>
      <c r="X39">
        <f>MID($D39,8,1)</f>
        <v/>
      </c>
      <c r="Y39">
        <f>MID($D39,9,1)</f>
        <v/>
      </c>
      <c r="Z39">
        <f>MID($D39,10,1)</f>
        <v/>
      </c>
      <c r="AA39">
        <f>MID($E39,1,1)</f>
        <v/>
      </c>
      <c r="AB39">
        <f>MID($E39,2,1)</f>
        <v/>
      </c>
      <c r="AC39">
        <f>MID($E39,3,1)</f>
        <v/>
      </c>
      <c r="AD39">
        <f>MID($E39,4,1)</f>
        <v/>
      </c>
      <c r="AE39">
        <f>MID($E39,5,1)</f>
        <v/>
      </c>
      <c r="AF39">
        <f>MID($E39,6,1)</f>
        <v/>
      </c>
      <c r="AG39">
        <f>MID($E39,7,1)</f>
        <v/>
      </c>
      <c r="AH39">
        <f>MID($E39,8,1)</f>
        <v/>
      </c>
      <c r="AI39">
        <f>MID($E39,9,1)</f>
        <v/>
      </c>
      <c r="AJ39">
        <f>MID($E39,10,1)</f>
        <v/>
      </c>
    </row>
    <row r="40">
      <c r="A40" s="4" t="n">
        <v>39</v>
      </c>
      <c r="B40" s="4" t="inlineStr">
        <is>
          <t>UDP0331</t>
        </is>
      </c>
      <c r="C40" s="4" t="inlineStr">
        <is>
          <t>是</t>
        </is>
      </c>
      <c r="D40" s="5" t="inlineStr">
        <is>
          <t>CGAAGACGCA</t>
        </is>
      </c>
      <c r="E40" s="5" t="inlineStr">
        <is>
          <t>ACAAGGATTG</t>
        </is>
      </c>
      <c r="F40" s="4">
        <f>LEN(SUBSTITUTE(SUBSTITUTE(D40,"A",""),"T",""))</f>
        <v/>
      </c>
      <c r="G40" s="4">
        <f>LEN(SUBSTITUTE(SUBSTITUTE(E40,"A",""),"T",""))</f>
        <v/>
      </c>
      <c r="H40" s="7" t="inlineStr">
        <is>
          <t>A</t>
        </is>
      </c>
      <c r="I40" s="4" t="n">
        <v>-6.78</v>
      </c>
      <c r="J40" s="4" t="n">
        <v>-3.93</v>
      </c>
      <c r="K40" s="4" t="n">
        <v>-2.99</v>
      </c>
      <c r="L40" s="4" t="n">
        <v>38167</v>
      </c>
      <c r="M40" s="4" t="n">
        <v>0</v>
      </c>
      <c r="N40" s="4" t="n">
        <v>1</v>
      </c>
      <c r="O40" s="4" t="n">
        <v>1</v>
      </c>
      <c r="P40" s="4" t="n">
        <v>2</v>
      </c>
      <c r="Q40">
        <f>MID($D40,1,1)</f>
        <v/>
      </c>
      <c r="R40">
        <f>MID($D40,2,1)</f>
        <v/>
      </c>
      <c r="S40">
        <f>MID($D40,3,1)</f>
        <v/>
      </c>
      <c r="T40">
        <f>MID($D40,4,1)</f>
        <v/>
      </c>
      <c r="U40">
        <f>MID($D40,5,1)</f>
        <v/>
      </c>
      <c r="V40">
        <f>MID($D40,6,1)</f>
        <v/>
      </c>
      <c r="W40">
        <f>MID($D40,7,1)</f>
        <v/>
      </c>
      <c r="X40">
        <f>MID($D40,8,1)</f>
        <v/>
      </c>
      <c r="Y40">
        <f>MID($D40,9,1)</f>
        <v/>
      </c>
      <c r="Z40">
        <f>MID($D40,10,1)</f>
        <v/>
      </c>
      <c r="AA40">
        <f>MID($E40,1,1)</f>
        <v/>
      </c>
      <c r="AB40">
        <f>MID($E40,2,1)</f>
        <v/>
      </c>
      <c r="AC40">
        <f>MID($E40,3,1)</f>
        <v/>
      </c>
      <c r="AD40">
        <f>MID($E40,4,1)</f>
        <v/>
      </c>
      <c r="AE40">
        <f>MID($E40,5,1)</f>
        <v/>
      </c>
      <c r="AF40">
        <f>MID($E40,6,1)</f>
        <v/>
      </c>
      <c r="AG40">
        <f>MID($E40,7,1)</f>
        <v/>
      </c>
      <c r="AH40">
        <f>MID($E40,8,1)</f>
        <v/>
      </c>
      <c r="AI40">
        <f>MID($E40,9,1)</f>
        <v/>
      </c>
      <c r="AJ40">
        <f>MID($E40,10,1)</f>
        <v/>
      </c>
    </row>
    <row r="41">
      <c r="A41" s="4" t="n">
        <v>40</v>
      </c>
      <c r="B41" s="4" t="inlineStr">
        <is>
          <t>UDP0340</t>
        </is>
      </c>
      <c r="C41" s="4" t="inlineStr">
        <is>
          <t>是</t>
        </is>
      </c>
      <c r="D41" s="5" t="inlineStr">
        <is>
          <t>CACCGAGGAA</t>
        </is>
      </c>
      <c r="E41" s="5" t="inlineStr">
        <is>
          <t>GACTGGTTGC</t>
        </is>
      </c>
      <c r="F41" s="4">
        <f>LEN(SUBSTITUTE(SUBSTITUTE(D41,"A",""),"T",""))</f>
        <v/>
      </c>
      <c r="G41" s="4">
        <f>LEN(SUBSTITUTE(SUBSTITUTE(E41,"A",""),"T",""))</f>
        <v/>
      </c>
      <c r="H41" s="7" t="inlineStr">
        <is>
          <t>A</t>
        </is>
      </c>
      <c r="I41" s="4" t="n">
        <v>-6.38</v>
      </c>
      <c r="J41" s="4" t="n">
        <v>-4.43</v>
      </c>
      <c r="K41" s="4" t="n">
        <v>-1.62</v>
      </c>
      <c r="L41" s="4" t="n">
        <v>80803</v>
      </c>
      <c r="M41" s="4" t="n">
        <v>0</v>
      </c>
      <c r="N41" s="4" t="n">
        <v>2</v>
      </c>
      <c r="O41" s="4" t="n">
        <v>0</v>
      </c>
      <c r="P41" s="4" t="n">
        <v>0</v>
      </c>
      <c r="Q41">
        <f>MID($D41,1,1)</f>
        <v/>
      </c>
      <c r="R41">
        <f>MID($D41,2,1)</f>
        <v/>
      </c>
      <c r="S41">
        <f>MID($D41,3,1)</f>
        <v/>
      </c>
      <c r="T41">
        <f>MID($D41,4,1)</f>
        <v/>
      </c>
      <c r="U41">
        <f>MID($D41,5,1)</f>
        <v/>
      </c>
      <c r="V41">
        <f>MID($D41,6,1)</f>
        <v/>
      </c>
      <c r="W41">
        <f>MID($D41,7,1)</f>
        <v/>
      </c>
      <c r="X41">
        <f>MID($D41,8,1)</f>
        <v/>
      </c>
      <c r="Y41">
        <f>MID($D41,9,1)</f>
        <v/>
      </c>
      <c r="Z41">
        <f>MID($D41,10,1)</f>
        <v/>
      </c>
      <c r="AA41">
        <f>MID($E41,1,1)</f>
        <v/>
      </c>
      <c r="AB41">
        <f>MID($E41,2,1)</f>
        <v/>
      </c>
      <c r="AC41">
        <f>MID($E41,3,1)</f>
        <v/>
      </c>
      <c r="AD41">
        <f>MID($E41,4,1)</f>
        <v/>
      </c>
      <c r="AE41">
        <f>MID($E41,5,1)</f>
        <v/>
      </c>
      <c r="AF41">
        <f>MID($E41,6,1)</f>
        <v/>
      </c>
      <c r="AG41">
        <f>MID($E41,7,1)</f>
        <v/>
      </c>
      <c r="AH41">
        <f>MID($E41,8,1)</f>
        <v/>
      </c>
      <c r="AI41">
        <f>MID($E41,9,1)</f>
        <v/>
      </c>
      <c r="AJ41">
        <f>MID($E41,10,1)</f>
        <v/>
      </c>
    </row>
    <row r="42">
      <c r="A42" s="4" t="n">
        <v>41</v>
      </c>
      <c r="B42" s="4" t="inlineStr">
        <is>
          <t>UDP0347</t>
        </is>
      </c>
      <c r="C42" s="4" t="inlineStr">
        <is>
          <t>是</t>
        </is>
      </c>
      <c r="D42" s="5" t="inlineStr">
        <is>
          <t>TGGCACGACC</t>
        </is>
      </c>
      <c r="E42" s="5" t="inlineStr">
        <is>
          <t>TGTGTAAGCT</t>
        </is>
      </c>
      <c r="F42" s="4">
        <f>LEN(SUBSTITUTE(SUBSTITUTE(D42,"A",""),"T",""))</f>
        <v/>
      </c>
      <c r="G42" s="4">
        <f>LEN(SUBSTITUTE(SUBSTITUTE(E42,"A",""),"T",""))</f>
        <v/>
      </c>
      <c r="H42" s="6" t="inlineStr">
        <is>
          <t>B</t>
        </is>
      </c>
      <c r="I42" s="4" t="n">
        <v>-6.75</v>
      </c>
      <c r="J42" s="4" t="n">
        <v>-4.54</v>
      </c>
      <c r="K42" s="4" t="n">
        <v>-1.59</v>
      </c>
      <c r="L42" s="4" t="n">
        <v>129910</v>
      </c>
      <c r="M42" s="4" t="n">
        <v>0</v>
      </c>
      <c r="N42" s="4" t="n">
        <v>3</v>
      </c>
      <c r="O42" s="4" t="n">
        <v>0</v>
      </c>
      <c r="P42" s="4" t="n">
        <v>0</v>
      </c>
      <c r="Q42">
        <f>MID($D42,1,1)</f>
        <v/>
      </c>
      <c r="R42">
        <f>MID($D42,2,1)</f>
        <v/>
      </c>
      <c r="S42">
        <f>MID($D42,3,1)</f>
        <v/>
      </c>
      <c r="T42">
        <f>MID($D42,4,1)</f>
        <v/>
      </c>
      <c r="U42">
        <f>MID($D42,5,1)</f>
        <v/>
      </c>
      <c r="V42">
        <f>MID($D42,6,1)</f>
        <v/>
      </c>
      <c r="W42">
        <f>MID($D42,7,1)</f>
        <v/>
      </c>
      <c r="X42">
        <f>MID($D42,8,1)</f>
        <v/>
      </c>
      <c r="Y42">
        <f>MID($D42,9,1)</f>
        <v/>
      </c>
      <c r="Z42">
        <f>MID($D42,10,1)</f>
        <v/>
      </c>
      <c r="AA42">
        <f>MID($E42,1,1)</f>
        <v/>
      </c>
      <c r="AB42">
        <f>MID($E42,2,1)</f>
        <v/>
      </c>
      <c r="AC42">
        <f>MID($E42,3,1)</f>
        <v/>
      </c>
      <c r="AD42">
        <f>MID($E42,4,1)</f>
        <v/>
      </c>
      <c r="AE42">
        <f>MID($E42,5,1)</f>
        <v/>
      </c>
      <c r="AF42">
        <f>MID($E42,6,1)</f>
        <v/>
      </c>
      <c r="AG42">
        <f>MID($E42,7,1)</f>
        <v/>
      </c>
      <c r="AH42">
        <f>MID($E42,8,1)</f>
        <v/>
      </c>
      <c r="AI42">
        <f>MID($E42,9,1)</f>
        <v/>
      </c>
      <c r="AJ42">
        <f>MID($E42,10,1)</f>
        <v/>
      </c>
    </row>
    <row r="43">
      <c r="A43" s="4" t="n">
        <v>42</v>
      </c>
      <c r="B43" s="4" t="inlineStr">
        <is>
          <t>UDP0348</t>
        </is>
      </c>
      <c r="C43" s="4" t="inlineStr">
        <is>
          <t>是</t>
        </is>
      </c>
      <c r="D43" s="5" t="inlineStr">
        <is>
          <t>GCCACAGCAC</t>
        </is>
      </c>
      <c r="E43" s="5" t="inlineStr">
        <is>
          <t>GTGGCTGGTT</t>
        </is>
      </c>
      <c r="F43" s="4">
        <f>LEN(SUBSTITUTE(SUBSTITUTE(D43,"A",""),"T",""))</f>
        <v/>
      </c>
      <c r="G43" s="4">
        <f>LEN(SUBSTITUTE(SUBSTITUTE(E43,"A",""),"T",""))</f>
        <v/>
      </c>
      <c r="H43" s="6" t="inlineStr">
        <is>
          <t>B</t>
        </is>
      </c>
      <c r="I43" s="4" t="n">
        <v>-7.5</v>
      </c>
      <c r="J43" s="4" t="n">
        <v>-4.95</v>
      </c>
      <c r="K43" s="4" t="n">
        <v>-1.99</v>
      </c>
      <c r="L43" s="4" t="n">
        <v>49821</v>
      </c>
      <c r="M43" s="4" t="n">
        <v>0</v>
      </c>
      <c r="N43" s="4" t="n">
        <v>0</v>
      </c>
      <c r="O43" s="4" t="n">
        <v>0</v>
      </c>
      <c r="P43" s="4" t="n">
        <v>0</v>
      </c>
      <c r="Q43">
        <f>MID($D43,1,1)</f>
        <v/>
      </c>
      <c r="R43">
        <f>MID($D43,2,1)</f>
        <v/>
      </c>
      <c r="S43">
        <f>MID($D43,3,1)</f>
        <v/>
      </c>
      <c r="T43">
        <f>MID($D43,4,1)</f>
        <v/>
      </c>
      <c r="U43">
        <f>MID($D43,5,1)</f>
        <v/>
      </c>
      <c r="V43">
        <f>MID($D43,6,1)</f>
        <v/>
      </c>
      <c r="W43">
        <f>MID($D43,7,1)</f>
        <v/>
      </c>
      <c r="X43">
        <f>MID($D43,8,1)</f>
        <v/>
      </c>
      <c r="Y43">
        <f>MID($D43,9,1)</f>
        <v/>
      </c>
      <c r="Z43">
        <f>MID($D43,10,1)</f>
        <v/>
      </c>
      <c r="AA43">
        <f>MID($E43,1,1)</f>
        <v/>
      </c>
      <c r="AB43">
        <f>MID($E43,2,1)</f>
        <v/>
      </c>
      <c r="AC43">
        <f>MID($E43,3,1)</f>
        <v/>
      </c>
      <c r="AD43">
        <f>MID($E43,4,1)</f>
        <v/>
      </c>
      <c r="AE43">
        <f>MID($E43,5,1)</f>
        <v/>
      </c>
      <c r="AF43">
        <f>MID($E43,6,1)</f>
        <v/>
      </c>
      <c r="AG43">
        <f>MID($E43,7,1)</f>
        <v/>
      </c>
      <c r="AH43">
        <f>MID($E43,8,1)</f>
        <v/>
      </c>
      <c r="AI43">
        <f>MID($E43,9,1)</f>
        <v/>
      </c>
      <c r="AJ43">
        <f>MID($E43,10,1)</f>
        <v/>
      </c>
    </row>
    <row r="44">
      <c r="A44" s="4" t="n">
        <v>43</v>
      </c>
      <c r="B44" s="4" t="inlineStr">
        <is>
          <t>UDP0349</t>
        </is>
      </c>
      <c r="C44" s="4" t="inlineStr">
        <is>
          <t>是</t>
        </is>
      </c>
      <c r="D44" s="5" t="inlineStr">
        <is>
          <t>CAGTAGTTGT</t>
        </is>
      </c>
      <c r="E44" s="5" t="inlineStr">
        <is>
          <t>TCGACTTAAG</t>
        </is>
      </c>
      <c r="F44" s="4">
        <f>LEN(SUBSTITUTE(SUBSTITUTE(D44,"A",""),"T",""))</f>
        <v/>
      </c>
      <c r="G44" s="4">
        <f>LEN(SUBSTITUTE(SUBSTITUTE(E44,"A",""),"T",""))</f>
        <v/>
      </c>
      <c r="H44" s="7" t="inlineStr">
        <is>
          <t>A</t>
        </is>
      </c>
      <c r="I44" s="4" t="n">
        <v>-6.2</v>
      </c>
      <c r="J44" s="4" t="n">
        <v>-3.99</v>
      </c>
      <c r="K44" s="4" t="n">
        <v>-1.77</v>
      </c>
      <c r="L44" s="4" t="n">
        <v>88800</v>
      </c>
      <c r="M44" s="4" t="n">
        <v>0</v>
      </c>
      <c r="N44" s="4" t="n">
        <v>0</v>
      </c>
      <c r="O44" s="4" t="n">
        <v>0</v>
      </c>
      <c r="P44" s="4" t="n">
        <v>0</v>
      </c>
      <c r="Q44">
        <f>MID($D44,1,1)</f>
        <v/>
      </c>
      <c r="R44">
        <f>MID($D44,2,1)</f>
        <v/>
      </c>
      <c r="S44">
        <f>MID($D44,3,1)</f>
        <v/>
      </c>
      <c r="T44">
        <f>MID($D44,4,1)</f>
        <v/>
      </c>
      <c r="U44">
        <f>MID($D44,5,1)</f>
        <v/>
      </c>
      <c r="V44">
        <f>MID($D44,6,1)</f>
        <v/>
      </c>
      <c r="W44">
        <f>MID($D44,7,1)</f>
        <v/>
      </c>
      <c r="X44">
        <f>MID($D44,8,1)</f>
        <v/>
      </c>
      <c r="Y44">
        <f>MID($D44,9,1)</f>
        <v/>
      </c>
      <c r="Z44">
        <f>MID($D44,10,1)</f>
        <v/>
      </c>
      <c r="AA44">
        <f>MID($E44,1,1)</f>
        <v/>
      </c>
      <c r="AB44">
        <f>MID($E44,2,1)</f>
        <v/>
      </c>
      <c r="AC44">
        <f>MID($E44,3,1)</f>
        <v/>
      </c>
      <c r="AD44">
        <f>MID($E44,4,1)</f>
        <v/>
      </c>
      <c r="AE44">
        <f>MID($E44,5,1)</f>
        <v/>
      </c>
      <c r="AF44">
        <f>MID($E44,6,1)</f>
        <v/>
      </c>
      <c r="AG44">
        <f>MID($E44,7,1)</f>
        <v/>
      </c>
      <c r="AH44">
        <f>MID($E44,8,1)</f>
        <v/>
      </c>
      <c r="AI44">
        <f>MID($E44,9,1)</f>
        <v/>
      </c>
      <c r="AJ44">
        <f>MID($E44,10,1)</f>
        <v/>
      </c>
    </row>
    <row r="45">
      <c r="A45" s="4" t="n">
        <v>44</v>
      </c>
      <c r="B45" s="4" t="inlineStr">
        <is>
          <t>UDP0354</t>
        </is>
      </c>
      <c r="C45" s="4" t="inlineStr">
        <is>
          <t>是</t>
        </is>
      </c>
      <c r="D45" s="5" t="inlineStr">
        <is>
          <t>CGTTCGGAAC</t>
        </is>
      </c>
      <c r="E45" s="5" t="inlineStr">
        <is>
          <t>ACACAGCGCT</t>
        </is>
      </c>
      <c r="F45" s="4">
        <f>LEN(SUBSTITUTE(SUBSTITUTE(D45,"A",""),"T",""))</f>
        <v/>
      </c>
      <c r="G45" s="4">
        <f>LEN(SUBSTITUTE(SUBSTITUTE(E45,"A",""),"T",""))</f>
        <v/>
      </c>
      <c r="H45" s="6" t="inlineStr">
        <is>
          <t>B</t>
        </is>
      </c>
      <c r="I45" s="4" t="n">
        <v>-7.64</v>
      </c>
      <c r="J45" s="4" t="n">
        <v>-4.95</v>
      </c>
      <c r="K45" s="4" t="n">
        <v>-1.59</v>
      </c>
      <c r="L45" s="4" t="n">
        <v>391516</v>
      </c>
      <c r="M45" s="4" t="n">
        <v>0</v>
      </c>
      <c r="N45" s="4" t="n">
        <v>0</v>
      </c>
      <c r="O45" s="4" t="n">
        <v>0</v>
      </c>
      <c r="P45" s="4" t="n">
        <v>0</v>
      </c>
      <c r="Q45">
        <f>MID($D45,1,1)</f>
        <v/>
      </c>
      <c r="R45">
        <f>MID($D45,2,1)</f>
        <v/>
      </c>
      <c r="S45">
        <f>MID($D45,3,1)</f>
        <v/>
      </c>
      <c r="T45">
        <f>MID($D45,4,1)</f>
        <v/>
      </c>
      <c r="U45">
        <f>MID($D45,5,1)</f>
        <v/>
      </c>
      <c r="V45">
        <f>MID($D45,6,1)</f>
        <v/>
      </c>
      <c r="W45">
        <f>MID($D45,7,1)</f>
        <v/>
      </c>
      <c r="X45">
        <f>MID($D45,8,1)</f>
        <v/>
      </c>
      <c r="Y45">
        <f>MID($D45,9,1)</f>
        <v/>
      </c>
      <c r="Z45">
        <f>MID($D45,10,1)</f>
        <v/>
      </c>
      <c r="AA45">
        <f>MID($E45,1,1)</f>
        <v/>
      </c>
      <c r="AB45">
        <f>MID($E45,2,1)</f>
        <v/>
      </c>
      <c r="AC45">
        <f>MID($E45,3,1)</f>
        <v/>
      </c>
      <c r="AD45">
        <f>MID($E45,4,1)</f>
        <v/>
      </c>
      <c r="AE45">
        <f>MID($E45,5,1)</f>
        <v/>
      </c>
      <c r="AF45">
        <f>MID($E45,6,1)</f>
        <v/>
      </c>
      <c r="AG45">
        <f>MID($E45,7,1)</f>
        <v/>
      </c>
      <c r="AH45">
        <f>MID($E45,8,1)</f>
        <v/>
      </c>
      <c r="AI45">
        <f>MID($E45,9,1)</f>
        <v/>
      </c>
      <c r="AJ45">
        <f>MID($E45,10,1)</f>
        <v/>
      </c>
    </row>
    <row r="46">
      <c r="A46" s="4" t="n">
        <v>45</v>
      </c>
      <c r="B46" s="4" t="inlineStr">
        <is>
          <t>UDP0356</t>
        </is>
      </c>
      <c r="C46" s="4" t="inlineStr">
        <is>
          <t>是</t>
        </is>
      </c>
      <c r="D46" s="5" t="inlineStr">
        <is>
          <t>TACCACAATG</t>
        </is>
      </c>
      <c r="E46" s="5" t="inlineStr">
        <is>
          <t>CAAGGCTATC</t>
        </is>
      </c>
      <c r="F46" s="4">
        <f>LEN(SUBSTITUTE(SUBSTITUTE(D46,"A",""),"T",""))</f>
        <v/>
      </c>
      <c r="G46" s="4">
        <f>LEN(SUBSTITUTE(SUBSTITUTE(E46,"A",""),"T",""))</f>
        <v/>
      </c>
      <c r="H46" s="6" t="inlineStr">
        <is>
          <t>B</t>
        </is>
      </c>
      <c r="I46" s="4" t="n">
        <v>-8.279999999999999</v>
      </c>
      <c r="J46" s="4" t="n">
        <v>-3.96</v>
      </c>
      <c r="K46" s="4" t="n">
        <v>-1.62</v>
      </c>
      <c r="L46" s="4" t="n">
        <v>142569</v>
      </c>
      <c r="M46" s="4" t="n">
        <v>0</v>
      </c>
      <c r="N46" s="4" t="n">
        <v>4</v>
      </c>
      <c r="O46" s="4" t="n">
        <v>0</v>
      </c>
      <c r="P46" s="4" t="n">
        <v>1</v>
      </c>
      <c r="Q46">
        <f>MID($D46,1,1)</f>
        <v/>
      </c>
      <c r="R46">
        <f>MID($D46,2,1)</f>
        <v/>
      </c>
      <c r="S46">
        <f>MID($D46,3,1)</f>
        <v/>
      </c>
      <c r="T46">
        <f>MID($D46,4,1)</f>
        <v/>
      </c>
      <c r="U46">
        <f>MID($D46,5,1)</f>
        <v/>
      </c>
      <c r="V46">
        <f>MID($D46,6,1)</f>
        <v/>
      </c>
      <c r="W46">
        <f>MID($D46,7,1)</f>
        <v/>
      </c>
      <c r="X46">
        <f>MID($D46,8,1)</f>
        <v/>
      </c>
      <c r="Y46">
        <f>MID($D46,9,1)</f>
        <v/>
      </c>
      <c r="Z46">
        <f>MID($D46,10,1)</f>
        <v/>
      </c>
      <c r="AA46">
        <f>MID($E46,1,1)</f>
        <v/>
      </c>
      <c r="AB46">
        <f>MID($E46,2,1)</f>
        <v/>
      </c>
      <c r="AC46">
        <f>MID($E46,3,1)</f>
        <v/>
      </c>
      <c r="AD46">
        <f>MID($E46,4,1)</f>
        <v/>
      </c>
      <c r="AE46">
        <f>MID($E46,5,1)</f>
        <v/>
      </c>
      <c r="AF46">
        <f>MID($E46,6,1)</f>
        <v/>
      </c>
      <c r="AG46">
        <f>MID($E46,7,1)</f>
        <v/>
      </c>
      <c r="AH46">
        <f>MID($E46,8,1)</f>
        <v/>
      </c>
      <c r="AI46">
        <f>MID($E46,9,1)</f>
        <v/>
      </c>
      <c r="AJ46">
        <f>MID($E46,10,1)</f>
        <v/>
      </c>
    </row>
    <row r="47">
      <c r="A47" s="4" t="n">
        <v>46</v>
      </c>
      <c r="B47" s="4" t="inlineStr">
        <is>
          <t>UDP0361</t>
        </is>
      </c>
      <c r="C47" s="4" t="inlineStr">
        <is>
          <t>是</t>
        </is>
      </c>
      <c r="D47" s="5" t="inlineStr">
        <is>
          <t>CTGTGAGCTA</t>
        </is>
      </c>
      <c r="E47" s="5" t="inlineStr">
        <is>
          <t>GAAGGTACAC</t>
        </is>
      </c>
      <c r="F47" s="4">
        <f>LEN(SUBSTITUTE(SUBSTITUTE(D47,"A",""),"T",""))</f>
        <v/>
      </c>
      <c r="G47" s="4">
        <f>LEN(SUBSTITUTE(SUBSTITUTE(E47,"A",""),"T",""))</f>
        <v/>
      </c>
      <c r="H47" s="7" t="inlineStr">
        <is>
          <t>A</t>
        </is>
      </c>
      <c r="I47" s="4" t="n">
        <v>-5.74</v>
      </c>
      <c r="J47" s="4" t="n">
        <v>-3.83</v>
      </c>
      <c r="K47" s="4" t="n">
        <v>-1.62</v>
      </c>
      <c r="L47" s="4" t="n">
        <v>61541</v>
      </c>
      <c r="M47" s="4" t="n">
        <v>0</v>
      </c>
      <c r="N47" s="4" t="n">
        <v>0</v>
      </c>
      <c r="O47" s="4" t="n">
        <v>0</v>
      </c>
      <c r="P47" s="4" t="n">
        <v>0</v>
      </c>
      <c r="Q47">
        <f>MID($D47,1,1)</f>
        <v/>
      </c>
      <c r="R47">
        <f>MID($D47,2,1)</f>
        <v/>
      </c>
      <c r="S47">
        <f>MID($D47,3,1)</f>
        <v/>
      </c>
      <c r="T47">
        <f>MID($D47,4,1)</f>
        <v/>
      </c>
      <c r="U47">
        <f>MID($D47,5,1)</f>
        <v/>
      </c>
      <c r="V47">
        <f>MID($D47,6,1)</f>
        <v/>
      </c>
      <c r="W47">
        <f>MID($D47,7,1)</f>
        <v/>
      </c>
      <c r="X47">
        <f>MID($D47,8,1)</f>
        <v/>
      </c>
      <c r="Y47">
        <f>MID($D47,9,1)</f>
        <v/>
      </c>
      <c r="Z47">
        <f>MID($D47,10,1)</f>
        <v/>
      </c>
      <c r="AA47">
        <f>MID($E47,1,1)</f>
        <v/>
      </c>
      <c r="AB47">
        <f>MID($E47,2,1)</f>
        <v/>
      </c>
      <c r="AC47">
        <f>MID($E47,3,1)</f>
        <v/>
      </c>
      <c r="AD47">
        <f>MID($E47,4,1)</f>
        <v/>
      </c>
      <c r="AE47">
        <f>MID($E47,5,1)</f>
        <v/>
      </c>
      <c r="AF47">
        <f>MID($E47,6,1)</f>
        <v/>
      </c>
      <c r="AG47">
        <f>MID($E47,7,1)</f>
        <v/>
      </c>
      <c r="AH47">
        <f>MID($E47,8,1)</f>
        <v/>
      </c>
      <c r="AI47">
        <f>MID($E47,9,1)</f>
        <v/>
      </c>
      <c r="AJ47">
        <f>MID($E47,10,1)</f>
        <v/>
      </c>
    </row>
    <row r="48">
      <c r="A48" s="4" t="n">
        <v>47</v>
      </c>
      <c r="B48" s="4" t="inlineStr">
        <is>
          <t>UDP0367</t>
        </is>
      </c>
      <c r="C48" s="4" t="inlineStr">
        <is>
          <t>是</t>
        </is>
      </c>
      <c r="D48" s="5" t="inlineStr">
        <is>
          <t>GTGGCGAGAC</t>
        </is>
      </c>
      <c r="E48" s="5" t="inlineStr">
        <is>
          <t>CGCCATACCT</t>
        </is>
      </c>
      <c r="F48" s="4">
        <f>LEN(SUBSTITUTE(SUBSTITUTE(D48,"A",""),"T",""))</f>
        <v/>
      </c>
      <c r="G48" s="4">
        <f>LEN(SUBSTITUTE(SUBSTITUTE(E48,"A",""),"T",""))</f>
        <v/>
      </c>
      <c r="H48" s="6" t="inlineStr">
        <is>
          <t>B</t>
        </is>
      </c>
      <c r="I48" s="4" t="n">
        <v>-8.029999999999999</v>
      </c>
      <c r="J48" s="4" t="n">
        <v>-4.95</v>
      </c>
      <c r="K48" s="4" t="n">
        <v>-1.59</v>
      </c>
      <c r="L48" s="4" t="n">
        <v>89579</v>
      </c>
      <c r="M48" s="4" t="n">
        <v>0</v>
      </c>
      <c r="N48" s="4" t="n">
        <v>0</v>
      </c>
      <c r="O48" s="4" t="n">
        <v>0</v>
      </c>
      <c r="P48" s="4" t="n">
        <v>0</v>
      </c>
      <c r="Q48">
        <f>MID($D48,1,1)</f>
        <v/>
      </c>
      <c r="R48">
        <f>MID($D48,2,1)</f>
        <v/>
      </c>
      <c r="S48">
        <f>MID($D48,3,1)</f>
        <v/>
      </c>
      <c r="T48">
        <f>MID($D48,4,1)</f>
        <v/>
      </c>
      <c r="U48">
        <f>MID($D48,5,1)</f>
        <v/>
      </c>
      <c r="V48">
        <f>MID($D48,6,1)</f>
        <v/>
      </c>
      <c r="W48">
        <f>MID($D48,7,1)</f>
        <v/>
      </c>
      <c r="X48">
        <f>MID($D48,8,1)</f>
        <v/>
      </c>
      <c r="Y48">
        <f>MID($D48,9,1)</f>
        <v/>
      </c>
      <c r="Z48">
        <f>MID($D48,10,1)</f>
        <v/>
      </c>
      <c r="AA48">
        <f>MID($E48,1,1)</f>
        <v/>
      </c>
      <c r="AB48">
        <f>MID($E48,2,1)</f>
        <v/>
      </c>
      <c r="AC48">
        <f>MID($E48,3,1)</f>
        <v/>
      </c>
      <c r="AD48">
        <f>MID($E48,4,1)</f>
        <v/>
      </c>
      <c r="AE48">
        <f>MID($E48,5,1)</f>
        <v/>
      </c>
      <c r="AF48">
        <f>MID($E48,6,1)</f>
        <v/>
      </c>
      <c r="AG48">
        <f>MID($E48,7,1)</f>
        <v/>
      </c>
      <c r="AH48">
        <f>MID($E48,8,1)</f>
        <v/>
      </c>
      <c r="AI48">
        <f>MID($E48,9,1)</f>
        <v/>
      </c>
      <c r="AJ48">
        <f>MID($E48,10,1)</f>
        <v/>
      </c>
    </row>
    <row r="49">
      <c r="A49" s="4" t="n">
        <v>48</v>
      </c>
      <c r="B49" s="4" t="inlineStr">
        <is>
          <t>UDP0384</t>
        </is>
      </c>
      <c r="C49" s="4" t="inlineStr">
        <is>
          <t>是</t>
        </is>
      </c>
      <c r="D49" s="5" t="inlineStr">
        <is>
          <t>GGTGGAATAC</t>
        </is>
      </c>
      <c r="E49" s="5" t="inlineStr">
        <is>
          <t>CTTAACCACT</t>
        </is>
      </c>
      <c r="F49" s="4">
        <f>LEN(SUBSTITUTE(SUBSTITUTE(D49,"A",""),"T",""))</f>
        <v/>
      </c>
      <c r="G49" s="4">
        <f>LEN(SUBSTITUTE(SUBSTITUTE(E49,"A",""),"T",""))</f>
        <v/>
      </c>
      <c r="H49" s="6" t="inlineStr">
        <is>
          <t>B</t>
        </is>
      </c>
      <c r="I49" s="4" t="n">
        <v>-6.73</v>
      </c>
      <c r="J49" s="4" t="n">
        <v>-4.95</v>
      </c>
      <c r="K49" s="4" t="n">
        <v>-1.59</v>
      </c>
      <c r="L49" s="4" t="n">
        <v>58743</v>
      </c>
      <c r="M49" s="4" t="n">
        <v>0</v>
      </c>
      <c r="N49" s="4" t="n">
        <v>0</v>
      </c>
      <c r="O49" s="4" t="n">
        <v>0</v>
      </c>
      <c r="P49" s="4" t="n">
        <v>0</v>
      </c>
      <c r="Q49">
        <f>MID($D49,1,1)</f>
        <v/>
      </c>
      <c r="R49">
        <f>MID($D49,2,1)</f>
        <v/>
      </c>
      <c r="S49">
        <f>MID($D49,3,1)</f>
        <v/>
      </c>
      <c r="T49">
        <f>MID($D49,4,1)</f>
        <v/>
      </c>
      <c r="U49">
        <f>MID($D49,5,1)</f>
        <v/>
      </c>
      <c r="V49">
        <f>MID($D49,6,1)</f>
        <v/>
      </c>
      <c r="W49">
        <f>MID($D49,7,1)</f>
        <v/>
      </c>
      <c r="X49">
        <f>MID($D49,8,1)</f>
        <v/>
      </c>
      <c r="Y49">
        <f>MID($D49,9,1)</f>
        <v/>
      </c>
      <c r="Z49">
        <f>MID($D49,10,1)</f>
        <v/>
      </c>
      <c r="AA49">
        <f>MID($E49,1,1)</f>
        <v/>
      </c>
      <c r="AB49">
        <f>MID($E49,2,1)</f>
        <v/>
      </c>
      <c r="AC49">
        <f>MID($E49,3,1)</f>
        <v/>
      </c>
      <c r="AD49">
        <f>MID($E49,4,1)</f>
        <v/>
      </c>
      <c r="AE49">
        <f>MID($E49,5,1)</f>
        <v/>
      </c>
      <c r="AF49">
        <f>MID($E49,6,1)</f>
        <v/>
      </c>
      <c r="AG49">
        <f>MID($E49,7,1)</f>
        <v/>
      </c>
      <c r="AH49">
        <f>MID($E49,8,1)</f>
        <v/>
      </c>
      <c r="AI49">
        <f>MID($E49,9,1)</f>
        <v/>
      </c>
      <c r="AJ49">
        <f>MID($E49,10,1)</f>
        <v/>
      </c>
    </row>
    <row r="50">
      <c r="A50" s="4" t="n">
        <v>49</v>
      </c>
      <c r="B50" s="4" t="inlineStr">
        <is>
          <t>UDP0006</t>
        </is>
      </c>
      <c r="C50" s="4" t="inlineStr"/>
      <c r="D50" s="5" t="inlineStr">
        <is>
          <t>GTCCACTTGT</t>
        </is>
      </c>
      <c r="E50" s="5" t="inlineStr">
        <is>
          <t>GCGCGATGTT</t>
        </is>
      </c>
      <c r="F50" s="4">
        <f>LEN(SUBSTITUTE(SUBSTITUTE(D50,"A",""),"T",""))</f>
        <v/>
      </c>
      <c r="G50" s="4">
        <f>LEN(SUBSTITUTE(SUBSTITUTE(E50,"A",""),"T",""))</f>
        <v/>
      </c>
      <c r="H50" s="6" t="inlineStr">
        <is>
          <t>B</t>
        </is>
      </c>
      <c r="I50" s="4" t="n">
        <v>-7.91</v>
      </c>
      <c r="J50" s="4" t="n">
        <v>-3.79</v>
      </c>
      <c r="K50" s="4" t="n">
        <v>-1.91</v>
      </c>
      <c r="L50" s="4" t="n">
        <v>50850</v>
      </c>
      <c r="M50" s="4" t="n">
        <v>0</v>
      </c>
      <c r="N50" s="4" t="n">
        <v>1</v>
      </c>
      <c r="O50" s="4" t="n">
        <v>0</v>
      </c>
      <c r="P50" s="4" t="n">
        <v>0</v>
      </c>
      <c r="Q50">
        <f>MID($D50,1,1)</f>
        <v/>
      </c>
      <c r="R50">
        <f>MID($D50,2,1)</f>
        <v/>
      </c>
      <c r="S50">
        <f>MID($D50,3,1)</f>
        <v/>
      </c>
      <c r="T50">
        <f>MID($D50,4,1)</f>
        <v/>
      </c>
      <c r="U50">
        <f>MID($D50,5,1)</f>
        <v/>
      </c>
      <c r="V50">
        <f>MID($D50,6,1)</f>
        <v/>
      </c>
      <c r="W50">
        <f>MID($D50,7,1)</f>
        <v/>
      </c>
      <c r="X50">
        <f>MID($D50,8,1)</f>
        <v/>
      </c>
      <c r="Y50">
        <f>MID($D50,9,1)</f>
        <v/>
      </c>
      <c r="Z50">
        <f>MID($D50,10,1)</f>
        <v/>
      </c>
      <c r="AA50">
        <f>MID($E50,1,1)</f>
        <v/>
      </c>
      <c r="AB50">
        <f>MID($E50,2,1)</f>
        <v/>
      </c>
      <c r="AC50">
        <f>MID($E50,3,1)</f>
        <v/>
      </c>
      <c r="AD50">
        <f>MID($E50,4,1)</f>
        <v/>
      </c>
      <c r="AE50">
        <f>MID($E50,5,1)</f>
        <v/>
      </c>
      <c r="AF50">
        <f>MID($E50,6,1)</f>
        <v/>
      </c>
      <c r="AG50">
        <f>MID($E50,7,1)</f>
        <v/>
      </c>
      <c r="AH50">
        <f>MID($E50,8,1)</f>
        <v/>
      </c>
      <c r="AI50">
        <f>MID($E50,9,1)</f>
        <v/>
      </c>
      <c r="AJ50">
        <f>MID($E50,10,1)</f>
        <v/>
      </c>
    </row>
    <row r="51">
      <c r="A51" s="4" t="n">
        <v>50</v>
      </c>
      <c r="B51" s="4" t="inlineStr">
        <is>
          <t>UDP0014</t>
        </is>
      </c>
      <c r="C51" s="4" t="inlineStr"/>
      <c r="D51" s="5" t="inlineStr">
        <is>
          <t>CGGCTCTACT</t>
        </is>
      </c>
      <c r="E51" s="5" t="inlineStr">
        <is>
          <t>GTGCCGCTTC</t>
        </is>
      </c>
      <c r="F51" s="4">
        <f>LEN(SUBSTITUTE(SUBSTITUTE(D51,"A",""),"T",""))</f>
        <v/>
      </c>
      <c r="G51" s="4">
        <f>LEN(SUBSTITUTE(SUBSTITUTE(E51,"A",""),"T",""))</f>
        <v/>
      </c>
      <c r="H51" s="6" t="inlineStr">
        <is>
          <t>B</t>
        </is>
      </c>
      <c r="I51" s="4" t="n">
        <v>-6.27</v>
      </c>
      <c r="J51" s="4" t="n">
        <v>-4.96</v>
      </c>
      <c r="K51" s="4" t="n">
        <v>-2.05</v>
      </c>
      <c r="L51" s="4" t="n">
        <v>51311</v>
      </c>
      <c r="M51" s="4" t="n">
        <v>0</v>
      </c>
      <c r="N51" s="4" t="n">
        <v>0</v>
      </c>
      <c r="O51" s="4" t="n">
        <v>0</v>
      </c>
      <c r="P51" s="4" t="n">
        <v>0</v>
      </c>
      <c r="Q51">
        <f>MID($D51,1,1)</f>
        <v/>
      </c>
      <c r="R51">
        <f>MID($D51,2,1)</f>
        <v/>
      </c>
      <c r="S51">
        <f>MID($D51,3,1)</f>
        <v/>
      </c>
      <c r="T51">
        <f>MID($D51,4,1)</f>
        <v/>
      </c>
      <c r="U51">
        <f>MID($D51,5,1)</f>
        <v/>
      </c>
      <c r="V51">
        <f>MID($D51,6,1)</f>
        <v/>
      </c>
      <c r="W51">
        <f>MID($D51,7,1)</f>
        <v/>
      </c>
      <c r="X51">
        <f>MID($D51,8,1)</f>
        <v/>
      </c>
      <c r="Y51">
        <f>MID($D51,9,1)</f>
        <v/>
      </c>
      <c r="Z51">
        <f>MID($D51,10,1)</f>
        <v/>
      </c>
      <c r="AA51">
        <f>MID($E51,1,1)</f>
        <v/>
      </c>
      <c r="AB51">
        <f>MID($E51,2,1)</f>
        <v/>
      </c>
      <c r="AC51">
        <f>MID($E51,3,1)</f>
        <v/>
      </c>
      <c r="AD51">
        <f>MID($E51,4,1)</f>
        <v/>
      </c>
      <c r="AE51">
        <f>MID($E51,5,1)</f>
        <v/>
      </c>
      <c r="AF51">
        <f>MID($E51,6,1)</f>
        <v/>
      </c>
      <c r="AG51">
        <f>MID($E51,7,1)</f>
        <v/>
      </c>
      <c r="AH51">
        <f>MID($E51,8,1)</f>
        <v/>
      </c>
      <c r="AI51">
        <f>MID($E51,9,1)</f>
        <v/>
      </c>
      <c r="AJ51">
        <f>MID($E51,10,1)</f>
        <v/>
      </c>
    </row>
    <row r="52">
      <c r="A52" s="4" t="n">
        <v>51</v>
      </c>
      <c r="B52" s="4" t="inlineStr">
        <is>
          <t>UDP0019</t>
        </is>
      </c>
      <c r="C52" s="4" t="inlineStr"/>
      <c r="D52" s="5" t="inlineStr">
        <is>
          <t>GGTTGCCTCT</t>
        </is>
      </c>
      <c r="E52" s="5" t="inlineStr">
        <is>
          <t>CTAATGATGG</t>
        </is>
      </c>
      <c r="F52" s="4">
        <f>LEN(SUBSTITUTE(SUBSTITUTE(D52,"A",""),"T",""))</f>
        <v/>
      </c>
      <c r="G52" s="4">
        <f>LEN(SUBSTITUTE(SUBSTITUTE(E52,"A",""),"T",""))</f>
        <v/>
      </c>
      <c r="H52" s="6" t="inlineStr">
        <is>
          <t>B</t>
        </is>
      </c>
      <c r="I52" s="4" t="n">
        <v>-5.93</v>
      </c>
      <c r="J52" s="4" t="n">
        <v>-4.68</v>
      </c>
      <c r="K52" s="4" t="n">
        <v>-2.3</v>
      </c>
      <c r="L52" s="4" t="n">
        <v>47027</v>
      </c>
      <c r="M52" s="4" t="n">
        <v>0</v>
      </c>
      <c r="N52" s="4" t="n">
        <v>0</v>
      </c>
      <c r="O52" s="4" t="n">
        <v>0</v>
      </c>
      <c r="P52" s="4" t="n">
        <v>1</v>
      </c>
      <c r="Q52">
        <f>MID($D52,1,1)</f>
        <v/>
      </c>
      <c r="R52">
        <f>MID($D52,2,1)</f>
        <v/>
      </c>
      <c r="S52">
        <f>MID($D52,3,1)</f>
        <v/>
      </c>
      <c r="T52">
        <f>MID($D52,4,1)</f>
        <v/>
      </c>
      <c r="U52">
        <f>MID($D52,5,1)</f>
        <v/>
      </c>
      <c r="V52">
        <f>MID($D52,6,1)</f>
        <v/>
      </c>
      <c r="W52">
        <f>MID($D52,7,1)</f>
        <v/>
      </c>
      <c r="X52">
        <f>MID($D52,8,1)</f>
        <v/>
      </c>
      <c r="Y52">
        <f>MID($D52,9,1)</f>
        <v/>
      </c>
      <c r="Z52">
        <f>MID($D52,10,1)</f>
        <v/>
      </c>
      <c r="AA52">
        <f>MID($E52,1,1)</f>
        <v/>
      </c>
      <c r="AB52">
        <f>MID($E52,2,1)</f>
        <v/>
      </c>
      <c r="AC52">
        <f>MID($E52,3,1)</f>
        <v/>
      </c>
      <c r="AD52">
        <f>MID($E52,4,1)</f>
        <v/>
      </c>
      <c r="AE52">
        <f>MID($E52,5,1)</f>
        <v/>
      </c>
      <c r="AF52">
        <f>MID($E52,6,1)</f>
        <v/>
      </c>
      <c r="AG52">
        <f>MID($E52,7,1)</f>
        <v/>
      </c>
      <c r="AH52">
        <f>MID($E52,8,1)</f>
        <v/>
      </c>
      <c r="AI52">
        <f>MID($E52,9,1)</f>
        <v/>
      </c>
      <c r="AJ52">
        <f>MID($E52,10,1)</f>
        <v/>
      </c>
    </row>
    <row r="53">
      <c r="A53" s="4" t="n">
        <v>52</v>
      </c>
      <c r="B53" s="4" t="inlineStr">
        <is>
          <t>UDP0020</t>
        </is>
      </c>
      <c r="C53" s="4" t="inlineStr"/>
      <c r="D53" s="5" t="inlineStr">
        <is>
          <t>CGCACATGGC</t>
        </is>
      </c>
      <c r="E53" s="5" t="inlineStr">
        <is>
          <t>TCGGCCTATC</t>
        </is>
      </c>
      <c r="F53" s="4">
        <f>LEN(SUBSTITUTE(SUBSTITUTE(D53,"A",""),"T",""))</f>
        <v/>
      </c>
      <c r="G53" s="4">
        <f>LEN(SUBSTITUTE(SUBSTITUTE(E53,"A",""),"T",""))</f>
        <v/>
      </c>
      <c r="H53" s="6" t="inlineStr">
        <is>
          <t>B</t>
        </is>
      </c>
      <c r="I53" s="4" t="n">
        <v>-8.029999999999999</v>
      </c>
      <c r="J53" s="4" t="n">
        <v>-4.78</v>
      </c>
      <c r="K53" s="4" t="n">
        <v>-1.62</v>
      </c>
      <c r="L53" s="4" t="n">
        <v>71056</v>
      </c>
      <c r="M53" s="4" t="n">
        <v>0</v>
      </c>
      <c r="N53" s="4" t="n">
        <v>0</v>
      </c>
      <c r="O53" s="4" t="n">
        <v>0</v>
      </c>
      <c r="P53" s="4" t="n">
        <v>0</v>
      </c>
      <c r="Q53">
        <f>MID($D53,1,1)</f>
        <v/>
      </c>
      <c r="R53">
        <f>MID($D53,2,1)</f>
        <v/>
      </c>
      <c r="S53">
        <f>MID($D53,3,1)</f>
        <v/>
      </c>
      <c r="T53">
        <f>MID($D53,4,1)</f>
        <v/>
      </c>
      <c r="U53">
        <f>MID($D53,5,1)</f>
        <v/>
      </c>
      <c r="V53">
        <f>MID($D53,6,1)</f>
        <v/>
      </c>
      <c r="W53">
        <f>MID($D53,7,1)</f>
        <v/>
      </c>
      <c r="X53">
        <f>MID($D53,8,1)</f>
        <v/>
      </c>
      <c r="Y53">
        <f>MID($D53,9,1)</f>
        <v/>
      </c>
      <c r="Z53">
        <f>MID($D53,10,1)</f>
        <v/>
      </c>
      <c r="AA53">
        <f>MID($E53,1,1)</f>
        <v/>
      </c>
      <c r="AB53">
        <f>MID($E53,2,1)</f>
        <v/>
      </c>
      <c r="AC53">
        <f>MID($E53,3,1)</f>
        <v/>
      </c>
      <c r="AD53">
        <f>MID($E53,4,1)</f>
        <v/>
      </c>
      <c r="AE53">
        <f>MID($E53,5,1)</f>
        <v/>
      </c>
      <c r="AF53">
        <f>MID($E53,6,1)</f>
        <v/>
      </c>
      <c r="AG53">
        <f>MID($E53,7,1)</f>
        <v/>
      </c>
      <c r="AH53">
        <f>MID($E53,8,1)</f>
        <v/>
      </c>
      <c r="AI53">
        <f>MID($E53,9,1)</f>
        <v/>
      </c>
      <c r="AJ53">
        <f>MID($E53,10,1)</f>
        <v/>
      </c>
    </row>
    <row r="54">
      <c r="A54" s="4" t="n">
        <v>53</v>
      </c>
      <c r="B54" s="4" t="inlineStr">
        <is>
          <t>UDP0022</t>
        </is>
      </c>
      <c r="C54" s="4" t="inlineStr"/>
      <c r="D54" s="5" t="inlineStr">
        <is>
          <t>CTGTGTTAGG</t>
        </is>
      </c>
      <c r="E54" s="5" t="inlineStr">
        <is>
          <t>GAGCGCAATA</t>
        </is>
      </c>
      <c r="F54" s="4">
        <f>LEN(SUBSTITUTE(SUBSTITUTE(D54,"A",""),"T",""))</f>
        <v/>
      </c>
      <c r="G54" s="4">
        <f>LEN(SUBSTITUTE(SUBSTITUTE(E54,"A",""),"T",""))</f>
        <v/>
      </c>
      <c r="H54" s="6" t="inlineStr">
        <is>
          <t>B</t>
        </is>
      </c>
      <c r="I54" s="4" t="n">
        <v>-7.9</v>
      </c>
      <c r="J54" s="4" t="n">
        <v>-5.04</v>
      </c>
      <c r="K54" s="4" t="n">
        <v>-2.61</v>
      </c>
      <c r="L54" s="4" t="n">
        <v>98234</v>
      </c>
      <c r="M54" s="4" t="n">
        <v>0</v>
      </c>
      <c r="N54" s="4" t="n">
        <v>0</v>
      </c>
      <c r="O54" s="4" t="n">
        <v>0</v>
      </c>
      <c r="P54" s="4" t="n">
        <v>0</v>
      </c>
      <c r="Q54">
        <f>MID($D54,1,1)</f>
        <v/>
      </c>
      <c r="R54">
        <f>MID($D54,2,1)</f>
        <v/>
      </c>
      <c r="S54">
        <f>MID($D54,3,1)</f>
        <v/>
      </c>
      <c r="T54">
        <f>MID($D54,4,1)</f>
        <v/>
      </c>
      <c r="U54">
        <f>MID($D54,5,1)</f>
        <v/>
      </c>
      <c r="V54">
        <f>MID($D54,6,1)</f>
        <v/>
      </c>
      <c r="W54">
        <f>MID($D54,7,1)</f>
        <v/>
      </c>
      <c r="X54">
        <f>MID($D54,8,1)</f>
        <v/>
      </c>
      <c r="Y54">
        <f>MID($D54,9,1)</f>
        <v/>
      </c>
      <c r="Z54">
        <f>MID($D54,10,1)</f>
        <v/>
      </c>
      <c r="AA54">
        <f>MID($E54,1,1)</f>
        <v/>
      </c>
      <c r="AB54">
        <f>MID($E54,2,1)</f>
        <v/>
      </c>
      <c r="AC54">
        <f>MID($E54,3,1)</f>
        <v/>
      </c>
      <c r="AD54">
        <f>MID($E54,4,1)</f>
        <v/>
      </c>
      <c r="AE54">
        <f>MID($E54,5,1)</f>
        <v/>
      </c>
      <c r="AF54">
        <f>MID($E54,6,1)</f>
        <v/>
      </c>
      <c r="AG54">
        <f>MID($E54,7,1)</f>
        <v/>
      </c>
      <c r="AH54">
        <f>MID($E54,8,1)</f>
        <v/>
      </c>
      <c r="AI54">
        <f>MID($E54,9,1)</f>
        <v/>
      </c>
      <c r="AJ54">
        <f>MID($E54,10,1)</f>
        <v/>
      </c>
    </row>
    <row r="55">
      <c r="A55" s="4" t="n">
        <v>54</v>
      </c>
      <c r="B55" s="4" t="inlineStr">
        <is>
          <t>UDP0024</t>
        </is>
      </c>
      <c r="C55" s="4" t="inlineStr"/>
      <c r="D55" s="5" t="inlineStr">
        <is>
          <t>CTAACTGTAA</t>
        </is>
      </c>
      <c r="E55" s="5" t="inlineStr">
        <is>
          <t>GTATGTAGAA</t>
        </is>
      </c>
      <c r="F55" s="4">
        <f>LEN(SUBSTITUTE(SUBSTITUTE(D55,"A",""),"T",""))</f>
        <v/>
      </c>
      <c r="G55" s="4">
        <f>LEN(SUBSTITUTE(SUBSTITUTE(E55,"A",""),"T",""))</f>
        <v/>
      </c>
      <c r="H55" s="7" t="inlineStr">
        <is>
          <t>A</t>
        </is>
      </c>
      <c r="I55" s="4" t="n">
        <v>-6.68</v>
      </c>
      <c r="J55" s="4" t="n">
        <v>-3.87</v>
      </c>
      <c r="K55" s="4" t="n">
        <v>-2.61</v>
      </c>
      <c r="L55" s="4" t="n">
        <v>45471</v>
      </c>
      <c r="M55" s="4" t="n">
        <v>0</v>
      </c>
      <c r="N55" s="4" t="n">
        <v>0</v>
      </c>
      <c r="O55" s="4" t="n">
        <v>0</v>
      </c>
      <c r="P55" s="4" t="n">
        <v>0</v>
      </c>
      <c r="Q55">
        <f>MID($D55,1,1)</f>
        <v/>
      </c>
      <c r="R55">
        <f>MID($D55,2,1)</f>
        <v/>
      </c>
      <c r="S55">
        <f>MID($D55,3,1)</f>
        <v/>
      </c>
      <c r="T55">
        <f>MID($D55,4,1)</f>
        <v/>
      </c>
      <c r="U55">
        <f>MID($D55,5,1)</f>
        <v/>
      </c>
      <c r="V55">
        <f>MID($D55,6,1)</f>
        <v/>
      </c>
      <c r="W55">
        <f>MID($D55,7,1)</f>
        <v/>
      </c>
      <c r="X55">
        <f>MID($D55,8,1)</f>
        <v/>
      </c>
      <c r="Y55">
        <f>MID($D55,9,1)</f>
        <v/>
      </c>
      <c r="Z55">
        <f>MID($D55,10,1)</f>
        <v/>
      </c>
      <c r="AA55">
        <f>MID($E55,1,1)</f>
        <v/>
      </c>
      <c r="AB55">
        <f>MID($E55,2,1)</f>
        <v/>
      </c>
      <c r="AC55">
        <f>MID($E55,3,1)</f>
        <v/>
      </c>
      <c r="AD55">
        <f>MID($E55,4,1)</f>
        <v/>
      </c>
      <c r="AE55">
        <f>MID($E55,5,1)</f>
        <v/>
      </c>
      <c r="AF55">
        <f>MID($E55,6,1)</f>
        <v/>
      </c>
      <c r="AG55">
        <f>MID($E55,7,1)</f>
        <v/>
      </c>
      <c r="AH55">
        <f>MID($E55,8,1)</f>
        <v/>
      </c>
      <c r="AI55">
        <f>MID($E55,9,1)</f>
        <v/>
      </c>
      <c r="AJ55">
        <f>MID($E55,10,1)</f>
        <v/>
      </c>
    </row>
    <row r="56">
      <c r="A56" s="4" t="n">
        <v>55</v>
      </c>
      <c r="B56" s="4" t="inlineStr">
        <is>
          <t>UDP0051</t>
        </is>
      </c>
      <c r="C56" s="4" t="inlineStr"/>
      <c r="D56" s="5" t="inlineStr">
        <is>
          <t>ACTGTTGTGA</t>
        </is>
      </c>
      <c r="E56" s="5" t="inlineStr">
        <is>
          <t>GACAGACAGG</t>
        </is>
      </c>
      <c r="F56" s="4">
        <f>LEN(SUBSTITUTE(SUBSTITUTE(D56,"A",""),"T",""))</f>
        <v/>
      </c>
      <c r="G56" s="4">
        <f>LEN(SUBSTITUTE(SUBSTITUTE(E56,"A",""),"T",""))</f>
        <v/>
      </c>
      <c r="H56" s="6" t="inlineStr">
        <is>
          <t>B</t>
        </is>
      </c>
      <c r="I56" s="4" t="n">
        <v>-7.07</v>
      </c>
      <c r="J56" s="4" t="n">
        <v>-4.74</v>
      </c>
      <c r="K56" s="4" t="n">
        <v>-2.35</v>
      </c>
      <c r="L56" s="4" t="n">
        <v>41652</v>
      </c>
      <c r="M56" s="4" t="n">
        <v>0</v>
      </c>
      <c r="N56" s="4" t="n">
        <v>0</v>
      </c>
      <c r="O56" s="4" t="n">
        <v>0</v>
      </c>
      <c r="P56" s="4" t="n">
        <v>5</v>
      </c>
      <c r="Q56">
        <f>MID($D56,1,1)</f>
        <v/>
      </c>
      <c r="R56">
        <f>MID($D56,2,1)</f>
        <v/>
      </c>
      <c r="S56">
        <f>MID($D56,3,1)</f>
        <v/>
      </c>
      <c r="T56">
        <f>MID($D56,4,1)</f>
        <v/>
      </c>
      <c r="U56">
        <f>MID($D56,5,1)</f>
        <v/>
      </c>
      <c r="V56">
        <f>MID($D56,6,1)</f>
        <v/>
      </c>
      <c r="W56">
        <f>MID($D56,7,1)</f>
        <v/>
      </c>
      <c r="X56">
        <f>MID($D56,8,1)</f>
        <v/>
      </c>
      <c r="Y56">
        <f>MID($D56,9,1)</f>
        <v/>
      </c>
      <c r="Z56">
        <f>MID($D56,10,1)</f>
        <v/>
      </c>
      <c r="AA56">
        <f>MID($E56,1,1)</f>
        <v/>
      </c>
      <c r="AB56">
        <f>MID($E56,2,1)</f>
        <v/>
      </c>
      <c r="AC56">
        <f>MID($E56,3,1)</f>
        <v/>
      </c>
      <c r="AD56">
        <f>MID($E56,4,1)</f>
        <v/>
      </c>
      <c r="AE56">
        <f>MID($E56,5,1)</f>
        <v/>
      </c>
      <c r="AF56">
        <f>MID($E56,6,1)</f>
        <v/>
      </c>
      <c r="AG56">
        <f>MID($E56,7,1)</f>
        <v/>
      </c>
      <c r="AH56">
        <f>MID($E56,8,1)</f>
        <v/>
      </c>
      <c r="AI56">
        <f>MID($E56,9,1)</f>
        <v/>
      </c>
      <c r="AJ56">
        <f>MID($E56,10,1)</f>
        <v/>
      </c>
    </row>
    <row r="57">
      <c r="A57" s="4" t="n">
        <v>56</v>
      </c>
      <c r="B57" s="4" t="inlineStr">
        <is>
          <t>UDP0086</t>
        </is>
      </c>
      <c r="C57" s="4" t="inlineStr"/>
      <c r="D57" s="5" t="inlineStr">
        <is>
          <t>ACGTCAATAC</t>
        </is>
      </c>
      <c r="E57" s="5" t="inlineStr">
        <is>
          <t>GGAATTCCAA</t>
        </is>
      </c>
      <c r="F57" s="4">
        <f>LEN(SUBSTITUTE(SUBSTITUTE(D57,"A",""),"T",""))</f>
        <v/>
      </c>
      <c r="G57" s="4">
        <f>LEN(SUBSTITUTE(SUBSTITUTE(E57,"A",""),"T",""))</f>
        <v/>
      </c>
      <c r="H57" s="6" t="inlineStr">
        <is>
          <t>B</t>
        </is>
      </c>
      <c r="I57" s="4" t="n">
        <v>-6.84</v>
      </c>
      <c r="J57" s="4" t="n">
        <v>-4.95</v>
      </c>
      <c r="K57" s="4" t="n">
        <v>-2.61</v>
      </c>
      <c r="L57" s="4" t="n">
        <v>318589</v>
      </c>
      <c r="M57" s="4" t="n">
        <v>1</v>
      </c>
      <c r="N57" s="4" t="n">
        <v>1</v>
      </c>
      <c r="O57" s="4" t="n">
        <v>0</v>
      </c>
      <c r="P57" s="4" t="n">
        <v>1</v>
      </c>
      <c r="Q57">
        <f>MID($D57,1,1)</f>
        <v/>
      </c>
      <c r="R57">
        <f>MID($D57,2,1)</f>
        <v/>
      </c>
      <c r="S57">
        <f>MID($D57,3,1)</f>
        <v/>
      </c>
      <c r="T57">
        <f>MID($D57,4,1)</f>
        <v/>
      </c>
      <c r="U57">
        <f>MID($D57,5,1)</f>
        <v/>
      </c>
      <c r="V57">
        <f>MID($D57,6,1)</f>
        <v/>
      </c>
      <c r="W57">
        <f>MID($D57,7,1)</f>
        <v/>
      </c>
      <c r="X57">
        <f>MID($D57,8,1)</f>
        <v/>
      </c>
      <c r="Y57">
        <f>MID($D57,9,1)</f>
        <v/>
      </c>
      <c r="Z57">
        <f>MID($D57,10,1)</f>
        <v/>
      </c>
      <c r="AA57">
        <f>MID($E57,1,1)</f>
        <v/>
      </c>
      <c r="AB57">
        <f>MID($E57,2,1)</f>
        <v/>
      </c>
      <c r="AC57">
        <f>MID($E57,3,1)</f>
        <v/>
      </c>
      <c r="AD57">
        <f>MID($E57,4,1)</f>
        <v/>
      </c>
      <c r="AE57">
        <f>MID($E57,5,1)</f>
        <v/>
      </c>
      <c r="AF57">
        <f>MID($E57,6,1)</f>
        <v/>
      </c>
      <c r="AG57">
        <f>MID($E57,7,1)</f>
        <v/>
      </c>
      <c r="AH57">
        <f>MID($E57,8,1)</f>
        <v/>
      </c>
      <c r="AI57">
        <f>MID($E57,9,1)</f>
        <v/>
      </c>
      <c r="AJ57">
        <f>MID($E57,10,1)</f>
        <v/>
      </c>
    </row>
    <row r="58">
      <c r="A58" s="4" t="n">
        <v>57</v>
      </c>
      <c r="B58" s="4" t="inlineStr">
        <is>
          <t>UDP0108</t>
        </is>
      </c>
      <c r="C58" s="4" t="inlineStr"/>
      <c r="D58" s="5" t="inlineStr">
        <is>
          <t>ATGTCGTGGT</t>
        </is>
      </c>
      <c r="E58" s="5" t="inlineStr">
        <is>
          <t>CATGAGTACT</t>
        </is>
      </c>
      <c r="F58" s="4">
        <f>LEN(SUBSTITUTE(SUBSTITUTE(D58,"A",""),"T",""))</f>
        <v/>
      </c>
      <c r="G58" s="4">
        <f>LEN(SUBSTITUTE(SUBSTITUTE(E58,"A",""),"T",""))</f>
        <v/>
      </c>
      <c r="H58" s="7" t="inlineStr">
        <is>
          <t>A</t>
        </is>
      </c>
      <c r="I58" s="4" t="n">
        <v>-6.8</v>
      </c>
      <c r="J58" s="4" t="n">
        <v>-3.79</v>
      </c>
      <c r="K58" s="4" t="n">
        <v>-1.59</v>
      </c>
      <c r="L58" s="4" t="n">
        <v>82153</v>
      </c>
      <c r="M58" s="4" t="n">
        <v>0</v>
      </c>
      <c r="N58" s="4" t="n">
        <v>0</v>
      </c>
      <c r="O58" s="4" t="n">
        <v>0</v>
      </c>
      <c r="P58" s="4" t="n">
        <v>1</v>
      </c>
      <c r="Q58">
        <f>MID($D58,1,1)</f>
        <v/>
      </c>
      <c r="R58">
        <f>MID($D58,2,1)</f>
        <v/>
      </c>
      <c r="S58">
        <f>MID($D58,3,1)</f>
        <v/>
      </c>
      <c r="T58">
        <f>MID($D58,4,1)</f>
        <v/>
      </c>
      <c r="U58">
        <f>MID($D58,5,1)</f>
        <v/>
      </c>
      <c r="V58">
        <f>MID($D58,6,1)</f>
        <v/>
      </c>
      <c r="W58">
        <f>MID($D58,7,1)</f>
        <v/>
      </c>
      <c r="X58">
        <f>MID($D58,8,1)</f>
        <v/>
      </c>
      <c r="Y58">
        <f>MID($D58,9,1)</f>
        <v/>
      </c>
      <c r="Z58">
        <f>MID($D58,10,1)</f>
        <v/>
      </c>
      <c r="AA58">
        <f>MID($E58,1,1)</f>
        <v/>
      </c>
      <c r="AB58">
        <f>MID($E58,2,1)</f>
        <v/>
      </c>
      <c r="AC58">
        <f>MID($E58,3,1)</f>
        <v/>
      </c>
      <c r="AD58">
        <f>MID($E58,4,1)</f>
        <v/>
      </c>
      <c r="AE58">
        <f>MID($E58,5,1)</f>
        <v/>
      </c>
      <c r="AF58">
        <f>MID($E58,6,1)</f>
        <v/>
      </c>
      <c r="AG58">
        <f>MID($E58,7,1)</f>
        <v/>
      </c>
      <c r="AH58">
        <f>MID($E58,8,1)</f>
        <v/>
      </c>
      <c r="AI58">
        <f>MID($E58,9,1)</f>
        <v/>
      </c>
      <c r="AJ58">
        <f>MID($E58,10,1)</f>
        <v/>
      </c>
    </row>
    <row r="59">
      <c r="A59" s="4" t="n">
        <v>58</v>
      </c>
      <c r="B59" s="4" t="inlineStr">
        <is>
          <t>UDP0113</t>
        </is>
      </c>
      <c r="C59" s="4" t="inlineStr"/>
      <c r="D59" s="5" t="inlineStr">
        <is>
          <t>ACCGGCTCAG</t>
        </is>
      </c>
      <c r="E59" s="5" t="inlineStr">
        <is>
          <t>CTTGTAATTC</t>
        </is>
      </c>
      <c r="F59" s="4">
        <f>LEN(SUBSTITUTE(SUBSTITUTE(D59,"A",""),"T",""))</f>
        <v/>
      </c>
      <c r="G59" s="4">
        <f>LEN(SUBSTITUTE(SUBSTITUTE(E59,"A",""),"T",""))</f>
        <v/>
      </c>
      <c r="H59" s="6" t="inlineStr">
        <is>
          <t>B</t>
        </is>
      </c>
      <c r="I59" s="4" t="n">
        <v>-7.8</v>
      </c>
      <c r="J59" s="4" t="n">
        <v>-4.02</v>
      </c>
      <c r="K59" s="4" t="n">
        <v>-1.62</v>
      </c>
      <c r="L59" s="4" t="n">
        <v>139226</v>
      </c>
      <c r="M59" s="4" t="n">
        <v>0</v>
      </c>
      <c r="N59" s="4" t="n">
        <v>0</v>
      </c>
      <c r="O59" s="4" t="n">
        <v>0</v>
      </c>
      <c r="P59" s="4" t="n">
        <v>0</v>
      </c>
      <c r="Q59">
        <f>MID($D59,1,1)</f>
        <v/>
      </c>
      <c r="R59">
        <f>MID($D59,2,1)</f>
        <v/>
      </c>
      <c r="S59">
        <f>MID($D59,3,1)</f>
        <v/>
      </c>
      <c r="T59">
        <f>MID($D59,4,1)</f>
        <v/>
      </c>
      <c r="U59">
        <f>MID($D59,5,1)</f>
        <v/>
      </c>
      <c r="V59">
        <f>MID($D59,6,1)</f>
        <v/>
      </c>
      <c r="W59">
        <f>MID($D59,7,1)</f>
        <v/>
      </c>
      <c r="X59">
        <f>MID($D59,8,1)</f>
        <v/>
      </c>
      <c r="Y59">
        <f>MID($D59,9,1)</f>
        <v/>
      </c>
      <c r="Z59">
        <f>MID($D59,10,1)</f>
        <v/>
      </c>
      <c r="AA59">
        <f>MID($E59,1,1)</f>
        <v/>
      </c>
      <c r="AB59">
        <f>MID($E59,2,1)</f>
        <v/>
      </c>
      <c r="AC59">
        <f>MID($E59,3,1)</f>
        <v/>
      </c>
      <c r="AD59">
        <f>MID($E59,4,1)</f>
        <v/>
      </c>
      <c r="AE59">
        <f>MID($E59,5,1)</f>
        <v/>
      </c>
      <c r="AF59">
        <f>MID($E59,6,1)</f>
        <v/>
      </c>
      <c r="AG59">
        <f>MID($E59,7,1)</f>
        <v/>
      </c>
      <c r="AH59">
        <f>MID($E59,8,1)</f>
        <v/>
      </c>
      <c r="AI59">
        <f>MID($E59,9,1)</f>
        <v/>
      </c>
      <c r="AJ59">
        <f>MID($E59,10,1)</f>
        <v/>
      </c>
    </row>
    <row r="60">
      <c r="A60" s="4" t="n">
        <v>59</v>
      </c>
      <c r="B60" s="4" t="inlineStr">
        <is>
          <t>UDP0114</t>
        </is>
      </c>
      <c r="C60" s="4" t="inlineStr"/>
      <c r="D60" s="5" t="inlineStr">
        <is>
          <t>GTTAATCTGA</t>
        </is>
      </c>
      <c r="E60" s="5" t="inlineStr">
        <is>
          <t>TCCAATTCTA</t>
        </is>
      </c>
      <c r="F60" s="4">
        <f>LEN(SUBSTITUTE(SUBSTITUTE(D60,"A",""),"T",""))</f>
        <v/>
      </c>
      <c r="G60" s="4">
        <f>LEN(SUBSTITUTE(SUBSTITUTE(E60,"A",""),"T",""))</f>
        <v/>
      </c>
      <c r="H60" s="7" t="inlineStr">
        <is>
          <t>A</t>
        </is>
      </c>
      <c r="I60" s="4" t="n">
        <v>-6.44</v>
      </c>
      <c r="J60" s="4" t="n">
        <v>-3.83</v>
      </c>
      <c r="K60" s="4" t="n">
        <v>-2.61</v>
      </c>
      <c r="L60" s="4" t="n">
        <v>63369</v>
      </c>
      <c r="M60" s="4" t="n">
        <v>0</v>
      </c>
      <c r="N60" s="4" t="n">
        <v>4</v>
      </c>
      <c r="O60" s="4" t="n">
        <v>0</v>
      </c>
      <c r="P60" s="4" t="n">
        <v>1</v>
      </c>
      <c r="Q60">
        <f>MID($D60,1,1)</f>
        <v/>
      </c>
      <c r="R60">
        <f>MID($D60,2,1)</f>
        <v/>
      </c>
      <c r="S60">
        <f>MID($D60,3,1)</f>
        <v/>
      </c>
      <c r="T60">
        <f>MID($D60,4,1)</f>
        <v/>
      </c>
      <c r="U60">
        <f>MID($D60,5,1)</f>
        <v/>
      </c>
      <c r="V60">
        <f>MID($D60,6,1)</f>
        <v/>
      </c>
      <c r="W60">
        <f>MID($D60,7,1)</f>
        <v/>
      </c>
      <c r="X60">
        <f>MID($D60,8,1)</f>
        <v/>
      </c>
      <c r="Y60">
        <f>MID($D60,9,1)</f>
        <v/>
      </c>
      <c r="Z60">
        <f>MID($D60,10,1)</f>
        <v/>
      </c>
      <c r="AA60">
        <f>MID($E60,1,1)</f>
        <v/>
      </c>
      <c r="AB60">
        <f>MID($E60,2,1)</f>
        <v/>
      </c>
      <c r="AC60">
        <f>MID($E60,3,1)</f>
        <v/>
      </c>
      <c r="AD60">
        <f>MID($E60,4,1)</f>
        <v/>
      </c>
      <c r="AE60">
        <f>MID($E60,5,1)</f>
        <v/>
      </c>
      <c r="AF60">
        <f>MID($E60,6,1)</f>
        <v/>
      </c>
      <c r="AG60">
        <f>MID($E60,7,1)</f>
        <v/>
      </c>
      <c r="AH60">
        <f>MID($E60,8,1)</f>
        <v/>
      </c>
      <c r="AI60">
        <f>MID($E60,9,1)</f>
        <v/>
      </c>
      <c r="AJ60">
        <f>MID($E60,10,1)</f>
        <v/>
      </c>
    </row>
    <row r="61">
      <c r="A61" s="4" t="n">
        <v>60</v>
      </c>
      <c r="B61" s="4" t="inlineStr">
        <is>
          <t>UDP0118</t>
        </is>
      </c>
      <c r="C61" s="4" t="inlineStr"/>
      <c r="D61" s="5" t="inlineStr">
        <is>
          <t>TAACCGCCGA</t>
        </is>
      </c>
      <c r="E61" s="5" t="inlineStr">
        <is>
          <t>GAACAAGTAT</t>
        </is>
      </c>
      <c r="F61" s="4">
        <f>LEN(SUBSTITUTE(SUBSTITUTE(D61,"A",""),"T",""))</f>
        <v/>
      </c>
      <c r="G61" s="4">
        <f>LEN(SUBSTITUTE(SUBSTITUTE(E61,"A",""),"T",""))</f>
        <v/>
      </c>
      <c r="H61" s="6" t="inlineStr">
        <is>
          <t>B</t>
        </is>
      </c>
      <c r="I61" s="4" t="n">
        <v>-7.92</v>
      </c>
      <c r="J61" s="4" t="n">
        <v>-3.78</v>
      </c>
      <c r="K61" s="4" t="n">
        <v>-1.59</v>
      </c>
      <c r="L61" s="4" t="n">
        <v>71445</v>
      </c>
      <c r="M61" s="4" t="n">
        <v>0</v>
      </c>
      <c r="N61" s="4" t="n">
        <v>0</v>
      </c>
      <c r="O61" s="4" t="n">
        <v>0</v>
      </c>
      <c r="P61" s="4" t="n">
        <v>0</v>
      </c>
      <c r="Q61">
        <f>MID($D61,1,1)</f>
        <v/>
      </c>
      <c r="R61">
        <f>MID($D61,2,1)</f>
        <v/>
      </c>
      <c r="S61">
        <f>MID($D61,3,1)</f>
        <v/>
      </c>
      <c r="T61">
        <f>MID($D61,4,1)</f>
        <v/>
      </c>
      <c r="U61">
        <f>MID($D61,5,1)</f>
        <v/>
      </c>
      <c r="V61">
        <f>MID($D61,6,1)</f>
        <v/>
      </c>
      <c r="W61">
        <f>MID($D61,7,1)</f>
        <v/>
      </c>
      <c r="X61">
        <f>MID($D61,8,1)</f>
        <v/>
      </c>
      <c r="Y61">
        <f>MID($D61,9,1)</f>
        <v/>
      </c>
      <c r="Z61">
        <f>MID($D61,10,1)</f>
        <v/>
      </c>
      <c r="AA61">
        <f>MID($E61,1,1)</f>
        <v/>
      </c>
      <c r="AB61">
        <f>MID($E61,2,1)</f>
        <v/>
      </c>
      <c r="AC61">
        <f>MID($E61,3,1)</f>
        <v/>
      </c>
      <c r="AD61">
        <f>MID($E61,4,1)</f>
        <v/>
      </c>
      <c r="AE61">
        <f>MID($E61,5,1)</f>
        <v/>
      </c>
      <c r="AF61">
        <f>MID($E61,6,1)</f>
        <v/>
      </c>
      <c r="AG61">
        <f>MID($E61,7,1)</f>
        <v/>
      </c>
      <c r="AH61">
        <f>MID($E61,8,1)</f>
        <v/>
      </c>
      <c r="AI61">
        <f>MID($E61,9,1)</f>
        <v/>
      </c>
      <c r="AJ61">
        <f>MID($E61,10,1)</f>
        <v/>
      </c>
    </row>
    <row r="62">
      <c r="A62" s="4" t="n">
        <v>61</v>
      </c>
      <c r="B62" s="4" t="inlineStr">
        <is>
          <t>UDP0121</t>
        </is>
      </c>
      <c r="C62" s="4" t="inlineStr"/>
      <c r="D62" s="5" t="inlineStr">
        <is>
          <t>GGTTATGCTA</t>
        </is>
      </c>
      <c r="E62" s="5" t="inlineStr">
        <is>
          <t>TAGGTTCTCT</t>
        </is>
      </c>
      <c r="F62" s="4">
        <f>LEN(SUBSTITUTE(SUBSTITUTE(D62,"A",""),"T",""))</f>
        <v/>
      </c>
      <c r="G62" s="4">
        <f>LEN(SUBSTITUTE(SUBSTITUTE(E62,"A",""),"T",""))</f>
        <v/>
      </c>
      <c r="H62" s="6" t="inlineStr">
        <is>
          <t>B</t>
        </is>
      </c>
      <c r="I62" s="4" t="n">
        <v>-7.86</v>
      </c>
      <c r="J62" s="4" t="n">
        <v>-3.83</v>
      </c>
      <c r="K62" s="4" t="n">
        <v>-1.59</v>
      </c>
      <c r="L62" s="4" t="n">
        <v>78839</v>
      </c>
      <c r="M62" s="4" t="n">
        <v>0</v>
      </c>
      <c r="N62" s="4" t="n">
        <v>0</v>
      </c>
      <c r="O62" s="4" t="n">
        <v>1</v>
      </c>
      <c r="P62" s="4" t="n">
        <v>1</v>
      </c>
      <c r="Q62">
        <f>MID($D62,1,1)</f>
        <v/>
      </c>
      <c r="R62">
        <f>MID($D62,2,1)</f>
        <v/>
      </c>
      <c r="S62">
        <f>MID($D62,3,1)</f>
        <v/>
      </c>
      <c r="T62">
        <f>MID($D62,4,1)</f>
        <v/>
      </c>
      <c r="U62">
        <f>MID($D62,5,1)</f>
        <v/>
      </c>
      <c r="V62">
        <f>MID($D62,6,1)</f>
        <v/>
      </c>
      <c r="W62">
        <f>MID($D62,7,1)</f>
        <v/>
      </c>
      <c r="X62">
        <f>MID($D62,8,1)</f>
        <v/>
      </c>
      <c r="Y62">
        <f>MID($D62,9,1)</f>
        <v/>
      </c>
      <c r="Z62">
        <f>MID($D62,10,1)</f>
        <v/>
      </c>
      <c r="AA62">
        <f>MID($E62,1,1)</f>
        <v/>
      </c>
      <c r="AB62">
        <f>MID($E62,2,1)</f>
        <v/>
      </c>
      <c r="AC62">
        <f>MID($E62,3,1)</f>
        <v/>
      </c>
      <c r="AD62">
        <f>MID($E62,4,1)</f>
        <v/>
      </c>
      <c r="AE62">
        <f>MID($E62,5,1)</f>
        <v/>
      </c>
      <c r="AF62">
        <f>MID($E62,6,1)</f>
        <v/>
      </c>
      <c r="AG62">
        <f>MID($E62,7,1)</f>
        <v/>
      </c>
      <c r="AH62">
        <f>MID($E62,8,1)</f>
        <v/>
      </c>
      <c r="AI62">
        <f>MID($E62,9,1)</f>
        <v/>
      </c>
      <c r="AJ62">
        <f>MID($E62,10,1)</f>
        <v/>
      </c>
    </row>
    <row r="63">
      <c r="A63" s="4" t="n">
        <v>62</v>
      </c>
      <c r="B63" s="4" t="inlineStr">
        <is>
          <t>UDP0144</t>
        </is>
      </c>
      <c r="C63" s="4" t="inlineStr"/>
      <c r="D63" s="5" t="inlineStr">
        <is>
          <t>CATGTAGAGG</t>
        </is>
      </c>
      <c r="E63" s="5" t="inlineStr">
        <is>
          <t>CAATTGGATT</t>
        </is>
      </c>
      <c r="F63" s="4">
        <f>LEN(SUBSTITUTE(SUBSTITUTE(D63,"A",""),"T",""))</f>
        <v/>
      </c>
      <c r="G63" s="4">
        <f>LEN(SUBSTITUTE(SUBSTITUTE(E63,"A",""),"T",""))</f>
        <v/>
      </c>
      <c r="H63" s="6" t="inlineStr">
        <is>
          <t>B</t>
        </is>
      </c>
      <c r="I63" s="4" t="n">
        <v>-7.46</v>
      </c>
      <c r="J63" s="4" t="n">
        <v>-4.65</v>
      </c>
      <c r="K63" s="4" t="n">
        <v>-1.59</v>
      </c>
      <c r="L63" s="4" t="n">
        <v>102068</v>
      </c>
      <c r="M63" s="4" t="n">
        <v>0</v>
      </c>
      <c r="N63" s="4" t="n">
        <v>0</v>
      </c>
      <c r="O63" s="4" t="n">
        <v>1</v>
      </c>
      <c r="P63" s="4" t="n">
        <v>5</v>
      </c>
      <c r="Q63">
        <f>MID($D63,1,1)</f>
        <v/>
      </c>
      <c r="R63">
        <f>MID($D63,2,1)</f>
        <v/>
      </c>
      <c r="S63">
        <f>MID($D63,3,1)</f>
        <v/>
      </c>
      <c r="T63">
        <f>MID($D63,4,1)</f>
        <v/>
      </c>
      <c r="U63">
        <f>MID($D63,5,1)</f>
        <v/>
      </c>
      <c r="V63">
        <f>MID($D63,6,1)</f>
        <v/>
      </c>
      <c r="W63">
        <f>MID($D63,7,1)</f>
        <v/>
      </c>
      <c r="X63">
        <f>MID($D63,8,1)</f>
        <v/>
      </c>
      <c r="Y63">
        <f>MID($D63,9,1)</f>
        <v/>
      </c>
      <c r="Z63">
        <f>MID($D63,10,1)</f>
        <v/>
      </c>
      <c r="AA63">
        <f>MID($E63,1,1)</f>
        <v/>
      </c>
      <c r="AB63">
        <f>MID($E63,2,1)</f>
        <v/>
      </c>
      <c r="AC63">
        <f>MID($E63,3,1)</f>
        <v/>
      </c>
      <c r="AD63">
        <f>MID($E63,4,1)</f>
        <v/>
      </c>
      <c r="AE63">
        <f>MID($E63,5,1)</f>
        <v/>
      </c>
      <c r="AF63">
        <f>MID($E63,6,1)</f>
        <v/>
      </c>
      <c r="AG63">
        <f>MID($E63,7,1)</f>
        <v/>
      </c>
      <c r="AH63">
        <f>MID($E63,8,1)</f>
        <v/>
      </c>
      <c r="AI63">
        <f>MID($E63,9,1)</f>
        <v/>
      </c>
      <c r="AJ63">
        <f>MID($E63,10,1)</f>
        <v/>
      </c>
    </row>
    <row r="64">
      <c r="A64" s="4" t="n">
        <v>63</v>
      </c>
      <c r="B64" s="4" t="inlineStr">
        <is>
          <t>UDP0145V3</t>
        </is>
      </c>
      <c r="C64" s="4" t="inlineStr"/>
      <c r="D64" s="5" t="inlineStr">
        <is>
          <t>TGAATATTGC</t>
        </is>
      </c>
      <c r="E64" s="5" t="inlineStr">
        <is>
          <t>AACCTAGCAC</t>
        </is>
      </c>
      <c r="F64" s="4">
        <f>LEN(SUBSTITUTE(SUBSTITUTE(D64,"A",""),"T",""))</f>
        <v/>
      </c>
      <c r="G64" s="4">
        <f>LEN(SUBSTITUTE(SUBSTITUTE(E64,"A",""),"T",""))</f>
        <v/>
      </c>
      <c r="H64" s="6" t="inlineStr">
        <is>
          <t>B</t>
        </is>
      </c>
      <c r="I64" s="4" t="n">
        <v>-6.91</v>
      </c>
      <c r="J64" s="4" t="n">
        <v>-4.78</v>
      </c>
      <c r="K64" s="4" t="n">
        <v>-1.62</v>
      </c>
      <c r="L64" s="4" t="n">
        <v>72426</v>
      </c>
      <c r="M64" s="4" t="n">
        <v>0</v>
      </c>
      <c r="N64" s="4" t="n">
        <v>0</v>
      </c>
      <c r="O64" s="4" t="n">
        <v>0</v>
      </c>
      <c r="P64" s="4" t="n">
        <v>0</v>
      </c>
      <c r="Q64">
        <f>MID($D64,1,1)</f>
        <v/>
      </c>
      <c r="R64">
        <f>MID($D64,2,1)</f>
        <v/>
      </c>
      <c r="S64">
        <f>MID($D64,3,1)</f>
        <v/>
      </c>
      <c r="T64">
        <f>MID($D64,4,1)</f>
        <v/>
      </c>
      <c r="U64">
        <f>MID($D64,5,1)</f>
        <v/>
      </c>
      <c r="V64">
        <f>MID($D64,6,1)</f>
        <v/>
      </c>
      <c r="W64">
        <f>MID($D64,7,1)</f>
        <v/>
      </c>
      <c r="X64">
        <f>MID($D64,8,1)</f>
        <v/>
      </c>
      <c r="Y64">
        <f>MID($D64,9,1)</f>
        <v/>
      </c>
      <c r="Z64">
        <f>MID($D64,10,1)</f>
        <v/>
      </c>
      <c r="AA64">
        <f>MID($E64,1,1)</f>
        <v/>
      </c>
      <c r="AB64">
        <f>MID($E64,2,1)</f>
        <v/>
      </c>
      <c r="AC64">
        <f>MID($E64,3,1)</f>
        <v/>
      </c>
      <c r="AD64">
        <f>MID($E64,4,1)</f>
        <v/>
      </c>
      <c r="AE64">
        <f>MID($E64,5,1)</f>
        <v/>
      </c>
      <c r="AF64">
        <f>MID($E64,6,1)</f>
        <v/>
      </c>
      <c r="AG64">
        <f>MID($E64,7,1)</f>
        <v/>
      </c>
      <c r="AH64">
        <f>MID($E64,8,1)</f>
        <v/>
      </c>
      <c r="AI64">
        <f>MID($E64,9,1)</f>
        <v/>
      </c>
      <c r="AJ64">
        <f>MID($E64,10,1)</f>
        <v/>
      </c>
    </row>
    <row r="65">
      <c r="A65" s="4" t="n">
        <v>64</v>
      </c>
      <c r="B65" s="4" t="inlineStr">
        <is>
          <t>UDP0151</t>
        </is>
      </c>
      <c r="C65" s="4" t="inlineStr"/>
      <c r="D65" s="5" t="inlineStr">
        <is>
          <t>ACAGAGGCCA</t>
        </is>
      </c>
      <c r="E65" s="5" t="inlineStr">
        <is>
          <t>CCTGATACAA</t>
        </is>
      </c>
      <c r="F65" s="4">
        <f>LEN(SUBSTITUTE(SUBSTITUTE(D65,"A",""),"T",""))</f>
        <v/>
      </c>
      <c r="G65" s="4">
        <f>LEN(SUBSTITUTE(SUBSTITUTE(E65,"A",""),"T",""))</f>
        <v/>
      </c>
      <c r="H65" s="6" t="inlineStr">
        <is>
          <t>B</t>
        </is>
      </c>
      <c r="I65" s="4" t="n">
        <v>-7.75</v>
      </c>
      <c r="J65" s="4" t="n">
        <v>-5.33</v>
      </c>
      <c r="K65" s="4" t="n">
        <v>-2.61</v>
      </c>
      <c r="L65" s="4" t="n">
        <v>59109</v>
      </c>
      <c r="M65" s="4" t="n">
        <v>0</v>
      </c>
      <c r="N65" s="4" t="n">
        <v>1</v>
      </c>
      <c r="O65" s="4" t="n">
        <v>0</v>
      </c>
      <c r="P65" s="4" t="n">
        <v>7</v>
      </c>
      <c r="Q65">
        <f>MID($D65,1,1)</f>
        <v/>
      </c>
      <c r="R65">
        <f>MID($D65,2,1)</f>
        <v/>
      </c>
      <c r="S65">
        <f>MID($D65,3,1)</f>
        <v/>
      </c>
      <c r="T65">
        <f>MID($D65,4,1)</f>
        <v/>
      </c>
      <c r="U65">
        <f>MID($D65,5,1)</f>
        <v/>
      </c>
      <c r="V65">
        <f>MID($D65,6,1)</f>
        <v/>
      </c>
      <c r="W65">
        <f>MID($D65,7,1)</f>
        <v/>
      </c>
      <c r="X65">
        <f>MID($D65,8,1)</f>
        <v/>
      </c>
      <c r="Y65">
        <f>MID($D65,9,1)</f>
        <v/>
      </c>
      <c r="Z65">
        <f>MID($D65,10,1)</f>
        <v/>
      </c>
      <c r="AA65">
        <f>MID($E65,1,1)</f>
        <v/>
      </c>
      <c r="AB65">
        <f>MID($E65,2,1)</f>
        <v/>
      </c>
      <c r="AC65">
        <f>MID($E65,3,1)</f>
        <v/>
      </c>
      <c r="AD65">
        <f>MID($E65,4,1)</f>
        <v/>
      </c>
      <c r="AE65">
        <f>MID($E65,5,1)</f>
        <v/>
      </c>
      <c r="AF65">
        <f>MID($E65,6,1)</f>
        <v/>
      </c>
      <c r="AG65">
        <f>MID($E65,7,1)</f>
        <v/>
      </c>
      <c r="AH65">
        <f>MID($E65,8,1)</f>
        <v/>
      </c>
      <c r="AI65">
        <f>MID($E65,9,1)</f>
        <v/>
      </c>
      <c r="AJ65">
        <f>MID($E65,10,1)</f>
        <v/>
      </c>
    </row>
    <row r="66">
      <c r="A66" s="4" t="n">
        <v>65</v>
      </c>
      <c r="B66" s="4" t="inlineStr">
        <is>
          <t>UDP0169</t>
        </is>
      </c>
      <c r="C66" s="4" t="inlineStr"/>
      <c r="D66" s="5" t="inlineStr">
        <is>
          <t>CAATCTATGA</t>
        </is>
      </c>
      <c r="E66" s="5" t="inlineStr">
        <is>
          <t>CCAACAACAT</t>
        </is>
      </c>
      <c r="F66" s="4">
        <f>LEN(SUBSTITUTE(SUBSTITUTE(D66,"A",""),"T",""))</f>
        <v/>
      </c>
      <c r="G66" s="4">
        <f>LEN(SUBSTITUTE(SUBSTITUTE(E66,"A",""),"T",""))</f>
        <v/>
      </c>
      <c r="H66" s="6" t="inlineStr">
        <is>
          <t>B</t>
        </is>
      </c>
      <c r="I66" s="4" t="n">
        <v>-7.7</v>
      </c>
      <c r="J66" s="4" t="n">
        <v>-3.83</v>
      </c>
      <c r="K66" s="4" t="n">
        <v>-1.59</v>
      </c>
      <c r="L66" s="4" t="n">
        <v>72510</v>
      </c>
      <c r="M66" s="4" t="n">
        <v>0</v>
      </c>
      <c r="N66" s="4" t="n">
        <v>1</v>
      </c>
      <c r="O66" s="4" t="n">
        <v>2</v>
      </c>
      <c r="P66" s="4" t="n">
        <v>5</v>
      </c>
      <c r="Q66">
        <f>MID($D66,1,1)</f>
        <v/>
      </c>
      <c r="R66">
        <f>MID($D66,2,1)</f>
        <v/>
      </c>
      <c r="S66">
        <f>MID($D66,3,1)</f>
        <v/>
      </c>
      <c r="T66">
        <f>MID($D66,4,1)</f>
        <v/>
      </c>
      <c r="U66">
        <f>MID($D66,5,1)</f>
        <v/>
      </c>
      <c r="V66">
        <f>MID($D66,6,1)</f>
        <v/>
      </c>
      <c r="W66">
        <f>MID($D66,7,1)</f>
        <v/>
      </c>
      <c r="X66">
        <f>MID($D66,8,1)</f>
        <v/>
      </c>
      <c r="Y66">
        <f>MID($D66,9,1)</f>
        <v/>
      </c>
      <c r="Z66">
        <f>MID($D66,10,1)</f>
        <v/>
      </c>
      <c r="AA66">
        <f>MID($E66,1,1)</f>
        <v/>
      </c>
      <c r="AB66">
        <f>MID($E66,2,1)</f>
        <v/>
      </c>
      <c r="AC66">
        <f>MID($E66,3,1)</f>
        <v/>
      </c>
      <c r="AD66">
        <f>MID($E66,4,1)</f>
        <v/>
      </c>
      <c r="AE66">
        <f>MID($E66,5,1)</f>
        <v/>
      </c>
      <c r="AF66">
        <f>MID($E66,6,1)</f>
        <v/>
      </c>
      <c r="AG66">
        <f>MID($E66,7,1)</f>
        <v/>
      </c>
      <c r="AH66">
        <f>MID($E66,8,1)</f>
        <v/>
      </c>
      <c r="AI66">
        <f>MID($E66,9,1)</f>
        <v/>
      </c>
      <c r="AJ66">
        <f>MID($E66,10,1)</f>
        <v/>
      </c>
    </row>
    <row r="67">
      <c r="A67" s="4" t="n">
        <v>66</v>
      </c>
      <c r="B67" s="4" t="inlineStr">
        <is>
          <t>UDP0173</t>
        </is>
      </c>
      <c r="C67" s="4" t="inlineStr"/>
      <c r="D67" s="5" t="inlineStr">
        <is>
          <t>TCCTATTAGC</t>
        </is>
      </c>
      <c r="E67" s="5" t="inlineStr">
        <is>
          <t>AGCGGTGGAC</t>
        </is>
      </c>
      <c r="F67" s="4">
        <f>LEN(SUBSTITUTE(SUBSTITUTE(D67,"A",""),"T",""))</f>
        <v/>
      </c>
      <c r="G67" s="4">
        <f>LEN(SUBSTITUTE(SUBSTITUTE(E67,"A",""),"T",""))</f>
        <v/>
      </c>
      <c r="H67" s="6" t="inlineStr">
        <is>
          <t>B</t>
        </is>
      </c>
      <c r="I67" s="4" t="n">
        <v>-7.25</v>
      </c>
      <c r="J67" s="4" t="n">
        <v>-4.78</v>
      </c>
      <c r="K67" s="4" t="n">
        <v>-1.95</v>
      </c>
      <c r="L67" s="4" t="n">
        <v>56847</v>
      </c>
      <c r="M67" s="4" t="n">
        <v>0</v>
      </c>
      <c r="N67" s="4" t="n">
        <v>0</v>
      </c>
      <c r="O67" s="4" t="n">
        <v>0</v>
      </c>
      <c r="P67" s="4" t="n">
        <v>0</v>
      </c>
      <c r="Q67">
        <f>MID($D67,1,1)</f>
        <v/>
      </c>
      <c r="R67">
        <f>MID($D67,2,1)</f>
        <v/>
      </c>
      <c r="S67">
        <f>MID($D67,3,1)</f>
        <v/>
      </c>
      <c r="T67">
        <f>MID($D67,4,1)</f>
        <v/>
      </c>
      <c r="U67">
        <f>MID($D67,5,1)</f>
        <v/>
      </c>
      <c r="V67">
        <f>MID($D67,6,1)</f>
        <v/>
      </c>
      <c r="W67">
        <f>MID($D67,7,1)</f>
        <v/>
      </c>
      <c r="X67">
        <f>MID($D67,8,1)</f>
        <v/>
      </c>
      <c r="Y67">
        <f>MID($D67,9,1)</f>
        <v/>
      </c>
      <c r="Z67">
        <f>MID($D67,10,1)</f>
        <v/>
      </c>
      <c r="AA67">
        <f>MID($E67,1,1)</f>
        <v/>
      </c>
      <c r="AB67">
        <f>MID($E67,2,1)</f>
        <v/>
      </c>
      <c r="AC67">
        <f>MID($E67,3,1)</f>
        <v/>
      </c>
      <c r="AD67">
        <f>MID($E67,4,1)</f>
        <v/>
      </c>
      <c r="AE67">
        <f>MID($E67,5,1)</f>
        <v/>
      </c>
      <c r="AF67">
        <f>MID($E67,6,1)</f>
        <v/>
      </c>
      <c r="AG67">
        <f>MID($E67,7,1)</f>
        <v/>
      </c>
      <c r="AH67">
        <f>MID($E67,8,1)</f>
        <v/>
      </c>
      <c r="AI67">
        <f>MID($E67,9,1)</f>
        <v/>
      </c>
      <c r="AJ67">
        <f>MID($E67,10,1)</f>
        <v/>
      </c>
    </row>
    <row r="68">
      <c r="A68" s="4" t="n">
        <v>67</v>
      </c>
      <c r="B68" s="4" t="inlineStr">
        <is>
          <t>UDP0176</t>
        </is>
      </c>
      <c r="C68" s="4" t="inlineStr"/>
      <c r="D68" s="5" t="inlineStr">
        <is>
          <t>GATAAGCTCT</t>
        </is>
      </c>
      <c r="E68" s="5" t="inlineStr">
        <is>
          <t>TGTTAGAAGG</t>
        </is>
      </c>
      <c r="F68" s="4">
        <f>LEN(SUBSTITUTE(SUBSTITUTE(D68,"A",""),"T",""))</f>
        <v/>
      </c>
      <c r="G68" s="4">
        <f>LEN(SUBSTITUTE(SUBSTITUTE(E68,"A",""),"T",""))</f>
        <v/>
      </c>
      <c r="H68" s="6" t="inlineStr">
        <is>
          <t>B</t>
        </is>
      </c>
      <c r="I68" s="4" t="n">
        <v>-5.93</v>
      </c>
      <c r="J68" s="4" t="n">
        <v>-4.74</v>
      </c>
      <c r="K68" s="4" t="n">
        <v>-2.35</v>
      </c>
      <c r="L68" s="4" t="n">
        <v>42003</v>
      </c>
      <c r="M68" s="4" t="n">
        <v>0</v>
      </c>
      <c r="N68" s="4" t="n">
        <v>1</v>
      </c>
      <c r="O68" s="4" t="n">
        <v>0</v>
      </c>
      <c r="P68" s="4" t="n">
        <v>0</v>
      </c>
      <c r="Q68">
        <f>MID($D68,1,1)</f>
        <v/>
      </c>
      <c r="R68">
        <f>MID($D68,2,1)</f>
        <v/>
      </c>
      <c r="S68">
        <f>MID($D68,3,1)</f>
        <v/>
      </c>
      <c r="T68">
        <f>MID($D68,4,1)</f>
        <v/>
      </c>
      <c r="U68">
        <f>MID($D68,5,1)</f>
        <v/>
      </c>
      <c r="V68">
        <f>MID($D68,6,1)</f>
        <v/>
      </c>
      <c r="W68">
        <f>MID($D68,7,1)</f>
        <v/>
      </c>
      <c r="X68">
        <f>MID($D68,8,1)</f>
        <v/>
      </c>
      <c r="Y68">
        <f>MID($D68,9,1)</f>
        <v/>
      </c>
      <c r="Z68">
        <f>MID($D68,10,1)</f>
        <v/>
      </c>
      <c r="AA68">
        <f>MID($E68,1,1)</f>
        <v/>
      </c>
      <c r="AB68">
        <f>MID($E68,2,1)</f>
        <v/>
      </c>
      <c r="AC68">
        <f>MID($E68,3,1)</f>
        <v/>
      </c>
      <c r="AD68">
        <f>MID($E68,4,1)</f>
        <v/>
      </c>
      <c r="AE68">
        <f>MID($E68,5,1)</f>
        <v/>
      </c>
      <c r="AF68">
        <f>MID($E68,6,1)</f>
        <v/>
      </c>
      <c r="AG68">
        <f>MID($E68,7,1)</f>
        <v/>
      </c>
      <c r="AH68">
        <f>MID($E68,8,1)</f>
        <v/>
      </c>
      <c r="AI68">
        <f>MID($E68,9,1)</f>
        <v/>
      </c>
      <c r="AJ68">
        <f>MID($E68,10,1)</f>
        <v/>
      </c>
    </row>
    <row r="69">
      <c r="A69" s="4" t="n">
        <v>68</v>
      </c>
      <c r="B69" s="4" t="inlineStr">
        <is>
          <t>UDP0180</t>
        </is>
      </c>
      <c r="C69" s="4" t="inlineStr"/>
      <c r="D69" s="5" t="inlineStr">
        <is>
          <t>ATTACTCACC</t>
        </is>
      </c>
      <c r="E69" s="5" t="inlineStr">
        <is>
          <t>TGAGACAGCG</t>
        </is>
      </c>
      <c r="F69" s="4">
        <f>LEN(SUBSTITUTE(SUBSTITUTE(D69,"A",""),"T",""))</f>
        <v/>
      </c>
      <c r="G69" s="4">
        <f>LEN(SUBSTITUTE(SUBSTITUTE(E69,"A",""),"T",""))</f>
        <v/>
      </c>
      <c r="H69" s="6" t="inlineStr">
        <is>
          <t>B</t>
        </is>
      </c>
      <c r="I69" s="4" t="n">
        <v>-8.050000000000001</v>
      </c>
      <c r="J69" s="4" t="n">
        <v>-4.54</v>
      </c>
      <c r="K69" s="4" t="n">
        <v>-1.77</v>
      </c>
      <c r="L69" s="4" t="n">
        <v>53908</v>
      </c>
      <c r="M69" s="4" t="n">
        <v>0</v>
      </c>
      <c r="N69" s="4" t="n">
        <v>0</v>
      </c>
      <c r="O69" s="4" t="n">
        <v>0</v>
      </c>
      <c r="P69" s="4" t="n">
        <v>0</v>
      </c>
      <c r="Q69">
        <f>MID($D69,1,1)</f>
        <v/>
      </c>
      <c r="R69">
        <f>MID($D69,2,1)</f>
        <v/>
      </c>
      <c r="S69">
        <f>MID($D69,3,1)</f>
        <v/>
      </c>
      <c r="T69">
        <f>MID($D69,4,1)</f>
        <v/>
      </c>
      <c r="U69">
        <f>MID($D69,5,1)</f>
        <v/>
      </c>
      <c r="V69">
        <f>MID($D69,6,1)</f>
        <v/>
      </c>
      <c r="W69">
        <f>MID($D69,7,1)</f>
        <v/>
      </c>
      <c r="X69">
        <f>MID($D69,8,1)</f>
        <v/>
      </c>
      <c r="Y69">
        <f>MID($D69,9,1)</f>
        <v/>
      </c>
      <c r="Z69">
        <f>MID($D69,10,1)</f>
        <v/>
      </c>
      <c r="AA69">
        <f>MID($E69,1,1)</f>
        <v/>
      </c>
      <c r="AB69">
        <f>MID($E69,2,1)</f>
        <v/>
      </c>
      <c r="AC69">
        <f>MID($E69,3,1)</f>
        <v/>
      </c>
      <c r="AD69">
        <f>MID($E69,4,1)</f>
        <v/>
      </c>
      <c r="AE69">
        <f>MID($E69,5,1)</f>
        <v/>
      </c>
      <c r="AF69">
        <f>MID($E69,6,1)</f>
        <v/>
      </c>
      <c r="AG69">
        <f>MID($E69,7,1)</f>
        <v/>
      </c>
      <c r="AH69">
        <f>MID($E69,8,1)</f>
        <v/>
      </c>
      <c r="AI69">
        <f>MID($E69,9,1)</f>
        <v/>
      </c>
      <c r="AJ69">
        <f>MID($E69,10,1)</f>
        <v/>
      </c>
    </row>
    <row r="70">
      <c r="A70" s="4" t="n">
        <v>69</v>
      </c>
      <c r="B70" s="4" t="inlineStr">
        <is>
          <t>UDP0200</t>
        </is>
      </c>
      <c r="C70" s="4" t="inlineStr"/>
      <c r="D70" s="5" t="inlineStr">
        <is>
          <t>AATGTATTGC</t>
        </is>
      </c>
      <c r="E70" s="5" t="inlineStr">
        <is>
          <t>GTCTAACCTC</t>
        </is>
      </c>
      <c r="F70" s="4">
        <f>LEN(SUBSTITUTE(SUBSTITUTE(D70,"A",""),"T",""))</f>
        <v/>
      </c>
      <c r="G70" s="4">
        <f>LEN(SUBSTITUTE(SUBSTITUTE(E70,"A",""),"T",""))</f>
        <v/>
      </c>
      <c r="H70" s="6" t="inlineStr">
        <is>
          <t>B</t>
        </is>
      </c>
      <c r="I70" s="4" t="n">
        <v>-6.79</v>
      </c>
      <c r="J70" s="4" t="n">
        <v>-4.78</v>
      </c>
      <c r="K70" s="4" t="n">
        <v>-1.62</v>
      </c>
      <c r="L70" s="4" t="n">
        <v>169207</v>
      </c>
      <c r="M70" s="4" t="n">
        <v>0</v>
      </c>
      <c r="N70" s="4" t="n">
        <v>0</v>
      </c>
      <c r="O70" s="4" t="n">
        <v>1</v>
      </c>
      <c r="P70" s="4" t="n">
        <v>2</v>
      </c>
      <c r="Q70">
        <f>MID($D70,1,1)</f>
        <v/>
      </c>
      <c r="R70">
        <f>MID($D70,2,1)</f>
        <v/>
      </c>
      <c r="S70">
        <f>MID($D70,3,1)</f>
        <v/>
      </c>
      <c r="T70">
        <f>MID($D70,4,1)</f>
        <v/>
      </c>
      <c r="U70">
        <f>MID($D70,5,1)</f>
        <v/>
      </c>
      <c r="V70">
        <f>MID($D70,6,1)</f>
        <v/>
      </c>
      <c r="W70">
        <f>MID($D70,7,1)</f>
        <v/>
      </c>
      <c r="X70">
        <f>MID($D70,8,1)</f>
        <v/>
      </c>
      <c r="Y70">
        <f>MID($D70,9,1)</f>
        <v/>
      </c>
      <c r="Z70">
        <f>MID($D70,10,1)</f>
        <v/>
      </c>
      <c r="AA70">
        <f>MID($E70,1,1)</f>
        <v/>
      </c>
      <c r="AB70">
        <f>MID($E70,2,1)</f>
        <v/>
      </c>
      <c r="AC70">
        <f>MID($E70,3,1)</f>
        <v/>
      </c>
      <c r="AD70">
        <f>MID($E70,4,1)</f>
        <v/>
      </c>
      <c r="AE70">
        <f>MID($E70,5,1)</f>
        <v/>
      </c>
      <c r="AF70">
        <f>MID($E70,6,1)</f>
        <v/>
      </c>
      <c r="AG70">
        <f>MID($E70,7,1)</f>
        <v/>
      </c>
      <c r="AH70">
        <f>MID($E70,8,1)</f>
        <v/>
      </c>
      <c r="AI70">
        <f>MID($E70,9,1)</f>
        <v/>
      </c>
      <c r="AJ70">
        <f>MID($E70,10,1)</f>
        <v/>
      </c>
    </row>
    <row r="71">
      <c r="A71" s="4" t="n">
        <v>70</v>
      </c>
      <c r="B71" s="4" t="inlineStr">
        <is>
          <t>UDP0204</t>
        </is>
      </c>
      <c r="C71" s="4" t="inlineStr"/>
      <c r="D71" s="5" t="inlineStr">
        <is>
          <t>GGAGTCGCGA</t>
        </is>
      </c>
      <c r="E71" s="5" t="inlineStr">
        <is>
          <t>CTTCAGTTAC</t>
        </is>
      </c>
      <c r="F71" s="4">
        <f>LEN(SUBSTITUTE(SUBSTITUTE(D71,"A",""),"T",""))</f>
        <v/>
      </c>
      <c r="G71" s="4">
        <f>LEN(SUBSTITUTE(SUBSTITUTE(E71,"A",""),"T",""))</f>
        <v/>
      </c>
      <c r="H71" s="6" t="inlineStr">
        <is>
          <t>B</t>
        </is>
      </c>
      <c r="I71" s="4" t="n">
        <v>-7.52</v>
      </c>
      <c r="J71" s="4" t="n">
        <v>-3.83</v>
      </c>
      <c r="K71" s="4" t="n">
        <v>-2.34</v>
      </c>
      <c r="L71" s="4" t="n">
        <v>478261</v>
      </c>
      <c r="M71" s="4" t="n">
        <v>0</v>
      </c>
      <c r="N71" s="4" t="n">
        <v>3</v>
      </c>
      <c r="O71" s="4" t="n">
        <v>0</v>
      </c>
      <c r="P71" s="4" t="n">
        <v>2</v>
      </c>
      <c r="Q71">
        <f>MID($D71,1,1)</f>
        <v/>
      </c>
      <c r="R71">
        <f>MID($D71,2,1)</f>
        <v/>
      </c>
      <c r="S71">
        <f>MID($D71,3,1)</f>
        <v/>
      </c>
      <c r="T71">
        <f>MID($D71,4,1)</f>
        <v/>
      </c>
      <c r="U71">
        <f>MID($D71,5,1)</f>
        <v/>
      </c>
      <c r="V71">
        <f>MID($D71,6,1)</f>
        <v/>
      </c>
      <c r="W71">
        <f>MID($D71,7,1)</f>
        <v/>
      </c>
      <c r="X71">
        <f>MID($D71,8,1)</f>
        <v/>
      </c>
      <c r="Y71">
        <f>MID($D71,9,1)</f>
        <v/>
      </c>
      <c r="Z71">
        <f>MID($D71,10,1)</f>
        <v/>
      </c>
      <c r="AA71">
        <f>MID($E71,1,1)</f>
        <v/>
      </c>
      <c r="AB71">
        <f>MID($E71,2,1)</f>
        <v/>
      </c>
      <c r="AC71">
        <f>MID($E71,3,1)</f>
        <v/>
      </c>
      <c r="AD71">
        <f>MID($E71,4,1)</f>
        <v/>
      </c>
      <c r="AE71">
        <f>MID($E71,5,1)</f>
        <v/>
      </c>
      <c r="AF71">
        <f>MID($E71,6,1)</f>
        <v/>
      </c>
      <c r="AG71">
        <f>MID($E71,7,1)</f>
        <v/>
      </c>
      <c r="AH71">
        <f>MID($E71,8,1)</f>
        <v/>
      </c>
      <c r="AI71">
        <f>MID($E71,9,1)</f>
        <v/>
      </c>
      <c r="AJ71">
        <f>MID($E71,10,1)</f>
        <v/>
      </c>
    </row>
    <row r="72">
      <c r="A72" s="4" t="n">
        <v>71</v>
      </c>
      <c r="B72" s="4" t="inlineStr">
        <is>
          <t>UDP0209</t>
        </is>
      </c>
      <c r="C72" s="4" t="inlineStr"/>
      <c r="D72" s="5" t="inlineStr">
        <is>
          <t>AATACGACAT</t>
        </is>
      </c>
      <c r="E72" s="5" t="inlineStr">
        <is>
          <t>ATAGTCTAGC</t>
        </is>
      </c>
      <c r="F72" s="4">
        <f>LEN(SUBSTITUTE(SUBSTITUTE(D72,"A",""),"T",""))</f>
        <v/>
      </c>
      <c r="G72" s="4">
        <f>LEN(SUBSTITUTE(SUBSTITUTE(E72,"A",""),"T",""))</f>
        <v/>
      </c>
      <c r="H72" s="7" t="inlineStr">
        <is>
          <t>A</t>
        </is>
      </c>
      <c r="I72" s="4" t="n">
        <v>-6.73</v>
      </c>
      <c r="J72" s="4" t="n">
        <v>-4.17</v>
      </c>
      <c r="K72" s="4" t="n">
        <v>-1.62</v>
      </c>
      <c r="L72" s="4" t="n">
        <v>81902</v>
      </c>
      <c r="M72" s="4" t="n">
        <v>0</v>
      </c>
      <c r="N72" s="4" t="n">
        <v>0</v>
      </c>
      <c r="O72" s="4" t="n">
        <v>0</v>
      </c>
      <c r="P72" s="4" t="n">
        <v>1</v>
      </c>
      <c r="Q72">
        <f>MID($D72,1,1)</f>
        <v/>
      </c>
      <c r="R72">
        <f>MID($D72,2,1)</f>
        <v/>
      </c>
      <c r="S72">
        <f>MID($D72,3,1)</f>
        <v/>
      </c>
      <c r="T72">
        <f>MID($D72,4,1)</f>
        <v/>
      </c>
      <c r="U72">
        <f>MID($D72,5,1)</f>
        <v/>
      </c>
      <c r="V72">
        <f>MID($D72,6,1)</f>
        <v/>
      </c>
      <c r="W72">
        <f>MID($D72,7,1)</f>
        <v/>
      </c>
      <c r="X72">
        <f>MID($D72,8,1)</f>
        <v/>
      </c>
      <c r="Y72">
        <f>MID($D72,9,1)</f>
        <v/>
      </c>
      <c r="Z72">
        <f>MID($D72,10,1)</f>
        <v/>
      </c>
      <c r="AA72">
        <f>MID($E72,1,1)</f>
        <v/>
      </c>
      <c r="AB72">
        <f>MID($E72,2,1)</f>
        <v/>
      </c>
      <c r="AC72">
        <f>MID($E72,3,1)</f>
        <v/>
      </c>
      <c r="AD72">
        <f>MID($E72,4,1)</f>
        <v/>
      </c>
      <c r="AE72">
        <f>MID($E72,5,1)</f>
        <v/>
      </c>
      <c r="AF72">
        <f>MID($E72,6,1)</f>
        <v/>
      </c>
      <c r="AG72">
        <f>MID($E72,7,1)</f>
        <v/>
      </c>
      <c r="AH72">
        <f>MID($E72,8,1)</f>
        <v/>
      </c>
      <c r="AI72">
        <f>MID($E72,9,1)</f>
        <v/>
      </c>
      <c r="AJ72">
        <f>MID($E72,10,1)</f>
        <v/>
      </c>
    </row>
    <row r="73">
      <c r="A73" s="4" t="n">
        <v>72</v>
      </c>
      <c r="B73" s="4" t="inlineStr">
        <is>
          <t>UDP0241</t>
        </is>
      </c>
      <c r="C73" s="4" t="inlineStr"/>
      <c r="D73" s="5" t="inlineStr">
        <is>
          <t>CTTCGAAGGA</t>
        </is>
      </c>
      <c r="E73" s="5" t="inlineStr">
        <is>
          <t>TCCGCGTTCA</t>
        </is>
      </c>
      <c r="F73" s="4">
        <f>LEN(SUBSTITUTE(SUBSTITUTE(D73,"A",""),"T",""))</f>
        <v/>
      </c>
      <c r="G73" s="4">
        <f>LEN(SUBSTITUTE(SUBSTITUTE(E73,"A",""),"T",""))</f>
        <v/>
      </c>
      <c r="H73" s="7" t="inlineStr">
        <is>
          <t>A</t>
        </is>
      </c>
      <c r="I73" s="4" t="n">
        <v>-6.02</v>
      </c>
      <c r="J73" s="4" t="n">
        <v>-3.83</v>
      </c>
      <c r="K73" s="4" t="n">
        <v>-2.61</v>
      </c>
      <c r="L73" s="4" t="n">
        <v>238877</v>
      </c>
      <c r="M73" s="4" t="n">
        <v>0</v>
      </c>
      <c r="N73" s="4" t="n">
        <v>0</v>
      </c>
      <c r="O73" s="4" t="n">
        <v>0</v>
      </c>
      <c r="P73" s="4" t="n">
        <v>0</v>
      </c>
      <c r="Q73">
        <f>MID($D73,1,1)</f>
        <v/>
      </c>
      <c r="R73">
        <f>MID($D73,2,1)</f>
        <v/>
      </c>
      <c r="S73">
        <f>MID($D73,3,1)</f>
        <v/>
      </c>
      <c r="T73">
        <f>MID($D73,4,1)</f>
        <v/>
      </c>
      <c r="U73">
        <f>MID($D73,5,1)</f>
        <v/>
      </c>
      <c r="V73">
        <f>MID($D73,6,1)</f>
        <v/>
      </c>
      <c r="W73">
        <f>MID($D73,7,1)</f>
        <v/>
      </c>
      <c r="X73">
        <f>MID($D73,8,1)</f>
        <v/>
      </c>
      <c r="Y73">
        <f>MID($D73,9,1)</f>
        <v/>
      </c>
      <c r="Z73">
        <f>MID($D73,10,1)</f>
        <v/>
      </c>
      <c r="AA73">
        <f>MID($E73,1,1)</f>
        <v/>
      </c>
      <c r="AB73">
        <f>MID($E73,2,1)</f>
        <v/>
      </c>
      <c r="AC73">
        <f>MID($E73,3,1)</f>
        <v/>
      </c>
      <c r="AD73">
        <f>MID($E73,4,1)</f>
        <v/>
      </c>
      <c r="AE73">
        <f>MID($E73,5,1)</f>
        <v/>
      </c>
      <c r="AF73">
        <f>MID($E73,6,1)</f>
        <v/>
      </c>
      <c r="AG73">
        <f>MID($E73,7,1)</f>
        <v/>
      </c>
      <c r="AH73">
        <f>MID($E73,8,1)</f>
        <v/>
      </c>
      <c r="AI73">
        <f>MID($E73,9,1)</f>
        <v/>
      </c>
      <c r="AJ73">
        <f>MID($E73,10,1)</f>
        <v/>
      </c>
    </row>
    <row r="74">
      <c r="A74" s="4" t="n">
        <v>73</v>
      </c>
      <c r="B74" s="4" t="inlineStr">
        <is>
          <t>UDP0242V3</t>
        </is>
      </c>
      <c r="C74" s="4" t="inlineStr"/>
      <c r="D74" s="5" t="inlineStr">
        <is>
          <t>TACGAATCTT</t>
        </is>
      </c>
      <c r="E74" s="5" t="inlineStr">
        <is>
          <t>AGACTCTCTT</t>
        </is>
      </c>
      <c r="F74" s="4">
        <f>LEN(SUBSTITUTE(SUBSTITUTE(D74,"A",""),"T",""))</f>
        <v/>
      </c>
      <c r="G74" s="4">
        <f>LEN(SUBSTITUTE(SUBSTITUTE(E74,"A",""),"T",""))</f>
        <v/>
      </c>
      <c r="H74" s="7" t="inlineStr">
        <is>
          <t>A</t>
        </is>
      </c>
      <c r="I74" s="4" t="n">
        <v>-6.5</v>
      </c>
      <c r="J74" s="4" t="n">
        <v>-3.79</v>
      </c>
      <c r="K74" s="4" t="n">
        <v>-1.59</v>
      </c>
      <c r="L74" s="4" t="n">
        <v>80734</v>
      </c>
      <c r="M74" s="4" t="n">
        <v>0</v>
      </c>
      <c r="N74" s="4" t="n">
        <v>0</v>
      </c>
      <c r="O74" s="4" t="n">
        <v>0</v>
      </c>
      <c r="P74" s="4" t="n">
        <v>0</v>
      </c>
      <c r="Q74">
        <f>MID($D74,1,1)</f>
        <v/>
      </c>
      <c r="R74">
        <f>MID($D74,2,1)</f>
        <v/>
      </c>
      <c r="S74">
        <f>MID($D74,3,1)</f>
        <v/>
      </c>
      <c r="T74">
        <f>MID($D74,4,1)</f>
        <v/>
      </c>
      <c r="U74">
        <f>MID($D74,5,1)</f>
        <v/>
      </c>
      <c r="V74">
        <f>MID($D74,6,1)</f>
        <v/>
      </c>
      <c r="W74">
        <f>MID($D74,7,1)</f>
        <v/>
      </c>
      <c r="X74">
        <f>MID($D74,8,1)</f>
        <v/>
      </c>
      <c r="Y74">
        <f>MID($D74,9,1)</f>
        <v/>
      </c>
      <c r="Z74">
        <f>MID($D74,10,1)</f>
        <v/>
      </c>
      <c r="AA74">
        <f>MID($E74,1,1)</f>
        <v/>
      </c>
      <c r="AB74">
        <f>MID($E74,2,1)</f>
        <v/>
      </c>
      <c r="AC74">
        <f>MID($E74,3,1)</f>
        <v/>
      </c>
      <c r="AD74">
        <f>MID($E74,4,1)</f>
        <v/>
      </c>
      <c r="AE74">
        <f>MID($E74,5,1)</f>
        <v/>
      </c>
      <c r="AF74">
        <f>MID($E74,6,1)</f>
        <v/>
      </c>
      <c r="AG74">
        <f>MID($E74,7,1)</f>
        <v/>
      </c>
      <c r="AH74">
        <f>MID($E74,8,1)</f>
        <v/>
      </c>
      <c r="AI74">
        <f>MID($E74,9,1)</f>
        <v/>
      </c>
      <c r="AJ74">
        <f>MID($E74,10,1)</f>
        <v/>
      </c>
    </row>
    <row r="75">
      <c r="A75" s="4" t="n">
        <v>74</v>
      </c>
      <c r="B75" s="4" t="inlineStr">
        <is>
          <t>UDP0243</t>
        </is>
      </c>
      <c r="C75" s="4" t="inlineStr"/>
      <c r="D75" s="5" t="inlineStr">
        <is>
          <t>GACATTGTCA</t>
        </is>
      </c>
      <c r="E75" s="5" t="inlineStr">
        <is>
          <t>GAACCATGAA</t>
        </is>
      </c>
      <c r="F75" s="4">
        <f>LEN(SUBSTITUTE(SUBSTITUTE(D75,"A",""),"T",""))</f>
        <v/>
      </c>
      <c r="G75" s="4">
        <f>LEN(SUBSTITUTE(SUBSTITUTE(E75,"A",""),"T",""))</f>
        <v/>
      </c>
      <c r="H75" s="7" t="inlineStr">
        <is>
          <t>A</t>
        </is>
      </c>
      <c r="I75" s="4" t="n">
        <v>-6.68</v>
      </c>
      <c r="J75" s="4" t="n">
        <v>-4.17</v>
      </c>
      <c r="K75" s="4" t="n">
        <v>-2.61</v>
      </c>
      <c r="L75" s="4" t="n">
        <v>44559</v>
      </c>
      <c r="M75" s="4" t="n">
        <v>0</v>
      </c>
      <c r="N75" s="4" t="n">
        <v>0</v>
      </c>
      <c r="O75" s="4" t="n">
        <v>1</v>
      </c>
      <c r="P75" s="4" t="n">
        <v>2</v>
      </c>
      <c r="Q75">
        <f>MID($D75,1,1)</f>
        <v/>
      </c>
      <c r="R75">
        <f>MID($D75,2,1)</f>
        <v/>
      </c>
      <c r="S75">
        <f>MID($D75,3,1)</f>
        <v/>
      </c>
      <c r="T75">
        <f>MID($D75,4,1)</f>
        <v/>
      </c>
      <c r="U75">
        <f>MID($D75,5,1)</f>
        <v/>
      </c>
      <c r="V75">
        <f>MID($D75,6,1)</f>
        <v/>
      </c>
      <c r="W75">
        <f>MID($D75,7,1)</f>
        <v/>
      </c>
      <c r="X75">
        <f>MID($D75,8,1)</f>
        <v/>
      </c>
      <c r="Y75">
        <f>MID($D75,9,1)</f>
        <v/>
      </c>
      <c r="Z75">
        <f>MID($D75,10,1)</f>
        <v/>
      </c>
      <c r="AA75">
        <f>MID($E75,1,1)</f>
        <v/>
      </c>
      <c r="AB75">
        <f>MID($E75,2,1)</f>
        <v/>
      </c>
      <c r="AC75">
        <f>MID($E75,3,1)</f>
        <v/>
      </c>
      <c r="AD75">
        <f>MID($E75,4,1)</f>
        <v/>
      </c>
      <c r="AE75">
        <f>MID($E75,5,1)</f>
        <v/>
      </c>
      <c r="AF75">
        <f>MID($E75,6,1)</f>
        <v/>
      </c>
      <c r="AG75">
        <f>MID($E75,7,1)</f>
        <v/>
      </c>
      <c r="AH75">
        <f>MID($E75,8,1)</f>
        <v/>
      </c>
      <c r="AI75">
        <f>MID($E75,9,1)</f>
        <v/>
      </c>
      <c r="AJ75">
        <f>MID($E75,10,1)</f>
        <v/>
      </c>
    </row>
    <row r="76">
      <c r="A76" s="4" t="n">
        <v>75</v>
      </c>
      <c r="B76" s="4" t="inlineStr">
        <is>
          <t>UDP0247</t>
        </is>
      </c>
      <c r="C76" s="4" t="inlineStr"/>
      <c r="D76" s="5" t="inlineStr">
        <is>
          <t>CGCTTGAAGT</t>
        </is>
      </c>
      <c r="E76" s="5" t="inlineStr">
        <is>
          <t>GGCACGCCAT</t>
        </is>
      </c>
      <c r="F76" s="4">
        <f>LEN(SUBSTITUTE(SUBSTITUTE(D76,"A",""),"T",""))</f>
        <v/>
      </c>
      <c r="G76" s="4">
        <f>LEN(SUBSTITUTE(SUBSTITUTE(E76,"A",""),"T",""))</f>
        <v/>
      </c>
      <c r="H76" s="6" t="inlineStr">
        <is>
          <t>B</t>
        </is>
      </c>
      <c r="I76" s="4" t="n">
        <v>-7.64</v>
      </c>
      <c r="J76" s="4" t="n">
        <v>-3.79</v>
      </c>
      <c r="K76" s="4" t="n">
        <v>-1.59</v>
      </c>
      <c r="L76" s="4" t="n">
        <v>98533</v>
      </c>
      <c r="M76" s="4" t="n">
        <v>0</v>
      </c>
      <c r="N76" s="4" t="n">
        <v>0</v>
      </c>
      <c r="O76" s="4" t="n">
        <v>0</v>
      </c>
      <c r="P76" s="4" t="n">
        <v>0</v>
      </c>
      <c r="Q76">
        <f>MID($D76,1,1)</f>
        <v/>
      </c>
      <c r="R76">
        <f>MID($D76,2,1)</f>
        <v/>
      </c>
      <c r="S76">
        <f>MID($D76,3,1)</f>
        <v/>
      </c>
      <c r="T76">
        <f>MID($D76,4,1)</f>
        <v/>
      </c>
      <c r="U76">
        <f>MID($D76,5,1)</f>
        <v/>
      </c>
      <c r="V76">
        <f>MID($D76,6,1)</f>
        <v/>
      </c>
      <c r="W76">
        <f>MID($D76,7,1)</f>
        <v/>
      </c>
      <c r="X76">
        <f>MID($D76,8,1)</f>
        <v/>
      </c>
      <c r="Y76">
        <f>MID($D76,9,1)</f>
        <v/>
      </c>
      <c r="Z76">
        <f>MID($D76,10,1)</f>
        <v/>
      </c>
      <c r="AA76">
        <f>MID($E76,1,1)</f>
        <v/>
      </c>
      <c r="AB76">
        <f>MID($E76,2,1)</f>
        <v/>
      </c>
      <c r="AC76">
        <f>MID($E76,3,1)</f>
        <v/>
      </c>
      <c r="AD76">
        <f>MID($E76,4,1)</f>
        <v/>
      </c>
      <c r="AE76">
        <f>MID($E76,5,1)</f>
        <v/>
      </c>
      <c r="AF76">
        <f>MID($E76,6,1)</f>
        <v/>
      </c>
      <c r="AG76">
        <f>MID($E76,7,1)</f>
        <v/>
      </c>
      <c r="AH76">
        <f>MID($E76,8,1)</f>
        <v/>
      </c>
      <c r="AI76">
        <f>MID($E76,9,1)</f>
        <v/>
      </c>
      <c r="AJ76">
        <f>MID($E76,10,1)</f>
        <v/>
      </c>
    </row>
    <row r="77">
      <c r="A77" s="4" t="n">
        <v>76</v>
      </c>
      <c r="B77" s="4" t="inlineStr">
        <is>
          <t>UDP0250</t>
        </is>
      </c>
      <c r="C77" s="4" t="inlineStr"/>
      <c r="D77" s="5" t="inlineStr">
        <is>
          <t>GGATCCGCAT</t>
        </is>
      </c>
      <c r="E77" s="5" t="inlineStr">
        <is>
          <t>CCGAACGTTG</t>
        </is>
      </c>
      <c r="F77" s="4">
        <f>LEN(SUBSTITUTE(SUBSTITUTE(D77,"A",""),"T",""))</f>
        <v/>
      </c>
      <c r="G77" s="4">
        <f>LEN(SUBSTITUTE(SUBSTITUTE(E77,"A",""),"T",""))</f>
        <v/>
      </c>
      <c r="H77" s="6" t="inlineStr">
        <is>
          <t>B</t>
        </is>
      </c>
      <c r="I77" s="4" t="n">
        <v>-5.93</v>
      </c>
      <c r="J77" s="4" t="n">
        <v>-5.14</v>
      </c>
      <c r="K77" s="4" t="n">
        <v>-1.98</v>
      </c>
      <c r="L77" s="4" t="n">
        <v>38247</v>
      </c>
      <c r="M77" s="4" t="n">
        <v>0</v>
      </c>
      <c r="N77" s="4" t="n">
        <v>0</v>
      </c>
      <c r="O77" s="4" t="n">
        <v>0</v>
      </c>
      <c r="P77" s="4" t="n">
        <v>0</v>
      </c>
      <c r="Q77">
        <f>MID($D77,1,1)</f>
        <v/>
      </c>
      <c r="R77">
        <f>MID($D77,2,1)</f>
        <v/>
      </c>
      <c r="S77">
        <f>MID($D77,3,1)</f>
        <v/>
      </c>
      <c r="T77">
        <f>MID($D77,4,1)</f>
        <v/>
      </c>
      <c r="U77">
        <f>MID($D77,5,1)</f>
        <v/>
      </c>
      <c r="V77">
        <f>MID($D77,6,1)</f>
        <v/>
      </c>
      <c r="W77">
        <f>MID($D77,7,1)</f>
        <v/>
      </c>
      <c r="X77">
        <f>MID($D77,8,1)</f>
        <v/>
      </c>
      <c r="Y77">
        <f>MID($D77,9,1)</f>
        <v/>
      </c>
      <c r="Z77">
        <f>MID($D77,10,1)</f>
        <v/>
      </c>
      <c r="AA77">
        <f>MID($E77,1,1)</f>
        <v/>
      </c>
      <c r="AB77">
        <f>MID($E77,2,1)</f>
        <v/>
      </c>
      <c r="AC77">
        <f>MID($E77,3,1)</f>
        <v/>
      </c>
      <c r="AD77">
        <f>MID($E77,4,1)</f>
        <v/>
      </c>
      <c r="AE77">
        <f>MID($E77,5,1)</f>
        <v/>
      </c>
      <c r="AF77">
        <f>MID($E77,6,1)</f>
        <v/>
      </c>
      <c r="AG77">
        <f>MID($E77,7,1)</f>
        <v/>
      </c>
      <c r="AH77">
        <f>MID($E77,8,1)</f>
        <v/>
      </c>
      <c r="AI77">
        <f>MID($E77,9,1)</f>
        <v/>
      </c>
      <c r="AJ77">
        <f>MID($E77,10,1)</f>
        <v/>
      </c>
    </row>
    <row r="78">
      <c r="A78" s="4" t="n">
        <v>77</v>
      </c>
      <c r="B78" s="4" t="inlineStr">
        <is>
          <t>UDP0260</t>
        </is>
      </c>
      <c r="C78" s="4" t="inlineStr"/>
      <c r="D78" s="5" t="inlineStr">
        <is>
          <t>ACCGCGCAAT</t>
        </is>
      </c>
      <c r="E78" s="5" t="inlineStr">
        <is>
          <t>CAATGGCGCC</t>
        </is>
      </c>
      <c r="F78" s="4">
        <f>LEN(SUBSTITUTE(SUBSTITUTE(D78,"A",""),"T",""))</f>
        <v/>
      </c>
      <c r="G78" s="4">
        <f>LEN(SUBSTITUTE(SUBSTITUTE(E78,"A",""),"T",""))</f>
        <v/>
      </c>
      <c r="H78" s="6" t="inlineStr">
        <is>
          <t>B</t>
        </is>
      </c>
      <c r="I78" s="4" t="n">
        <v>-7.66</v>
      </c>
      <c r="J78" s="4" t="n">
        <v>-4.7</v>
      </c>
      <c r="K78" s="4" t="n">
        <v>-1.62</v>
      </c>
      <c r="L78" s="4" t="n">
        <v>114267</v>
      </c>
      <c r="M78" s="4" t="n">
        <v>0</v>
      </c>
      <c r="N78" s="4" t="n">
        <v>0</v>
      </c>
      <c r="O78" s="4" t="n">
        <v>0</v>
      </c>
      <c r="P78" s="4" t="n">
        <v>0</v>
      </c>
      <c r="Q78">
        <f>MID($D78,1,1)</f>
        <v/>
      </c>
      <c r="R78">
        <f>MID($D78,2,1)</f>
        <v/>
      </c>
      <c r="S78">
        <f>MID($D78,3,1)</f>
        <v/>
      </c>
      <c r="T78">
        <f>MID($D78,4,1)</f>
        <v/>
      </c>
      <c r="U78">
        <f>MID($D78,5,1)</f>
        <v/>
      </c>
      <c r="V78">
        <f>MID($D78,6,1)</f>
        <v/>
      </c>
      <c r="W78">
        <f>MID($D78,7,1)</f>
        <v/>
      </c>
      <c r="X78">
        <f>MID($D78,8,1)</f>
        <v/>
      </c>
      <c r="Y78">
        <f>MID($D78,9,1)</f>
        <v/>
      </c>
      <c r="Z78">
        <f>MID($D78,10,1)</f>
        <v/>
      </c>
      <c r="AA78">
        <f>MID($E78,1,1)</f>
        <v/>
      </c>
      <c r="AB78">
        <f>MID($E78,2,1)</f>
        <v/>
      </c>
      <c r="AC78">
        <f>MID($E78,3,1)</f>
        <v/>
      </c>
      <c r="AD78">
        <f>MID($E78,4,1)</f>
        <v/>
      </c>
      <c r="AE78">
        <f>MID($E78,5,1)</f>
        <v/>
      </c>
      <c r="AF78">
        <f>MID($E78,6,1)</f>
        <v/>
      </c>
      <c r="AG78">
        <f>MID($E78,7,1)</f>
        <v/>
      </c>
      <c r="AH78">
        <f>MID($E78,8,1)</f>
        <v/>
      </c>
      <c r="AI78">
        <f>MID($E78,9,1)</f>
        <v/>
      </c>
      <c r="AJ78">
        <f>MID($E78,10,1)</f>
        <v/>
      </c>
    </row>
    <row r="79">
      <c r="A79" s="4" t="n">
        <v>78</v>
      </c>
      <c r="B79" s="4" t="inlineStr">
        <is>
          <t>UDP0278</t>
        </is>
      </c>
      <c r="C79" s="4" t="inlineStr"/>
      <c r="D79" s="5" t="inlineStr">
        <is>
          <t>CCGTGGCCTT</t>
        </is>
      </c>
      <c r="E79" s="5" t="inlineStr">
        <is>
          <t>ACTTGTCCAC</t>
        </is>
      </c>
      <c r="F79" s="4">
        <f>LEN(SUBSTITUTE(SUBSTITUTE(D79,"A",""),"T",""))</f>
        <v/>
      </c>
      <c r="G79" s="4">
        <f>LEN(SUBSTITUTE(SUBSTITUTE(E79,"A",""),"T",""))</f>
        <v/>
      </c>
      <c r="H79" s="7" t="inlineStr">
        <is>
          <t>A</t>
        </is>
      </c>
      <c r="I79" s="4" t="n">
        <v>-5.69</v>
      </c>
      <c r="J79" s="4" t="n">
        <v>-3.79</v>
      </c>
      <c r="K79" s="4" t="n">
        <v>-2.88</v>
      </c>
      <c r="L79" s="4" t="n">
        <v>46177</v>
      </c>
      <c r="M79" s="4" t="n">
        <v>0</v>
      </c>
      <c r="N79" s="4" t="n">
        <v>0</v>
      </c>
      <c r="O79" s="4" t="n">
        <v>0</v>
      </c>
      <c r="P79" s="4" t="n">
        <v>0</v>
      </c>
      <c r="Q79">
        <f>MID($D79,1,1)</f>
        <v/>
      </c>
      <c r="R79">
        <f>MID($D79,2,1)</f>
        <v/>
      </c>
      <c r="S79">
        <f>MID($D79,3,1)</f>
        <v/>
      </c>
      <c r="T79">
        <f>MID($D79,4,1)</f>
        <v/>
      </c>
      <c r="U79">
        <f>MID($D79,5,1)</f>
        <v/>
      </c>
      <c r="V79">
        <f>MID($D79,6,1)</f>
        <v/>
      </c>
      <c r="W79">
        <f>MID($D79,7,1)</f>
        <v/>
      </c>
      <c r="X79">
        <f>MID($D79,8,1)</f>
        <v/>
      </c>
      <c r="Y79">
        <f>MID($D79,9,1)</f>
        <v/>
      </c>
      <c r="Z79">
        <f>MID($D79,10,1)</f>
        <v/>
      </c>
      <c r="AA79">
        <f>MID($E79,1,1)</f>
        <v/>
      </c>
      <c r="AB79">
        <f>MID($E79,2,1)</f>
        <v/>
      </c>
      <c r="AC79">
        <f>MID($E79,3,1)</f>
        <v/>
      </c>
      <c r="AD79">
        <f>MID($E79,4,1)</f>
        <v/>
      </c>
      <c r="AE79">
        <f>MID($E79,5,1)</f>
        <v/>
      </c>
      <c r="AF79">
        <f>MID($E79,6,1)</f>
        <v/>
      </c>
      <c r="AG79">
        <f>MID($E79,7,1)</f>
        <v/>
      </c>
      <c r="AH79">
        <f>MID($E79,8,1)</f>
        <v/>
      </c>
      <c r="AI79">
        <f>MID($E79,9,1)</f>
        <v/>
      </c>
      <c r="AJ79">
        <f>MID($E79,10,1)</f>
        <v/>
      </c>
    </row>
    <row r="80">
      <c r="A80" s="4" t="n">
        <v>79</v>
      </c>
      <c r="B80" s="4" t="inlineStr">
        <is>
          <t>UDP0280</t>
        </is>
      </c>
      <c r="C80" s="4" t="inlineStr"/>
      <c r="D80" s="5" t="inlineStr">
        <is>
          <t>CACCTCTTGG</t>
        </is>
      </c>
      <c r="E80" s="5" t="inlineStr">
        <is>
          <t>CACTTAATCT</t>
        </is>
      </c>
      <c r="F80" s="4">
        <f>LEN(SUBSTITUTE(SUBSTITUTE(D80,"A",""),"T",""))</f>
        <v/>
      </c>
      <c r="G80" s="4">
        <f>LEN(SUBSTITUTE(SUBSTITUTE(E80,"A",""),"T",""))</f>
        <v/>
      </c>
      <c r="H80" s="6" t="inlineStr">
        <is>
          <t>B</t>
        </is>
      </c>
      <c r="I80" s="4" t="n">
        <v>-8.35</v>
      </c>
      <c r="J80" s="4" t="n">
        <v>-3.93</v>
      </c>
      <c r="K80" s="4" t="n">
        <v>-1.59</v>
      </c>
      <c r="L80" s="4" t="n">
        <v>192438</v>
      </c>
      <c r="M80" s="4" t="n">
        <v>0</v>
      </c>
      <c r="N80" s="4" t="n">
        <v>2</v>
      </c>
      <c r="O80" s="4" t="n">
        <v>0</v>
      </c>
      <c r="P80" s="4" t="n">
        <v>0</v>
      </c>
      <c r="Q80">
        <f>MID($D80,1,1)</f>
        <v/>
      </c>
      <c r="R80">
        <f>MID($D80,2,1)</f>
        <v/>
      </c>
      <c r="S80">
        <f>MID($D80,3,1)</f>
        <v/>
      </c>
      <c r="T80">
        <f>MID($D80,4,1)</f>
        <v/>
      </c>
      <c r="U80">
        <f>MID($D80,5,1)</f>
        <v/>
      </c>
      <c r="V80">
        <f>MID($D80,6,1)</f>
        <v/>
      </c>
      <c r="W80">
        <f>MID($D80,7,1)</f>
        <v/>
      </c>
      <c r="X80">
        <f>MID($D80,8,1)</f>
        <v/>
      </c>
      <c r="Y80">
        <f>MID($D80,9,1)</f>
        <v/>
      </c>
      <c r="Z80">
        <f>MID($D80,10,1)</f>
        <v/>
      </c>
      <c r="AA80">
        <f>MID($E80,1,1)</f>
        <v/>
      </c>
      <c r="AB80">
        <f>MID($E80,2,1)</f>
        <v/>
      </c>
      <c r="AC80">
        <f>MID($E80,3,1)</f>
        <v/>
      </c>
      <c r="AD80">
        <f>MID($E80,4,1)</f>
        <v/>
      </c>
      <c r="AE80">
        <f>MID($E80,5,1)</f>
        <v/>
      </c>
      <c r="AF80">
        <f>MID($E80,6,1)</f>
        <v/>
      </c>
      <c r="AG80">
        <f>MID($E80,7,1)</f>
        <v/>
      </c>
      <c r="AH80">
        <f>MID($E80,8,1)</f>
        <v/>
      </c>
      <c r="AI80">
        <f>MID($E80,9,1)</f>
        <v/>
      </c>
      <c r="AJ80">
        <f>MID($E80,10,1)</f>
        <v/>
      </c>
    </row>
    <row r="81">
      <c r="A81" s="4" t="n">
        <v>80</v>
      </c>
      <c r="B81" s="4" t="inlineStr">
        <is>
          <t>UDP0283</t>
        </is>
      </c>
      <c r="C81" s="4" t="inlineStr"/>
      <c r="D81" s="5" t="inlineStr">
        <is>
          <t>TCTTGGCTAT</t>
        </is>
      </c>
      <c r="E81" s="5" t="inlineStr">
        <is>
          <t>AGTGGTCAGG</t>
        </is>
      </c>
      <c r="F81" s="4">
        <f>LEN(SUBSTITUTE(SUBSTITUTE(D81,"A",""),"T",""))</f>
        <v/>
      </c>
      <c r="G81" s="4">
        <f>LEN(SUBSTITUTE(SUBSTITUTE(E81,"A",""),"T",""))</f>
        <v/>
      </c>
      <c r="H81" s="6" t="inlineStr">
        <is>
          <t>B</t>
        </is>
      </c>
      <c r="I81" s="4" t="n">
        <v>-5.74</v>
      </c>
      <c r="J81" s="4" t="n">
        <v>-4.74</v>
      </c>
      <c r="K81" s="4" t="n">
        <v>-2.35</v>
      </c>
      <c r="L81" s="4" t="n">
        <v>43235</v>
      </c>
      <c r="M81" s="4" t="n">
        <v>0</v>
      </c>
      <c r="N81" s="4" t="n">
        <v>0</v>
      </c>
      <c r="O81" s="4" t="n">
        <v>0</v>
      </c>
      <c r="P81" s="4" t="n">
        <v>1</v>
      </c>
      <c r="Q81">
        <f>MID($D81,1,1)</f>
        <v/>
      </c>
      <c r="R81">
        <f>MID($D81,2,1)</f>
        <v/>
      </c>
      <c r="S81">
        <f>MID($D81,3,1)</f>
        <v/>
      </c>
      <c r="T81">
        <f>MID($D81,4,1)</f>
        <v/>
      </c>
      <c r="U81">
        <f>MID($D81,5,1)</f>
        <v/>
      </c>
      <c r="V81">
        <f>MID($D81,6,1)</f>
        <v/>
      </c>
      <c r="W81">
        <f>MID($D81,7,1)</f>
        <v/>
      </c>
      <c r="X81">
        <f>MID($D81,8,1)</f>
        <v/>
      </c>
      <c r="Y81">
        <f>MID($D81,9,1)</f>
        <v/>
      </c>
      <c r="Z81">
        <f>MID($D81,10,1)</f>
        <v/>
      </c>
      <c r="AA81">
        <f>MID($E81,1,1)</f>
        <v/>
      </c>
      <c r="AB81">
        <f>MID($E81,2,1)</f>
        <v/>
      </c>
      <c r="AC81">
        <f>MID($E81,3,1)</f>
        <v/>
      </c>
      <c r="AD81">
        <f>MID($E81,4,1)</f>
        <v/>
      </c>
      <c r="AE81">
        <f>MID($E81,5,1)</f>
        <v/>
      </c>
      <c r="AF81">
        <f>MID($E81,6,1)</f>
        <v/>
      </c>
      <c r="AG81">
        <f>MID($E81,7,1)</f>
        <v/>
      </c>
      <c r="AH81">
        <f>MID($E81,8,1)</f>
        <v/>
      </c>
      <c r="AI81">
        <f>MID($E81,9,1)</f>
        <v/>
      </c>
      <c r="AJ81">
        <f>MID($E81,10,1)</f>
        <v/>
      </c>
    </row>
    <row r="82">
      <c r="A82" s="4" t="n">
        <v>81</v>
      </c>
      <c r="B82" s="4" t="inlineStr">
        <is>
          <t>UDP0285V3</t>
        </is>
      </c>
      <c r="C82" s="4" t="inlineStr"/>
      <c r="D82" s="5" t="inlineStr">
        <is>
          <t>GACCGATTCG</t>
        </is>
      </c>
      <c r="E82" s="5" t="inlineStr">
        <is>
          <t>GATGCCAAGG</t>
        </is>
      </c>
      <c r="F82" s="4">
        <f>LEN(SUBSTITUTE(SUBSTITUTE(D82,"A",""),"T",""))</f>
        <v/>
      </c>
      <c r="G82" s="4">
        <f>LEN(SUBSTITUTE(SUBSTITUTE(E82,"A",""),"T",""))</f>
        <v/>
      </c>
      <c r="H82" s="6" t="inlineStr">
        <is>
          <t>B</t>
        </is>
      </c>
      <c r="I82" s="4" t="n">
        <v>-8.300000000000001</v>
      </c>
      <c r="J82" s="4" t="n">
        <v>-4.74</v>
      </c>
      <c r="K82" s="4" t="n">
        <v>-2.35</v>
      </c>
      <c r="L82" s="4" t="n">
        <v>77235</v>
      </c>
      <c r="M82" s="4" t="n">
        <v>0</v>
      </c>
      <c r="N82" s="4" t="n">
        <v>0</v>
      </c>
      <c r="O82" s="4" t="n">
        <v>0</v>
      </c>
      <c r="P82" s="4" t="n">
        <v>0</v>
      </c>
      <c r="Q82">
        <f>MID($D82,1,1)</f>
        <v/>
      </c>
      <c r="R82">
        <f>MID($D82,2,1)</f>
        <v/>
      </c>
      <c r="S82">
        <f>MID($D82,3,1)</f>
        <v/>
      </c>
      <c r="T82">
        <f>MID($D82,4,1)</f>
        <v/>
      </c>
      <c r="U82">
        <f>MID($D82,5,1)</f>
        <v/>
      </c>
      <c r="V82">
        <f>MID($D82,6,1)</f>
        <v/>
      </c>
      <c r="W82">
        <f>MID($D82,7,1)</f>
        <v/>
      </c>
      <c r="X82">
        <f>MID($D82,8,1)</f>
        <v/>
      </c>
      <c r="Y82">
        <f>MID($D82,9,1)</f>
        <v/>
      </c>
      <c r="Z82">
        <f>MID($D82,10,1)</f>
        <v/>
      </c>
      <c r="AA82">
        <f>MID($E82,1,1)</f>
        <v/>
      </c>
      <c r="AB82">
        <f>MID($E82,2,1)</f>
        <v/>
      </c>
      <c r="AC82">
        <f>MID($E82,3,1)</f>
        <v/>
      </c>
      <c r="AD82">
        <f>MID($E82,4,1)</f>
        <v/>
      </c>
      <c r="AE82">
        <f>MID($E82,5,1)</f>
        <v/>
      </c>
      <c r="AF82">
        <f>MID($E82,6,1)</f>
        <v/>
      </c>
      <c r="AG82">
        <f>MID($E82,7,1)</f>
        <v/>
      </c>
      <c r="AH82">
        <f>MID($E82,8,1)</f>
        <v/>
      </c>
      <c r="AI82">
        <f>MID($E82,9,1)</f>
        <v/>
      </c>
      <c r="AJ82">
        <f>MID($E82,10,1)</f>
        <v/>
      </c>
    </row>
    <row r="83">
      <c r="A83" s="4" t="n">
        <v>82</v>
      </c>
      <c r="B83" s="4" t="inlineStr">
        <is>
          <t>UDP0286V3</t>
        </is>
      </c>
      <c r="C83" s="4" t="inlineStr"/>
      <c r="D83" s="5" t="inlineStr">
        <is>
          <t>TAGGTGAGAT</t>
        </is>
      </c>
      <c r="E83" s="5" t="inlineStr">
        <is>
          <t>AGTACCTATA</t>
        </is>
      </c>
      <c r="F83" s="4">
        <f>LEN(SUBSTITUTE(SUBSTITUTE(D83,"A",""),"T",""))</f>
        <v/>
      </c>
      <c r="G83" s="4">
        <f>LEN(SUBSTITUTE(SUBSTITUTE(E83,"A",""),"T",""))</f>
        <v/>
      </c>
      <c r="H83" s="7" t="inlineStr">
        <is>
          <t>A</t>
        </is>
      </c>
      <c r="I83" s="4" t="n">
        <v>-6.1</v>
      </c>
      <c r="J83" s="4" t="n">
        <v>-4.17</v>
      </c>
      <c r="K83" s="4" t="n">
        <v>-2.61</v>
      </c>
      <c r="L83" s="4" t="n">
        <v>60007</v>
      </c>
      <c r="M83" s="4" t="n">
        <v>1</v>
      </c>
      <c r="N83" s="4" t="n">
        <v>2</v>
      </c>
      <c r="O83" s="4" t="n">
        <v>0</v>
      </c>
      <c r="P83" s="4" t="n">
        <v>0</v>
      </c>
      <c r="Q83">
        <f>MID($D83,1,1)</f>
        <v/>
      </c>
      <c r="R83">
        <f>MID($D83,2,1)</f>
        <v/>
      </c>
      <c r="S83">
        <f>MID($D83,3,1)</f>
        <v/>
      </c>
      <c r="T83">
        <f>MID($D83,4,1)</f>
        <v/>
      </c>
      <c r="U83">
        <f>MID($D83,5,1)</f>
        <v/>
      </c>
      <c r="V83">
        <f>MID($D83,6,1)</f>
        <v/>
      </c>
      <c r="W83">
        <f>MID($D83,7,1)</f>
        <v/>
      </c>
      <c r="X83">
        <f>MID($D83,8,1)</f>
        <v/>
      </c>
      <c r="Y83">
        <f>MID($D83,9,1)</f>
        <v/>
      </c>
      <c r="Z83">
        <f>MID($D83,10,1)</f>
        <v/>
      </c>
      <c r="AA83">
        <f>MID($E83,1,1)</f>
        <v/>
      </c>
      <c r="AB83">
        <f>MID($E83,2,1)</f>
        <v/>
      </c>
      <c r="AC83">
        <f>MID($E83,3,1)</f>
        <v/>
      </c>
      <c r="AD83">
        <f>MID($E83,4,1)</f>
        <v/>
      </c>
      <c r="AE83">
        <f>MID($E83,5,1)</f>
        <v/>
      </c>
      <c r="AF83">
        <f>MID($E83,6,1)</f>
        <v/>
      </c>
      <c r="AG83">
        <f>MID($E83,7,1)</f>
        <v/>
      </c>
      <c r="AH83">
        <f>MID($E83,8,1)</f>
        <v/>
      </c>
      <c r="AI83">
        <f>MID($E83,9,1)</f>
        <v/>
      </c>
      <c r="AJ83">
        <f>MID($E83,10,1)</f>
        <v/>
      </c>
    </row>
    <row r="84">
      <c r="A84" s="4" t="n">
        <v>83</v>
      </c>
      <c r="B84" s="4" t="inlineStr">
        <is>
          <t>UDP0292</t>
        </is>
      </c>
      <c r="C84" s="4" t="inlineStr"/>
      <c r="D84" s="5" t="inlineStr">
        <is>
          <t>CGGTGACACC</t>
        </is>
      </c>
      <c r="E84" s="5" t="inlineStr">
        <is>
          <t>TGGCAATATT</t>
        </is>
      </c>
      <c r="F84" s="4">
        <f>LEN(SUBSTITUTE(SUBSTITUTE(D84,"A",""),"T",""))</f>
        <v/>
      </c>
      <c r="G84" s="4">
        <f>LEN(SUBSTITUTE(SUBSTITUTE(E84,"A",""),"T",""))</f>
        <v/>
      </c>
      <c r="H84" s="6" t="inlineStr">
        <is>
          <t>B</t>
        </is>
      </c>
      <c r="I84" s="4" t="n">
        <v>-7.07</v>
      </c>
      <c r="J84" s="4" t="n">
        <v>-4.54</v>
      </c>
      <c r="K84" s="4" t="n">
        <v>-1.59</v>
      </c>
      <c r="L84" s="4" t="n">
        <v>74513</v>
      </c>
      <c r="M84" s="4" t="n">
        <v>0</v>
      </c>
      <c r="N84" s="4" t="n">
        <v>1</v>
      </c>
      <c r="O84" s="4" t="n">
        <v>0</v>
      </c>
      <c r="P84" s="4" t="n">
        <v>0</v>
      </c>
      <c r="Q84">
        <f>MID($D84,1,1)</f>
        <v/>
      </c>
      <c r="R84">
        <f>MID($D84,2,1)</f>
        <v/>
      </c>
      <c r="S84">
        <f>MID($D84,3,1)</f>
        <v/>
      </c>
      <c r="T84">
        <f>MID($D84,4,1)</f>
        <v/>
      </c>
      <c r="U84">
        <f>MID($D84,5,1)</f>
        <v/>
      </c>
      <c r="V84">
        <f>MID($D84,6,1)</f>
        <v/>
      </c>
      <c r="W84">
        <f>MID($D84,7,1)</f>
        <v/>
      </c>
      <c r="X84">
        <f>MID($D84,8,1)</f>
        <v/>
      </c>
      <c r="Y84">
        <f>MID($D84,9,1)</f>
        <v/>
      </c>
      <c r="Z84">
        <f>MID($D84,10,1)</f>
        <v/>
      </c>
      <c r="AA84">
        <f>MID($E84,1,1)</f>
        <v/>
      </c>
      <c r="AB84">
        <f>MID($E84,2,1)</f>
        <v/>
      </c>
      <c r="AC84">
        <f>MID($E84,3,1)</f>
        <v/>
      </c>
      <c r="AD84">
        <f>MID($E84,4,1)</f>
        <v/>
      </c>
      <c r="AE84">
        <f>MID($E84,5,1)</f>
        <v/>
      </c>
      <c r="AF84">
        <f>MID($E84,6,1)</f>
        <v/>
      </c>
      <c r="AG84">
        <f>MID($E84,7,1)</f>
        <v/>
      </c>
      <c r="AH84">
        <f>MID($E84,8,1)</f>
        <v/>
      </c>
      <c r="AI84">
        <f>MID($E84,9,1)</f>
        <v/>
      </c>
      <c r="AJ84">
        <f>MID($E84,10,1)</f>
        <v/>
      </c>
    </row>
    <row r="85">
      <c r="A85" s="4" t="n">
        <v>84</v>
      </c>
      <c r="B85" s="4" t="inlineStr">
        <is>
          <t>UDP0295</t>
        </is>
      </c>
      <c r="C85" s="4" t="inlineStr"/>
      <c r="D85" s="5" t="inlineStr">
        <is>
          <t>CCAGAAGTAA</t>
        </is>
      </c>
      <c r="E85" s="5" t="inlineStr">
        <is>
          <t>ATTCATTGCA</t>
        </is>
      </c>
      <c r="F85" s="4">
        <f>LEN(SUBSTITUTE(SUBSTITUTE(D85,"A",""),"T",""))</f>
        <v/>
      </c>
      <c r="G85" s="4">
        <f>LEN(SUBSTITUTE(SUBSTITUTE(E85,"A",""),"T",""))</f>
        <v/>
      </c>
      <c r="H85" s="6" t="inlineStr">
        <is>
          <t>B</t>
        </is>
      </c>
      <c r="I85" s="4" t="n">
        <v>-7.6</v>
      </c>
      <c r="J85" s="4" t="n">
        <v>-4.04</v>
      </c>
      <c r="K85" s="4" t="n">
        <v>-2.61</v>
      </c>
      <c r="L85" s="4" t="n">
        <v>45821</v>
      </c>
      <c r="M85" s="4" t="n">
        <v>0</v>
      </c>
      <c r="N85" s="4" t="n">
        <v>1</v>
      </c>
      <c r="O85" s="4" t="n">
        <v>0</v>
      </c>
      <c r="P85" s="4" t="n">
        <v>0</v>
      </c>
      <c r="Q85">
        <f>MID($D85,1,1)</f>
        <v/>
      </c>
      <c r="R85">
        <f>MID($D85,2,1)</f>
        <v/>
      </c>
      <c r="S85">
        <f>MID($D85,3,1)</f>
        <v/>
      </c>
      <c r="T85">
        <f>MID($D85,4,1)</f>
        <v/>
      </c>
      <c r="U85">
        <f>MID($D85,5,1)</f>
        <v/>
      </c>
      <c r="V85">
        <f>MID($D85,6,1)</f>
        <v/>
      </c>
      <c r="W85">
        <f>MID($D85,7,1)</f>
        <v/>
      </c>
      <c r="X85">
        <f>MID($D85,8,1)</f>
        <v/>
      </c>
      <c r="Y85">
        <f>MID($D85,9,1)</f>
        <v/>
      </c>
      <c r="Z85">
        <f>MID($D85,10,1)</f>
        <v/>
      </c>
      <c r="AA85">
        <f>MID($E85,1,1)</f>
        <v/>
      </c>
      <c r="AB85">
        <f>MID($E85,2,1)</f>
        <v/>
      </c>
      <c r="AC85">
        <f>MID($E85,3,1)</f>
        <v/>
      </c>
      <c r="AD85">
        <f>MID($E85,4,1)</f>
        <v/>
      </c>
      <c r="AE85">
        <f>MID($E85,5,1)</f>
        <v/>
      </c>
      <c r="AF85">
        <f>MID($E85,6,1)</f>
        <v/>
      </c>
      <c r="AG85">
        <f>MID($E85,7,1)</f>
        <v/>
      </c>
      <c r="AH85">
        <f>MID($E85,8,1)</f>
        <v/>
      </c>
      <c r="AI85">
        <f>MID($E85,9,1)</f>
        <v/>
      </c>
      <c r="AJ85">
        <f>MID($E85,10,1)</f>
        <v/>
      </c>
    </row>
    <row r="86">
      <c r="A86" s="4" t="n">
        <v>85</v>
      </c>
      <c r="B86" s="4" t="inlineStr">
        <is>
          <t>UDP0296</t>
        </is>
      </c>
      <c r="C86" s="4" t="inlineStr"/>
      <c r="D86" s="5" t="inlineStr">
        <is>
          <t>CTTATACCTG</t>
        </is>
      </c>
      <c r="E86" s="5" t="inlineStr">
        <is>
          <t>TCCTTCATAG</t>
        </is>
      </c>
      <c r="F86" s="4">
        <f>LEN(SUBSTITUTE(SUBSTITUTE(D86,"A",""),"T",""))</f>
        <v/>
      </c>
      <c r="G86" s="4">
        <f>LEN(SUBSTITUTE(SUBSTITUTE(E86,"A",""),"T",""))</f>
        <v/>
      </c>
      <c r="H86" s="6" t="inlineStr">
        <is>
          <t>B</t>
        </is>
      </c>
      <c r="I86" s="4" t="n">
        <v>-8.09</v>
      </c>
      <c r="J86" s="4" t="n">
        <v>-3.99</v>
      </c>
      <c r="K86" s="4" t="n">
        <v>-1.77</v>
      </c>
      <c r="L86" s="4" t="n">
        <v>92820</v>
      </c>
      <c r="M86" s="4" t="n">
        <v>0</v>
      </c>
      <c r="N86" s="4" t="n">
        <v>0</v>
      </c>
      <c r="O86" s="4" t="n">
        <v>0</v>
      </c>
      <c r="P86" s="4" t="n">
        <v>1</v>
      </c>
      <c r="Q86">
        <f>MID($D86,1,1)</f>
        <v/>
      </c>
      <c r="R86">
        <f>MID($D86,2,1)</f>
        <v/>
      </c>
      <c r="S86">
        <f>MID($D86,3,1)</f>
        <v/>
      </c>
      <c r="T86">
        <f>MID($D86,4,1)</f>
        <v/>
      </c>
      <c r="U86">
        <f>MID($D86,5,1)</f>
        <v/>
      </c>
      <c r="V86">
        <f>MID($D86,6,1)</f>
        <v/>
      </c>
      <c r="W86">
        <f>MID($D86,7,1)</f>
        <v/>
      </c>
      <c r="X86">
        <f>MID($D86,8,1)</f>
        <v/>
      </c>
      <c r="Y86">
        <f>MID($D86,9,1)</f>
        <v/>
      </c>
      <c r="Z86">
        <f>MID($D86,10,1)</f>
        <v/>
      </c>
      <c r="AA86">
        <f>MID($E86,1,1)</f>
        <v/>
      </c>
      <c r="AB86">
        <f>MID($E86,2,1)</f>
        <v/>
      </c>
      <c r="AC86">
        <f>MID($E86,3,1)</f>
        <v/>
      </c>
      <c r="AD86">
        <f>MID($E86,4,1)</f>
        <v/>
      </c>
      <c r="AE86">
        <f>MID($E86,5,1)</f>
        <v/>
      </c>
      <c r="AF86">
        <f>MID($E86,6,1)</f>
        <v/>
      </c>
      <c r="AG86">
        <f>MID($E86,7,1)</f>
        <v/>
      </c>
      <c r="AH86">
        <f>MID($E86,8,1)</f>
        <v/>
      </c>
      <c r="AI86">
        <f>MID($E86,9,1)</f>
        <v/>
      </c>
      <c r="AJ86">
        <f>MID($E86,10,1)</f>
        <v/>
      </c>
    </row>
    <row r="87">
      <c r="A87" s="4" t="n">
        <v>86</v>
      </c>
      <c r="B87" s="4" t="inlineStr">
        <is>
          <t>UDP0303</t>
        </is>
      </c>
      <c r="C87" s="4" t="inlineStr"/>
      <c r="D87" s="5" t="inlineStr">
        <is>
          <t>TTGAAGCAGA</t>
        </is>
      </c>
      <c r="E87" s="5" t="inlineStr">
        <is>
          <t>GAGTCTCTCC</t>
        </is>
      </c>
      <c r="F87" s="4">
        <f>LEN(SUBSTITUTE(SUBSTITUTE(D87,"A",""),"T",""))</f>
        <v/>
      </c>
      <c r="G87" s="4">
        <f>LEN(SUBSTITUTE(SUBSTITUTE(E87,"A",""),"T",""))</f>
        <v/>
      </c>
      <c r="H87" s="7" t="inlineStr">
        <is>
          <t>A</t>
        </is>
      </c>
      <c r="I87" s="4" t="n">
        <v>-6.03</v>
      </c>
      <c r="J87" s="4" t="n">
        <v>-3.83</v>
      </c>
      <c r="K87" s="4" t="n">
        <v>-1.62</v>
      </c>
      <c r="L87" s="4" t="n">
        <v>64743</v>
      </c>
      <c r="M87" s="4" t="n">
        <v>0</v>
      </c>
      <c r="N87" s="4" t="n">
        <v>0</v>
      </c>
      <c r="O87" s="4" t="n">
        <v>0</v>
      </c>
      <c r="P87" s="4" t="n">
        <v>1</v>
      </c>
      <c r="Q87">
        <f>MID($D87,1,1)</f>
        <v/>
      </c>
      <c r="R87">
        <f>MID($D87,2,1)</f>
        <v/>
      </c>
      <c r="S87">
        <f>MID($D87,3,1)</f>
        <v/>
      </c>
      <c r="T87">
        <f>MID($D87,4,1)</f>
        <v/>
      </c>
      <c r="U87">
        <f>MID($D87,5,1)</f>
        <v/>
      </c>
      <c r="V87">
        <f>MID($D87,6,1)</f>
        <v/>
      </c>
      <c r="W87">
        <f>MID($D87,7,1)</f>
        <v/>
      </c>
      <c r="X87">
        <f>MID($D87,8,1)</f>
        <v/>
      </c>
      <c r="Y87">
        <f>MID($D87,9,1)</f>
        <v/>
      </c>
      <c r="Z87">
        <f>MID($D87,10,1)</f>
        <v/>
      </c>
      <c r="AA87">
        <f>MID($E87,1,1)</f>
        <v/>
      </c>
      <c r="AB87">
        <f>MID($E87,2,1)</f>
        <v/>
      </c>
      <c r="AC87">
        <f>MID($E87,3,1)</f>
        <v/>
      </c>
      <c r="AD87">
        <f>MID($E87,4,1)</f>
        <v/>
      </c>
      <c r="AE87">
        <f>MID($E87,5,1)</f>
        <v/>
      </c>
      <c r="AF87">
        <f>MID($E87,6,1)</f>
        <v/>
      </c>
      <c r="AG87">
        <f>MID($E87,7,1)</f>
        <v/>
      </c>
      <c r="AH87">
        <f>MID($E87,8,1)</f>
        <v/>
      </c>
      <c r="AI87">
        <f>MID($E87,9,1)</f>
        <v/>
      </c>
      <c r="AJ87">
        <f>MID($E87,10,1)</f>
        <v/>
      </c>
    </row>
    <row r="88">
      <c r="A88" s="4" t="n">
        <v>87</v>
      </c>
      <c r="B88" s="4" t="inlineStr">
        <is>
          <t>UDP0311</t>
        </is>
      </c>
      <c r="C88" s="4" t="inlineStr"/>
      <c r="D88" s="5" t="inlineStr">
        <is>
          <t>ATACACAGAG</t>
        </is>
      </c>
      <c r="E88" s="5" t="inlineStr">
        <is>
          <t>TGCACGAGAA</t>
        </is>
      </c>
      <c r="F88" s="4">
        <f>LEN(SUBSTITUTE(SUBSTITUTE(D88,"A",""),"T",""))</f>
        <v/>
      </c>
      <c r="G88" s="4">
        <f>LEN(SUBSTITUTE(SUBSTITUTE(E88,"A",""),"T",""))</f>
        <v/>
      </c>
      <c r="H88" s="6" t="inlineStr">
        <is>
          <t>B</t>
        </is>
      </c>
      <c r="I88" s="4" t="n">
        <v>-8.27</v>
      </c>
      <c r="J88" s="4" t="n">
        <v>-4.58</v>
      </c>
      <c r="K88" s="4" t="n">
        <v>-2.61</v>
      </c>
      <c r="L88" s="4" t="n">
        <v>115167</v>
      </c>
      <c r="M88" s="4" t="n">
        <v>0</v>
      </c>
      <c r="N88" s="4" t="n">
        <v>0</v>
      </c>
      <c r="O88" s="4" t="n">
        <v>0</v>
      </c>
      <c r="P88" s="4" t="n">
        <v>7</v>
      </c>
      <c r="Q88">
        <f>MID($D88,1,1)</f>
        <v/>
      </c>
      <c r="R88">
        <f>MID($D88,2,1)</f>
        <v/>
      </c>
      <c r="S88">
        <f>MID($D88,3,1)</f>
        <v/>
      </c>
      <c r="T88">
        <f>MID($D88,4,1)</f>
        <v/>
      </c>
      <c r="U88">
        <f>MID($D88,5,1)</f>
        <v/>
      </c>
      <c r="V88">
        <f>MID($D88,6,1)</f>
        <v/>
      </c>
      <c r="W88">
        <f>MID($D88,7,1)</f>
        <v/>
      </c>
      <c r="X88">
        <f>MID($D88,8,1)</f>
        <v/>
      </c>
      <c r="Y88">
        <f>MID($D88,9,1)</f>
        <v/>
      </c>
      <c r="Z88">
        <f>MID($D88,10,1)</f>
        <v/>
      </c>
      <c r="AA88">
        <f>MID($E88,1,1)</f>
        <v/>
      </c>
      <c r="AB88">
        <f>MID($E88,2,1)</f>
        <v/>
      </c>
      <c r="AC88">
        <f>MID($E88,3,1)</f>
        <v/>
      </c>
      <c r="AD88">
        <f>MID($E88,4,1)</f>
        <v/>
      </c>
      <c r="AE88">
        <f>MID($E88,5,1)</f>
        <v/>
      </c>
      <c r="AF88">
        <f>MID($E88,6,1)</f>
        <v/>
      </c>
      <c r="AG88">
        <f>MID($E88,7,1)</f>
        <v/>
      </c>
      <c r="AH88">
        <f>MID($E88,8,1)</f>
        <v/>
      </c>
      <c r="AI88">
        <f>MID($E88,9,1)</f>
        <v/>
      </c>
      <c r="AJ88">
        <f>MID($E88,10,1)</f>
        <v/>
      </c>
    </row>
    <row r="89">
      <c r="A89" s="4" t="n">
        <v>88</v>
      </c>
      <c r="B89" s="4" t="inlineStr">
        <is>
          <t>UDP0315</t>
        </is>
      </c>
      <c r="C89" s="4" t="inlineStr"/>
      <c r="D89" s="5" t="inlineStr">
        <is>
          <t>TCAGGTCAAC</t>
        </is>
      </c>
      <c r="E89" s="5" t="inlineStr">
        <is>
          <t>CCTTAGTGCC</t>
        </is>
      </c>
      <c r="F89" s="4">
        <f>LEN(SUBSTITUTE(SUBSTITUTE(D89,"A",""),"T",""))</f>
        <v/>
      </c>
      <c r="G89" s="4">
        <f>LEN(SUBSTITUTE(SUBSTITUTE(E89,"A",""),"T",""))</f>
        <v/>
      </c>
      <c r="H89" s="6" t="inlineStr">
        <is>
          <t>B</t>
        </is>
      </c>
      <c r="I89" s="4" t="n">
        <v>-8.460000000000001</v>
      </c>
      <c r="J89" s="4" t="n">
        <v>-4.95</v>
      </c>
      <c r="K89" s="4" t="n">
        <v>-1.86</v>
      </c>
      <c r="L89" s="4" t="n">
        <v>47395</v>
      </c>
      <c r="M89" s="4" t="n">
        <v>0</v>
      </c>
      <c r="N89" s="4" t="n">
        <v>0</v>
      </c>
      <c r="O89" s="4" t="n">
        <v>0</v>
      </c>
      <c r="P89" s="4" t="n">
        <v>2</v>
      </c>
      <c r="Q89">
        <f>MID($D89,1,1)</f>
        <v/>
      </c>
      <c r="R89">
        <f>MID($D89,2,1)</f>
        <v/>
      </c>
      <c r="S89">
        <f>MID($D89,3,1)</f>
        <v/>
      </c>
      <c r="T89">
        <f>MID($D89,4,1)</f>
        <v/>
      </c>
      <c r="U89">
        <f>MID($D89,5,1)</f>
        <v/>
      </c>
      <c r="V89">
        <f>MID($D89,6,1)</f>
        <v/>
      </c>
      <c r="W89">
        <f>MID($D89,7,1)</f>
        <v/>
      </c>
      <c r="X89">
        <f>MID($D89,8,1)</f>
        <v/>
      </c>
      <c r="Y89">
        <f>MID($D89,9,1)</f>
        <v/>
      </c>
      <c r="Z89">
        <f>MID($D89,10,1)</f>
        <v/>
      </c>
      <c r="AA89">
        <f>MID($E89,1,1)</f>
        <v/>
      </c>
      <c r="AB89">
        <f>MID($E89,2,1)</f>
        <v/>
      </c>
      <c r="AC89">
        <f>MID($E89,3,1)</f>
        <v/>
      </c>
      <c r="AD89">
        <f>MID($E89,4,1)</f>
        <v/>
      </c>
      <c r="AE89">
        <f>MID($E89,5,1)</f>
        <v/>
      </c>
      <c r="AF89">
        <f>MID($E89,6,1)</f>
        <v/>
      </c>
      <c r="AG89">
        <f>MID($E89,7,1)</f>
        <v/>
      </c>
      <c r="AH89">
        <f>MID($E89,8,1)</f>
        <v/>
      </c>
      <c r="AI89">
        <f>MID($E89,9,1)</f>
        <v/>
      </c>
      <c r="AJ89">
        <f>MID($E89,10,1)</f>
        <v/>
      </c>
    </row>
    <row r="90">
      <c r="A90" s="4" t="n">
        <v>89</v>
      </c>
      <c r="B90" s="4" t="inlineStr">
        <is>
          <t>UDP0336</t>
        </is>
      </c>
      <c r="C90" s="4" t="inlineStr"/>
      <c r="D90" s="5" t="inlineStr">
        <is>
          <t>TCGAATGGAA</t>
        </is>
      </c>
      <c r="E90" s="5" t="inlineStr">
        <is>
          <t>TTGAGCCTAA</t>
        </is>
      </c>
      <c r="F90" s="4">
        <f>LEN(SUBSTITUTE(SUBSTITUTE(D90,"A",""),"T",""))</f>
        <v/>
      </c>
      <c r="G90" s="4">
        <f>LEN(SUBSTITUTE(SUBSTITUTE(E90,"A",""),"T",""))</f>
        <v/>
      </c>
      <c r="H90" s="7" t="inlineStr">
        <is>
          <t>A</t>
        </is>
      </c>
      <c r="I90" s="4" t="n">
        <v>-6.44</v>
      </c>
      <c r="J90" s="4" t="n">
        <v>-3.83</v>
      </c>
      <c r="K90" s="4" t="n">
        <v>-2.61</v>
      </c>
      <c r="L90" s="4" t="n">
        <v>45463</v>
      </c>
      <c r="M90" s="4" t="n">
        <v>0</v>
      </c>
      <c r="N90" s="4" t="n">
        <v>0</v>
      </c>
      <c r="O90" s="4" t="n">
        <v>0</v>
      </c>
      <c r="P90" s="4" t="n">
        <v>0</v>
      </c>
      <c r="Q90">
        <f>MID($D90,1,1)</f>
        <v/>
      </c>
      <c r="R90">
        <f>MID($D90,2,1)</f>
        <v/>
      </c>
      <c r="S90">
        <f>MID($D90,3,1)</f>
        <v/>
      </c>
      <c r="T90">
        <f>MID($D90,4,1)</f>
        <v/>
      </c>
      <c r="U90">
        <f>MID($D90,5,1)</f>
        <v/>
      </c>
      <c r="V90">
        <f>MID($D90,6,1)</f>
        <v/>
      </c>
      <c r="W90">
        <f>MID($D90,7,1)</f>
        <v/>
      </c>
      <c r="X90">
        <f>MID($D90,8,1)</f>
        <v/>
      </c>
      <c r="Y90">
        <f>MID($D90,9,1)</f>
        <v/>
      </c>
      <c r="Z90">
        <f>MID($D90,10,1)</f>
        <v/>
      </c>
      <c r="AA90">
        <f>MID($E90,1,1)</f>
        <v/>
      </c>
      <c r="AB90">
        <f>MID($E90,2,1)</f>
        <v/>
      </c>
      <c r="AC90">
        <f>MID($E90,3,1)</f>
        <v/>
      </c>
      <c r="AD90">
        <f>MID($E90,4,1)</f>
        <v/>
      </c>
      <c r="AE90">
        <f>MID($E90,5,1)</f>
        <v/>
      </c>
      <c r="AF90">
        <f>MID($E90,6,1)</f>
        <v/>
      </c>
      <c r="AG90">
        <f>MID($E90,7,1)</f>
        <v/>
      </c>
      <c r="AH90">
        <f>MID($E90,8,1)</f>
        <v/>
      </c>
      <c r="AI90">
        <f>MID($E90,9,1)</f>
        <v/>
      </c>
      <c r="AJ90">
        <f>MID($E90,10,1)</f>
        <v/>
      </c>
    </row>
    <row r="91">
      <c r="A91" s="4" t="n">
        <v>90</v>
      </c>
      <c r="B91" s="4" t="inlineStr">
        <is>
          <t>UDP0337</t>
        </is>
      </c>
      <c r="C91" s="4" t="inlineStr"/>
      <c r="D91" s="5" t="inlineStr">
        <is>
          <t>AAGGCCTTGG</t>
        </is>
      </c>
      <c r="E91" s="5" t="inlineStr">
        <is>
          <t>CCACCTTACA</t>
        </is>
      </c>
      <c r="F91" s="4">
        <f>LEN(SUBSTITUTE(SUBSTITUTE(D91,"A",""),"T",""))</f>
        <v/>
      </c>
      <c r="G91" s="4">
        <f>LEN(SUBSTITUTE(SUBSTITUTE(E91,"A",""),"T",""))</f>
        <v/>
      </c>
      <c r="H91" s="6" t="inlineStr">
        <is>
          <t>B</t>
        </is>
      </c>
      <c r="I91" s="4" t="n">
        <v>-7.9</v>
      </c>
      <c r="J91" s="4" t="n">
        <v>-3.93</v>
      </c>
      <c r="K91" s="4" t="n">
        <v>-2.61</v>
      </c>
      <c r="L91" s="4" t="n">
        <v>308172</v>
      </c>
      <c r="M91" s="4" t="n">
        <v>0</v>
      </c>
      <c r="N91" s="4" t="n">
        <v>1</v>
      </c>
      <c r="O91" s="4" t="n">
        <v>0</v>
      </c>
      <c r="P91" s="4" t="n">
        <v>1</v>
      </c>
      <c r="Q91">
        <f>MID($D91,1,1)</f>
        <v/>
      </c>
      <c r="R91">
        <f>MID($D91,2,1)</f>
        <v/>
      </c>
      <c r="S91">
        <f>MID($D91,3,1)</f>
        <v/>
      </c>
      <c r="T91">
        <f>MID($D91,4,1)</f>
        <v/>
      </c>
      <c r="U91">
        <f>MID($D91,5,1)</f>
        <v/>
      </c>
      <c r="V91">
        <f>MID($D91,6,1)</f>
        <v/>
      </c>
      <c r="W91">
        <f>MID($D91,7,1)</f>
        <v/>
      </c>
      <c r="X91">
        <f>MID($D91,8,1)</f>
        <v/>
      </c>
      <c r="Y91">
        <f>MID($D91,9,1)</f>
        <v/>
      </c>
      <c r="Z91">
        <f>MID($D91,10,1)</f>
        <v/>
      </c>
      <c r="AA91">
        <f>MID($E91,1,1)</f>
        <v/>
      </c>
      <c r="AB91">
        <f>MID($E91,2,1)</f>
        <v/>
      </c>
      <c r="AC91">
        <f>MID($E91,3,1)</f>
        <v/>
      </c>
      <c r="AD91">
        <f>MID($E91,4,1)</f>
        <v/>
      </c>
      <c r="AE91">
        <f>MID($E91,5,1)</f>
        <v/>
      </c>
      <c r="AF91">
        <f>MID($E91,6,1)</f>
        <v/>
      </c>
      <c r="AG91">
        <f>MID($E91,7,1)</f>
        <v/>
      </c>
      <c r="AH91">
        <f>MID($E91,8,1)</f>
        <v/>
      </c>
      <c r="AI91">
        <f>MID($E91,9,1)</f>
        <v/>
      </c>
      <c r="AJ91">
        <f>MID($E91,10,1)</f>
        <v/>
      </c>
    </row>
    <row r="92">
      <c r="A92" s="4" t="n">
        <v>91</v>
      </c>
      <c r="B92" s="4" t="inlineStr">
        <is>
          <t>UDP0342</t>
        </is>
      </c>
      <c r="C92" s="4" t="inlineStr"/>
      <c r="D92" s="5" t="inlineStr">
        <is>
          <t>ATGACAGAAC</t>
        </is>
      </c>
      <c r="E92" s="5" t="inlineStr">
        <is>
          <t>GGTGCGTTCG</t>
        </is>
      </c>
      <c r="F92" s="4">
        <f>LEN(SUBSTITUTE(SUBSTITUTE(D92,"A",""),"T",""))</f>
        <v/>
      </c>
      <c r="G92" s="4">
        <f>LEN(SUBSTITUTE(SUBSTITUTE(E92,"A",""),"T",""))</f>
        <v/>
      </c>
      <c r="H92" s="6" t="inlineStr">
        <is>
          <t>B</t>
        </is>
      </c>
      <c r="I92" s="4" t="n">
        <v>-6.83</v>
      </c>
      <c r="J92" s="4" t="n">
        <v>-4.95</v>
      </c>
      <c r="K92" s="4" t="n">
        <v>-1.77</v>
      </c>
      <c r="L92" s="4" t="n">
        <v>44412</v>
      </c>
      <c r="M92" s="4" t="n">
        <v>0</v>
      </c>
      <c r="N92" s="4" t="n">
        <v>0</v>
      </c>
      <c r="O92" s="4" t="n">
        <v>0</v>
      </c>
      <c r="P92" s="4" t="n">
        <v>0</v>
      </c>
      <c r="Q92">
        <f>MID($D92,1,1)</f>
        <v/>
      </c>
      <c r="R92">
        <f>MID($D92,2,1)</f>
        <v/>
      </c>
      <c r="S92">
        <f>MID($D92,3,1)</f>
        <v/>
      </c>
      <c r="T92">
        <f>MID($D92,4,1)</f>
        <v/>
      </c>
      <c r="U92">
        <f>MID($D92,5,1)</f>
        <v/>
      </c>
      <c r="V92">
        <f>MID($D92,6,1)</f>
        <v/>
      </c>
      <c r="W92">
        <f>MID($D92,7,1)</f>
        <v/>
      </c>
      <c r="X92">
        <f>MID($D92,8,1)</f>
        <v/>
      </c>
      <c r="Y92">
        <f>MID($D92,9,1)</f>
        <v/>
      </c>
      <c r="Z92">
        <f>MID($D92,10,1)</f>
        <v/>
      </c>
      <c r="AA92">
        <f>MID($E92,1,1)</f>
        <v/>
      </c>
      <c r="AB92">
        <f>MID($E92,2,1)</f>
        <v/>
      </c>
      <c r="AC92">
        <f>MID($E92,3,1)</f>
        <v/>
      </c>
      <c r="AD92">
        <f>MID($E92,4,1)</f>
        <v/>
      </c>
      <c r="AE92">
        <f>MID($E92,5,1)</f>
        <v/>
      </c>
      <c r="AF92">
        <f>MID($E92,6,1)</f>
        <v/>
      </c>
      <c r="AG92">
        <f>MID($E92,7,1)</f>
        <v/>
      </c>
      <c r="AH92">
        <f>MID($E92,8,1)</f>
        <v/>
      </c>
      <c r="AI92">
        <f>MID($E92,9,1)</f>
        <v/>
      </c>
      <c r="AJ92">
        <f>MID($E92,10,1)</f>
        <v/>
      </c>
    </row>
    <row r="93">
      <c r="A93" s="4" t="n">
        <v>92</v>
      </c>
      <c r="B93" s="4" t="inlineStr">
        <is>
          <t>UDP0346</t>
        </is>
      </c>
      <c r="C93" s="4" t="inlineStr"/>
      <c r="D93" s="5" t="inlineStr">
        <is>
          <t>TTCCGACATT</t>
        </is>
      </c>
      <c r="E93" s="5" t="inlineStr">
        <is>
          <t>TTCCTCCTTA</t>
        </is>
      </c>
      <c r="F93" s="4">
        <f>LEN(SUBSTITUTE(SUBSTITUTE(D93,"A",""),"T",""))</f>
        <v/>
      </c>
      <c r="G93" s="4">
        <f>LEN(SUBSTITUTE(SUBSTITUTE(E93,"A",""),"T",""))</f>
        <v/>
      </c>
      <c r="H93" s="7" t="inlineStr">
        <is>
          <t>A</t>
        </is>
      </c>
      <c r="I93" s="4" t="n">
        <v>-6.1</v>
      </c>
      <c r="J93" s="4" t="n">
        <v>-3.79</v>
      </c>
      <c r="K93" s="4" t="n">
        <v>-2.61</v>
      </c>
      <c r="L93" s="4" t="n">
        <v>48147</v>
      </c>
      <c r="M93" s="4" t="n">
        <v>0</v>
      </c>
      <c r="N93" s="4" t="n">
        <v>0</v>
      </c>
      <c r="O93" s="4" t="n">
        <v>0</v>
      </c>
      <c r="P93" s="4" t="n">
        <v>0</v>
      </c>
      <c r="Q93">
        <f>MID($D93,1,1)</f>
        <v/>
      </c>
      <c r="R93">
        <f>MID($D93,2,1)</f>
        <v/>
      </c>
      <c r="S93">
        <f>MID($D93,3,1)</f>
        <v/>
      </c>
      <c r="T93">
        <f>MID($D93,4,1)</f>
        <v/>
      </c>
      <c r="U93">
        <f>MID($D93,5,1)</f>
        <v/>
      </c>
      <c r="V93">
        <f>MID($D93,6,1)</f>
        <v/>
      </c>
      <c r="W93">
        <f>MID($D93,7,1)</f>
        <v/>
      </c>
      <c r="X93">
        <f>MID($D93,8,1)</f>
        <v/>
      </c>
      <c r="Y93">
        <f>MID($D93,9,1)</f>
        <v/>
      </c>
      <c r="Z93">
        <f>MID($D93,10,1)</f>
        <v/>
      </c>
      <c r="AA93">
        <f>MID($E93,1,1)</f>
        <v/>
      </c>
      <c r="AB93">
        <f>MID($E93,2,1)</f>
        <v/>
      </c>
      <c r="AC93">
        <f>MID($E93,3,1)</f>
        <v/>
      </c>
      <c r="AD93">
        <f>MID($E93,4,1)</f>
        <v/>
      </c>
      <c r="AE93">
        <f>MID($E93,5,1)</f>
        <v/>
      </c>
      <c r="AF93">
        <f>MID($E93,6,1)</f>
        <v/>
      </c>
      <c r="AG93">
        <f>MID($E93,7,1)</f>
        <v/>
      </c>
      <c r="AH93">
        <f>MID($E93,8,1)</f>
        <v/>
      </c>
      <c r="AI93">
        <f>MID($E93,9,1)</f>
        <v/>
      </c>
      <c r="AJ93">
        <f>MID($E93,10,1)</f>
        <v/>
      </c>
    </row>
    <row r="94">
      <c r="A94" s="4" t="n">
        <v>93</v>
      </c>
      <c r="B94" s="4" t="inlineStr">
        <is>
          <t>UDP0360</t>
        </is>
      </c>
      <c r="C94" s="4" t="inlineStr"/>
      <c r="D94" s="5" t="inlineStr">
        <is>
          <t>AAGGCCACCT</t>
        </is>
      </c>
      <c r="E94" s="5" t="inlineStr">
        <is>
          <t>ATCCTTGTCG</t>
        </is>
      </c>
      <c r="F94" s="4">
        <f>LEN(SUBSTITUTE(SUBSTITUTE(D94,"A",""),"T",""))</f>
        <v/>
      </c>
      <c r="G94" s="4">
        <f>LEN(SUBSTITUTE(SUBSTITUTE(E94,"A",""),"T",""))</f>
        <v/>
      </c>
      <c r="H94" s="6" t="inlineStr">
        <is>
          <t>B</t>
        </is>
      </c>
      <c r="I94" s="4" t="n">
        <v>-7.42</v>
      </c>
      <c r="J94" s="4" t="n">
        <v>-4.37</v>
      </c>
      <c r="K94" s="4" t="n">
        <v>-3.29</v>
      </c>
      <c r="L94" s="4" t="n">
        <v>62337</v>
      </c>
      <c r="M94" s="4" t="n">
        <v>0</v>
      </c>
      <c r="N94" s="4" t="n">
        <v>1</v>
      </c>
      <c r="O94" s="4" t="n">
        <v>0</v>
      </c>
      <c r="P94" s="4" t="n">
        <v>1</v>
      </c>
      <c r="Q94">
        <f>MID($D94,1,1)</f>
        <v/>
      </c>
      <c r="R94">
        <f>MID($D94,2,1)</f>
        <v/>
      </c>
      <c r="S94">
        <f>MID($D94,3,1)</f>
        <v/>
      </c>
      <c r="T94">
        <f>MID($D94,4,1)</f>
        <v/>
      </c>
      <c r="U94">
        <f>MID($D94,5,1)</f>
        <v/>
      </c>
      <c r="V94">
        <f>MID($D94,6,1)</f>
        <v/>
      </c>
      <c r="W94">
        <f>MID($D94,7,1)</f>
        <v/>
      </c>
      <c r="X94">
        <f>MID($D94,8,1)</f>
        <v/>
      </c>
      <c r="Y94">
        <f>MID($D94,9,1)</f>
        <v/>
      </c>
      <c r="Z94">
        <f>MID($D94,10,1)</f>
        <v/>
      </c>
      <c r="AA94">
        <f>MID($E94,1,1)</f>
        <v/>
      </c>
      <c r="AB94">
        <f>MID($E94,2,1)</f>
        <v/>
      </c>
      <c r="AC94">
        <f>MID($E94,3,1)</f>
        <v/>
      </c>
      <c r="AD94">
        <f>MID($E94,4,1)</f>
        <v/>
      </c>
      <c r="AE94">
        <f>MID($E94,5,1)</f>
        <v/>
      </c>
      <c r="AF94">
        <f>MID($E94,6,1)</f>
        <v/>
      </c>
      <c r="AG94">
        <f>MID($E94,7,1)</f>
        <v/>
      </c>
      <c r="AH94">
        <f>MID($E94,8,1)</f>
        <v/>
      </c>
      <c r="AI94">
        <f>MID($E94,9,1)</f>
        <v/>
      </c>
      <c r="AJ94">
        <f>MID($E94,10,1)</f>
        <v/>
      </c>
    </row>
    <row r="95">
      <c r="A95" s="4" t="n">
        <v>94</v>
      </c>
      <c r="B95" s="4" t="inlineStr">
        <is>
          <t>UDP0376</t>
        </is>
      </c>
      <c r="C95" s="4" t="inlineStr"/>
      <c r="D95" s="5" t="inlineStr">
        <is>
          <t>AGTATACGGA</t>
        </is>
      </c>
      <c r="E95" s="5" t="inlineStr">
        <is>
          <t>GGACGTCTTG</t>
        </is>
      </c>
      <c r="F95" s="4">
        <f>LEN(SUBSTITUTE(SUBSTITUTE(D95,"A",""),"T",""))</f>
        <v/>
      </c>
      <c r="G95" s="4">
        <f>LEN(SUBSTITUTE(SUBSTITUTE(E95,"A",""),"T",""))</f>
        <v/>
      </c>
      <c r="H95" s="6" t="inlineStr">
        <is>
          <t>B</t>
        </is>
      </c>
      <c r="I95" s="4" t="n">
        <v>-5.74</v>
      </c>
      <c r="J95" s="4" t="n">
        <v>-4.84</v>
      </c>
      <c r="K95" s="4" t="n">
        <v>-1.77</v>
      </c>
      <c r="L95" s="4" t="n">
        <v>43722</v>
      </c>
      <c r="M95" s="4" t="n">
        <v>0</v>
      </c>
      <c r="N95" s="4" t="n">
        <v>0</v>
      </c>
      <c r="O95" s="4" t="n">
        <v>0</v>
      </c>
      <c r="P95" s="4" t="n">
        <v>0</v>
      </c>
      <c r="Q95">
        <f>MID($D95,1,1)</f>
        <v/>
      </c>
      <c r="R95">
        <f>MID($D95,2,1)</f>
        <v/>
      </c>
      <c r="S95">
        <f>MID($D95,3,1)</f>
        <v/>
      </c>
      <c r="T95">
        <f>MID($D95,4,1)</f>
        <v/>
      </c>
      <c r="U95">
        <f>MID($D95,5,1)</f>
        <v/>
      </c>
      <c r="V95">
        <f>MID($D95,6,1)</f>
        <v/>
      </c>
      <c r="W95">
        <f>MID($D95,7,1)</f>
        <v/>
      </c>
      <c r="X95">
        <f>MID($D95,8,1)</f>
        <v/>
      </c>
      <c r="Y95">
        <f>MID($D95,9,1)</f>
        <v/>
      </c>
      <c r="Z95">
        <f>MID($D95,10,1)</f>
        <v/>
      </c>
      <c r="AA95">
        <f>MID($E95,1,1)</f>
        <v/>
      </c>
      <c r="AB95">
        <f>MID($E95,2,1)</f>
        <v/>
      </c>
      <c r="AC95">
        <f>MID($E95,3,1)</f>
        <v/>
      </c>
      <c r="AD95">
        <f>MID($E95,4,1)</f>
        <v/>
      </c>
      <c r="AE95">
        <f>MID($E95,5,1)</f>
        <v/>
      </c>
      <c r="AF95">
        <f>MID($E95,6,1)</f>
        <v/>
      </c>
      <c r="AG95">
        <f>MID($E95,7,1)</f>
        <v/>
      </c>
      <c r="AH95">
        <f>MID($E95,8,1)</f>
        <v/>
      </c>
      <c r="AI95">
        <f>MID($E95,9,1)</f>
        <v/>
      </c>
      <c r="AJ95">
        <f>MID($E95,10,1)</f>
        <v/>
      </c>
    </row>
    <row r="96">
      <c r="A96" s="4" t="n">
        <v>95</v>
      </c>
      <c r="B96" s="4" t="inlineStr">
        <is>
          <t>UDP0379</t>
        </is>
      </c>
      <c r="C96" s="4" t="inlineStr"/>
      <c r="D96" s="5" t="inlineStr">
        <is>
          <t>TACACGCTCC</t>
        </is>
      </c>
      <c r="E96" s="5" t="inlineStr">
        <is>
          <t>CAGTATCAAT</t>
        </is>
      </c>
      <c r="F96" s="4">
        <f>LEN(SUBSTITUTE(SUBSTITUTE(D96,"A",""),"T",""))</f>
        <v/>
      </c>
      <c r="G96" s="4">
        <f>LEN(SUBSTITUTE(SUBSTITUTE(E96,"A",""),"T",""))</f>
        <v/>
      </c>
      <c r="H96" s="6" t="inlineStr">
        <is>
          <t>B</t>
        </is>
      </c>
      <c r="I96" s="4" t="n">
        <v>-5.85</v>
      </c>
      <c r="J96" s="4" t="n">
        <v>-4.54</v>
      </c>
      <c r="K96" s="4" t="n">
        <v>-1.59</v>
      </c>
      <c r="L96" s="4" t="n">
        <v>52603</v>
      </c>
      <c r="M96" s="4" t="n">
        <v>0</v>
      </c>
      <c r="N96" s="4" t="n">
        <v>0</v>
      </c>
      <c r="O96" s="4" t="n">
        <v>3</v>
      </c>
      <c r="P96" s="4" t="n">
        <v>4</v>
      </c>
      <c r="Q96">
        <f>MID($D96,1,1)</f>
        <v/>
      </c>
      <c r="R96">
        <f>MID($D96,2,1)</f>
        <v/>
      </c>
      <c r="S96">
        <f>MID($D96,3,1)</f>
        <v/>
      </c>
      <c r="T96">
        <f>MID($D96,4,1)</f>
        <v/>
      </c>
      <c r="U96">
        <f>MID($D96,5,1)</f>
        <v/>
      </c>
      <c r="V96">
        <f>MID($D96,6,1)</f>
        <v/>
      </c>
      <c r="W96">
        <f>MID($D96,7,1)</f>
        <v/>
      </c>
      <c r="X96">
        <f>MID($D96,8,1)</f>
        <v/>
      </c>
      <c r="Y96">
        <f>MID($D96,9,1)</f>
        <v/>
      </c>
      <c r="Z96">
        <f>MID($D96,10,1)</f>
        <v/>
      </c>
      <c r="AA96">
        <f>MID($E96,1,1)</f>
        <v/>
      </c>
      <c r="AB96">
        <f>MID($E96,2,1)</f>
        <v/>
      </c>
      <c r="AC96">
        <f>MID($E96,3,1)</f>
        <v/>
      </c>
      <c r="AD96">
        <f>MID($E96,4,1)</f>
        <v/>
      </c>
      <c r="AE96">
        <f>MID($E96,5,1)</f>
        <v/>
      </c>
      <c r="AF96">
        <f>MID($E96,6,1)</f>
        <v/>
      </c>
      <c r="AG96">
        <f>MID($E96,7,1)</f>
        <v/>
      </c>
      <c r="AH96">
        <f>MID($E96,8,1)</f>
        <v/>
      </c>
      <c r="AI96">
        <f>MID($E96,9,1)</f>
        <v/>
      </c>
      <c r="AJ96">
        <f>MID($E96,10,1)</f>
        <v/>
      </c>
    </row>
    <row r="97">
      <c r="A97" s="4" t="n">
        <v>96</v>
      </c>
      <c r="B97" s="4" t="inlineStr">
        <is>
          <t>UDP0380</t>
        </is>
      </c>
      <c r="C97" s="4" t="inlineStr"/>
      <c r="D97" s="5" t="inlineStr">
        <is>
          <t>TCCGATAGAG</t>
        </is>
      </c>
      <c r="E97" s="5" t="inlineStr">
        <is>
          <t>TCCATAATCC</t>
        </is>
      </c>
      <c r="F97" s="4">
        <f>LEN(SUBSTITUTE(SUBSTITUTE(D97,"A",""),"T",""))</f>
        <v/>
      </c>
      <c r="G97" s="4">
        <f>LEN(SUBSTITUTE(SUBSTITUTE(E97,"A",""),"T",""))</f>
        <v/>
      </c>
      <c r="H97" s="6" t="inlineStr">
        <is>
          <t>B</t>
        </is>
      </c>
      <c r="I97" s="4" t="n">
        <v>-7.32</v>
      </c>
      <c r="J97" s="4" t="n">
        <v>-4.02</v>
      </c>
      <c r="K97" s="4" t="n">
        <v>-1.62</v>
      </c>
      <c r="L97" s="4" t="n">
        <v>176213</v>
      </c>
      <c r="M97" s="4" t="n">
        <v>0</v>
      </c>
      <c r="N97" s="4" t="n">
        <v>0</v>
      </c>
      <c r="O97" s="4" t="n">
        <v>0</v>
      </c>
      <c r="P97" s="4" t="n">
        <v>1</v>
      </c>
      <c r="Q97">
        <f>MID($D97,1,1)</f>
        <v/>
      </c>
      <c r="R97">
        <f>MID($D97,2,1)</f>
        <v/>
      </c>
      <c r="S97">
        <f>MID($D97,3,1)</f>
        <v/>
      </c>
      <c r="T97">
        <f>MID($D97,4,1)</f>
        <v/>
      </c>
      <c r="U97">
        <f>MID($D97,5,1)</f>
        <v/>
      </c>
      <c r="V97">
        <f>MID($D97,6,1)</f>
        <v/>
      </c>
      <c r="W97">
        <f>MID($D97,7,1)</f>
        <v/>
      </c>
      <c r="X97">
        <f>MID($D97,8,1)</f>
        <v/>
      </c>
      <c r="Y97">
        <f>MID($D97,9,1)</f>
        <v/>
      </c>
      <c r="Z97">
        <f>MID($D97,10,1)</f>
        <v/>
      </c>
      <c r="AA97">
        <f>MID($E97,1,1)</f>
        <v/>
      </c>
      <c r="AB97">
        <f>MID($E97,2,1)</f>
        <v/>
      </c>
      <c r="AC97">
        <f>MID($E97,3,1)</f>
        <v/>
      </c>
      <c r="AD97">
        <f>MID($E97,4,1)</f>
        <v/>
      </c>
      <c r="AE97">
        <f>MID($E97,5,1)</f>
        <v/>
      </c>
      <c r="AF97">
        <f>MID($E97,6,1)</f>
        <v/>
      </c>
      <c r="AG97">
        <f>MID($E97,7,1)</f>
        <v/>
      </c>
      <c r="AH97">
        <f>MID($E97,8,1)</f>
        <v/>
      </c>
      <c r="AI97">
        <f>MID($E97,9,1)</f>
        <v/>
      </c>
      <c r="AJ97">
        <f>MID($E97,10,1)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集合</t>
        </is>
      </c>
      <c r="B1" s="8" t="inlineStr">
        <is>
          <t>序列</t>
        </is>
      </c>
      <c r="C1" s="8" t="inlineStr">
        <is>
          <t>周期</t>
        </is>
      </c>
      <c r="D1" s="8" t="inlineStr">
        <is>
          <t>A</t>
        </is>
      </c>
      <c r="E1" s="8" t="inlineStr">
        <is>
          <t>C</t>
        </is>
      </c>
      <c r="F1" s="8" t="inlineStr">
        <is>
          <t>G</t>
        </is>
      </c>
      <c r="G1" s="8" t="inlineStr">
        <is>
          <t>T</t>
        </is>
      </c>
      <c r="H1" s="8" t="inlineStr">
        <is>
          <t>GC%</t>
        </is>
      </c>
      <c r="I1" s="8" t="inlineStr">
        <is>
          <t>A+C%</t>
        </is>
      </c>
      <c r="J1" s="8" t="inlineStr">
        <is>
          <t>A+T%</t>
        </is>
      </c>
      <c r="K1" s="8" t="inlineStr">
        <is>
          <t>是否达标</t>
        </is>
      </c>
    </row>
    <row r="2">
      <c r="A2" s="9" t="inlineStr">
        <is>
          <t>48 组</t>
        </is>
      </c>
      <c r="B2" s="9" t="inlineStr">
        <is>
          <t>i5</t>
        </is>
      </c>
      <c r="C2" s="9" t="n">
        <v>1</v>
      </c>
      <c r="D2" s="9">
        <f>COUNTIF('96组'!$Q$2:$Q$49,"A")</f>
        <v/>
      </c>
      <c r="E2" s="9">
        <f>COUNTIF('96组'!$Q$2:$Q$49,"C")</f>
        <v/>
      </c>
      <c r="F2" s="9">
        <f>COUNTIF('96组'!$Q$2:$Q$49,"G")</f>
        <v/>
      </c>
      <c r="G2" s="9">
        <f>COUNTIF('96组'!$Q$2:$Q$49,"T")</f>
        <v/>
      </c>
      <c r="H2" s="10">
        <f>(E2+F2)/48</f>
        <v/>
      </c>
      <c r="I2" s="10">
        <f>(D2+E2)/48</f>
        <v/>
      </c>
      <c r="J2" s="10">
        <f>(D2+G2)/48</f>
        <v/>
      </c>
      <c r="K2" s="9">
        <f>IF(AND(H2&gt;=0.4,H2&lt;=0.6,I2&gt;=0.4,I2&lt;=0.6,J2&gt;=0.4,J2&lt;=0.6,MIN(D2:G2)&gt;=7.2),"是","否")</f>
        <v/>
      </c>
    </row>
    <row r="3">
      <c r="A3" s="9" t="inlineStr">
        <is>
          <t>48 组</t>
        </is>
      </c>
      <c r="B3" s="9" t="inlineStr">
        <is>
          <t>i5</t>
        </is>
      </c>
      <c r="C3" s="9" t="n">
        <v>2</v>
      </c>
      <c r="D3" s="9">
        <f>COUNTIF('96组'!$R$2:$R$49,"A")</f>
        <v/>
      </c>
      <c r="E3" s="9">
        <f>COUNTIF('96组'!$R$2:$R$49,"C")</f>
        <v/>
      </c>
      <c r="F3" s="9">
        <f>COUNTIF('96组'!$R$2:$R$49,"G")</f>
        <v/>
      </c>
      <c r="G3" s="9">
        <f>COUNTIF('96组'!$R$2:$R$49,"T")</f>
        <v/>
      </c>
      <c r="H3" s="10">
        <f>(E3+F3)/48</f>
        <v/>
      </c>
      <c r="I3" s="10">
        <f>(D3+E3)/48</f>
        <v/>
      </c>
      <c r="J3" s="10">
        <f>(D3+G3)/48</f>
        <v/>
      </c>
      <c r="K3" s="9">
        <f>IF(AND(H3&gt;=0.4,H3&lt;=0.6,I3&gt;=0.4,I3&lt;=0.6,J3&gt;=0.4,J3&lt;=0.6,MIN(D3:G3)&gt;=7.2),"是","否")</f>
        <v/>
      </c>
    </row>
    <row r="4">
      <c r="A4" s="9" t="inlineStr">
        <is>
          <t>48 组</t>
        </is>
      </c>
      <c r="B4" s="9" t="inlineStr">
        <is>
          <t>i5</t>
        </is>
      </c>
      <c r="C4" s="9" t="n">
        <v>3</v>
      </c>
      <c r="D4" s="9">
        <f>COUNTIF('96组'!$S$2:$S$49,"A")</f>
        <v/>
      </c>
      <c r="E4" s="9">
        <f>COUNTIF('96组'!$S$2:$S$49,"C")</f>
        <v/>
      </c>
      <c r="F4" s="9">
        <f>COUNTIF('96组'!$S$2:$S$49,"G")</f>
        <v/>
      </c>
      <c r="G4" s="9">
        <f>COUNTIF('96组'!$S$2:$S$49,"T")</f>
        <v/>
      </c>
      <c r="H4" s="10">
        <f>(E4+F4)/48</f>
        <v/>
      </c>
      <c r="I4" s="10">
        <f>(D4+E4)/48</f>
        <v/>
      </c>
      <c r="J4" s="10">
        <f>(D4+G4)/48</f>
        <v/>
      </c>
      <c r="K4" s="9">
        <f>IF(AND(H4&gt;=0.4,H4&lt;=0.6,I4&gt;=0.4,I4&lt;=0.6,J4&gt;=0.4,J4&lt;=0.6,MIN(D4:G4)&gt;=7.2),"是","否")</f>
        <v/>
      </c>
    </row>
    <row r="5">
      <c r="A5" s="9" t="inlineStr">
        <is>
          <t>48 组</t>
        </is>
      </c>
      <c r="B5" s="9" t="inlineStr">
        <is>
          <t>i5</t>
        </is>
      </c>
      <c r="C5" s="9" t="n">
        <v>4</v>
      </c>
      <c r="D5" s="9">
        <f>COUNTIF('96组'!$T$2:$T$49,"A")</f>
        <v/>
      </c>
      <c r="E5" s="9">
        <f>COUNTIF('96组'!$T$2:$T$49,"C")</f>
        <v/>
      </c>
      <c r="F5" s="9">
        <f>COUNTIF('96组'!$T$2:$T$49,"G")</f>
        <v/>
      </c>
      <c r="G5" s="9">
        <f>COUNTIF('96组'!$T$2:$T$49,"T")</f>
        <v/>
      </c>
      <c r="H5" s="10">
        <f>(E5+F5)/48</f>
        <v/>
      </c>
      <c r="I5" s="10">
        <f>(D5+E5)/48</f>
        <v/>
      </c>
      <c r="J5" s="10">
        <f>(D5+G5)/48</f>
        <v/>
      </c>
      <c r="K5" s="9">
        <f>IF(AND(H5&gt;=0.4,H5&lt;=0.6,I5&gt;=0.4,I5&lt;=0.6,J5&gt;=0.4,J5&lt;=0.6,MIN(D5:G5)&gt;=7.2),"是","否")</f>
        <v/>
      </c>
    </row>
    <row r="6">
      <c r="A6" s="9" t="inlineStr">
        <is>
          <t>48 组</t>
        </is>
      </c>
      <c r="B6" s="9" t="inlineStr">
        <is>
          <t>i5</t>
        </is>
      </c>
      <c r="C6" s="9" t="n">
        <v>5</v>
      </c>
      <c r="D6" s="9">
        <f>COUNTIF('96组'!$U$2:$U$49,"A")</f>
        <v/>
      </c>
      <c r="E6" s="9">
        <f>COUNTIF('96组'!$U$2:$U$49,"C")</f>
        <v/>
      </c>
      <c r="F6" s="9">
        <f>COUNTIF('96组'!$U$2:$U$49,"G")</f>
        <v/>
      </c>
      <c r="G6" s="9">
        <f>COUNTIF('96组'!$U$2:$U$49,"T")</f>
        <v/>
      </c>
      <c r="H6" s="10">
        <f>(E6+F6)/48</f>
        <v/>
      </c>
      <c r="I6" s="10">
        <f>(D6+E6)/48</f>
        <v/>
      </c>
      <c r="J6" s="10">
        <f>(D6+G6)/48</f>
        <v/>
      </c>
      <c r="K6" s="9">
        <f>IF(AND(H6&gt;=0.4,H6&lt;=0.6,I6&gt;=0.4,I6&lt;=0.6,J6&gt;=0.4,J6&lt;=0.6,MIN(D6:G6)&gt;=7.2),"是","否")</f>
        <v/>
      </c>
    </row>
    <row r="7">
      <c r="A7" s="9" t="inlineStr">
        <is>
          <t>48 组</t>
        </is>
      </c>
      <c r="B7" s="9" t="inlineStr">
        <is>
          <t>i5</t>
        </is>
      </c>
      <c r="C7" s="9" t="n">
        <v>6</v>
      </c>
      <c r="D7" s="9">
        <f>COUNTIF('96组'!$V$2:$V$49,"A")</f>
        <v/>
      </c>
      <c r="E7" s="9">
        <f>COUNTIF('96组'!$V$2:$V$49,"C")</f>
        <v/>
      </c>
      <c r="F7" s="9">
        <f>COUNTIF('96组'!$V$2:$V$49,"G")</f>
        <v/>
      </c>
      <c r="G7" s="9">
        <f>COUNTIF('96组'!$V$2:$V$49,"T")</f>
        <v/>
      </c>
      <c r="H7" s="10">
        <f>(E7+F7)/48</f>
        <v/>
      </c>
      <c r="I7" s="10">
        <f>(D7+E7)/48</f>
        <v/>
      </c>
      <c r="J7" s="10">
        <f>(D7+G7)/48</f>
        <v/>
      </c>
      <c r="K7" s="9">
        <f>IF(AND(H7&gt;=0.4,H7&lt;=0.6,I7&gt;=0.4,I7&lt;=0.6,J7&gt;=0.4,J7&lt;=0.6,MIN(D7:G7)&gt;=7.2),"是","否")</f>
        <v/>
      </c>
    </row>
    <row r="8">
      <c r="A8" s="9" t="inlineStr">
        <is>
          <t>48 组</t>
        </is>
      </c>
      <c r="B8" s="9" t="inlineStr">
        <is>
          <t>i5</t>
        </is>
      </c>
      <c r="C8" s="9" t="n">
        <v>7</v>
      </c>
      <c r="D8" s="9">
        <f>COUNTIF('96组'!$W$2:$W$49,"A")</f>
        <v/>
      </c>
      <c r="E8" s="9">
        <f>COUNTIF('96组'!$W$2:$W$49,"C")</f>
        <v/>
      </c>
      <c r="F8" s="9">
        <f>COUNTIF('96组'!$W$2:$W$49,"G")</f>
        <v/>
      </c>
      <c r="G8" s="9">
        <f>COUNTIF('96组'!$W$2:$W$49,"T")</f>
        <v/>
      </c>
      <c r="H8" s="10">
        <f>(E8+F8)/48</f>
        <v/>
      </c>
      <c r="I8" s="10">
        <f>(D8+E8)/48</f>
        <v/>
      </c>
      <c r="J8" s="10">
        <f>(D8+G8)/48</f>
        <v/>
      </c>
      <c r="K8" s="9">
        <f>IF(AND(H8&gt;=0.4,H8&lt;=0.6,I8&gt;=0.4,I8&lt;=0.6,J8&gt;=0.4,J8&lt;=0.6,MIN(D8:G8)&gt;=7.2),"是","否")</f>
        <v/>
      </c>
    </row>
    <row r="9">
      <c r="A9" s="9" t="inlineStr">
        <is>
          <t>48 组</t>
        </is>
      </c>
      <c r="B9" s="9" t="inlineStr">
        <is>
          <t>i5</t>
        </is>
      </c>
      <c r="C9" s="9" t="n">
        <v>8</v>
      </c>
      <c r="D9" s="9">
        <f>COUNTIF('96组'!$X$2:$X$49,"A")</f>
        <v/>
      </c>
      <c r="E9" s="9">
        <f>COUNTIF('96组'!$X$2:$X$49,"C")</f>
        <v/>
      </c>
      <c r="F9" s="9">
        <f>COUNTIF('96组'!$X$2:$X$49,"G")</f>
        <v/>
      </c>
      <c r="G9" s="9">
        <f>COUNTIF('96组'!$X$2:$X$49,"T")</f>
        <v/>
      </c>
      <c r="H9" s="10">
        <f>(E9+F9)/48</f>
        <v/>
      </c>
      <c r="I9" s="10">
        <f>(D9+E9)/48</f>
        <v/>
      </c>
      <c r="J9" s="10">
        <f>(D9+G9)/48</f>
        <v/>
      </c>
      <c r="K9" s="9">
        <f>IF(AND(H9&gt;=0.4,H9&lt;=0.6,I9&gt;=0.4,I9&lt;=0.6,J9&gt;=0.4,J9&lt;=0.6,MIN(D9:G9)&gt;=7.2),"是","否")</f>
        <v/>
      </c>
    </row>
    <row r="10">
      <c r="A10" s="9" t="inlineStr">
        <is>
          <t>48 组</t>
        </is>
      </c>
      <c r="B10" s="9" t="inlineStr">
        <is>
          <t>i5</t>
        </is>
      </c>
      <c r="C10" s="9" t="n">
        <v>9</v>
      </c>
      <c r="D10" s="9">
        <f>COUNTIF('96组'!$Y$2:$Y$49,"A")</f>
        <v/>
      </c>
      <c r="E10" s="9">
        <f>COUNTIF('96组'!$Y$2:$Y$49,"C")</f>
        <v/>
      </c>
      <c r="F10" s="9">
        <f>COUNTIF('96组'!$Y$2:$Y$49,"G")</f>
        <v/>
      </c>
      <c r="G10" s="9">
        <f>COUNTIF('96组'!$Y$2:$Y$49,"T")</f>
        <v/>
      </c>
      <c r="H10" s="10">
        <f>(E10+F10)/48</f>
        <v/>
      </c>
      <c r="I10" s="10">
        <f>(D10+E10)/48</f>
        <v/>
      </c>
      <c r="J10" s="10">
        <f>(D10+G10)/48</f>
        <v/>
      </c>
      <c r="K10" s="9">
        <f>IF(AND(H10&gt;=0.4,H10&lt;=0.6,I10&gt;=0.4,I10&lt;=0.6,J10&gt;=0.4,J10&lt;=0.6,MIN(D10:G10)&gt;=7.2),"是","否")</f>
        <v/>
      </c>
    </row>
    <row r="11">
      <c r="A11" s="9" t="inlineStr">
        <is>
          <t>48 组</t>
        </is>
      </c>
      <c r="B11" s="9" t="inlineStr">
        <is>
          <t>i5</t>
        </is>
      </c>
      <c r="C11" s="9" t="n">
        <v>10</v>
      </c>
      <c r="D11" s="9">
        <f>COUNTIF('96组'!$Z$2:$Z$49,"A")</f>
        <v/>
      </c>
      <c r="E11" s="9">
        <f>COUNTIF('96组'!$Z$2:$Z$49,"C")</f>
        <v/>
      </c>
      <c r="F11" s="9">
        <f>COUNTIF('96组'!$Z$2:$Z$49,"G")</f>
        <v/>
      </c>
      <c r="G11" s="9">
        <f>COUNTIF('96组'!$Z$2:$Z$49,"T")</f>
        <v/>
      </c>
      <c r="H11" s="10">
        <f>(E11+F11)/48</f>
        <v/>
      </c>
      <c r="I11" s="10">
        <f>(D11+E11)/48</f>
        <v/>
      </c>
      <c r="J11" s="10">
        <f>(D11+G11)/48</f>
        <v/>
      </c>
      <c r="K11" s="9">
        <f>IF(AND(H11&gt;=0.4,H11&lt;=0.6,I11&gt;=0.4,I11&lt;=0.6,J11&gt;=0.4,J11&lt;=0.6,MIN(D11:G11)&gt;=7.2),"是","否")</f>
        <v/>
      </c>
    </row>
    <row r="12">
      <c r="A12" s="9" t="inlineStr">
        <is>
          <t>48 组</t>
        </is>
      </c>
      <c r="B12" s="9" t="inlineStr">
        <is>
          <t>i7</t>
        </is>
      </c>
      <c r="C12" s="9" t="n">
        <v>1</v>
      </c>
      <c r="D12" s="9">
        <f>COUNTIF('96组'!$AA$2:$AA$49,"A")</f>
        <v/>
      </c>
      <c r="E12" s="9">
        <f>COUNTIF('96组'!$AA$2:$AA$49,"C")</f>
        <v/>
      </c>
      <c r="F12" s="9">
        <f>COUNTIF('96组'!$AA$2:$AA$49,"G")</f>
        <v/>
      </c>
      <c r="G12" s="9">
        <f>COUNTIF('96组'!$AA$2:$AA$49,"T")</f>
        <v/>
      </c>
      <c r="H12" s="10">
        <f>(E12+F12)/48</f>
        <v/>
      </c>
      <c r="I12" s="10">
        <f>(D12+E12)/48</f>
        <v/>
      </c>
      <c r="J12" s="10">
        <f>(D12+G12)/48</f>
        <v/>
      </c>
      <c r="K12" s="9">
        <f>IF(AND(H12&gt;=0.4,H12&lt;=0.6,I12&gt;=0.4,I12&lt;=0.6,J12&gt;=0.4,J12&lt;=0.6,MIN(D12:G12)&gt;=7.2),"是","否")</f>
        <v/>
      </c>
    </row>
    <row r="13">
      <c r="A13" s="9" t="inlineStr">
        <is>
          <t>48 组</t>
        </is>
      </c>
      <c r="B13" s="9" t="inlineStr">
        <is>
          <t>i7</t>
        </is>
      </c>
      <c r="C13" s="9" t="n">
        <v>2</v>
      </c>
      <c r="D13" s="9">
        <f>COUNTIF('96组'!$AB$2:$AB$49,"A")</f>
        <v/>
      </c>
      <c r="E13" s="9">
        <f>COUNTIF('96组'!$AB$2:$AB$49,"C")</f>
        <v/>
      </c>
      <c r="F13" s="9">
        <f>COUNTIF('96组'!$AB$2:$AB$49,"G")</f>
        <v/>
      </c>
      <c r="G13" s="9">
        <f>COUNTIF('96组'!$AB$2:$AB$49,"T")</f>
        <v/>
      </c>
      <c r="H13" s="10">
        <f>(E13+F13)/48</f>
        <v/>
      </c>
      <c r="I13" s="10">
        <f>(D13+E13)/48</f>
        <v/>
      </c>
      <c r="J13" s="10">
        <f>(D13+G13)/48</f>
        <v/>
      </c>
      <c r="K13" s="9">
        <f>IF(AND(H13&gt;=0.4,H13&lt;=0.6,I13&gt;=0.4,I13&lt;=0.6,J13&gt;=0.4,J13&lt;=0.6,MIN(D13:G13)&gt;=7.2),"是","否")</f>
        <v/>
      </c>
    </row>
    <row r="14">
      <c r="A14" s="9" t="inlineStr">
        <is>
          <t>48 组</t>
        </is>
      </c>
      <c r="B14" s="9" t="inlineStr">
        <is>
          <t>i7</t>
        </is>
      </c>
      <c r="C14" s="9" t="n">
        <v>3</v>
      </c>
      <c r="D14" s="9">
        <f>COUNTIF('96组'!$AC$2:$AC$49,"A")</f>
        <v/>
      </c>
      <c r="E14" s="9">
        <f>COUNTIF('96组'!$AC$2:$AC$49,"C")</f>
        <v/>
      </c>
      <c r="F14" s="9">
        <f>COUNTIF('96组'!$AC$2:$AC$49,"G")</f>
        <v/>
      </c>
      <c r="G14" s="9">
        <f>COUNTIF('96组'!$AC$2:$AC$49,"T")</f>
        <v/>
      </c>
      <c r="H14" s="10">
        <f>(E14+F14)/48</f>
        <v/>
      </c>
      <c r="I14" s="10">
        <f>(D14+E14)/48</f>
        <v/>
      </c>
      <c r="J14" s="10">
        <f>(D14+G14)/48</f>
        <v/>
      </c>
      <c r="K14" s="9">
        <f>IF(AND(H14&gt;=0.4,H14&lt;=0.6,I14&gt;=0.4,I14&lt;=0.6,J14&gt;=0.4,J14&lt;=0.6,MIN(D14:G14)&gt;=7.2),"是","否")</f>
        <v/>
      </c>
    </row>
    <row r="15">
      <c r="A15" s="9" t="inlineStr">
        <is>
          <t>48 组</t>
        </is>
      </c>
      <c r="B15" s="9" t="inlineStr">
        <is>
          <t>i7</t>
        </is>
      </c>
      <c r="C15" s="9" t="n">
        <v>4</v>
      </c>
      <c r="D15" s="9">
        <f>COUNTIF('96组'!$AD$2:$AD$49,"A")</f>
        <v/>
      </c>
      <c r="E15" s="9">
        <f>COUNTIF('96组'!$AD$2:$AD$49,"C")</f>
        <v/>
      </c>
      <c r="F15" s="9">
        <f>COUNTIF('96组'!$AD$2:$AD$49,"G")</f>
        <v/>
      </c>
      <c r="G15" s="9">
        <f>COUNTIF('96组'!$AD$2:$AD$49,"T")</f>
        <v/>
      </c>
      <c r="H15" s="10">
        <f>(E15+F15)/48</f>
        <v/>
      </c>
      <c r="I15" s="10">
        <f>(D15+E15)/48</f>
        <v/>
      </c>
      <c r="J15" s="10">
        <f>(D15+G15)/48</f>
        <v/>
      </c>
      <c r="K15" s="9">
        <f>IF(AND(H15&gt;=0.4,H15&lt;=0.6,I15&gt;=0.4,I15&lt;=0.6,J15&gt;=0.4,J15&lt;=0.6,MIN(D15:G15)&gt;=7.2),"是","否")</f>
        <v/>
      </c>
    </row>
    <row r="16">
      <c r="A16" s="9" t="inlineStr">
        <is>
          <t>48 组</t>
        </is>
      </c>
      <c r="B16" s="9" t="inlineStr">
        <is>
          <t>i7</t>
        </is>
      </c>
      <c r="C16" s="9" t="n">
        <v>5</v>
      </c>
      <c r="D16" s="9">
        <f>COUNTIF('96组'!$AE$2:$AE$49,"A")</f>
        <v/>
      </c>
      <c r="E16" s="9">
        <f>COUNTIF('96组'!$AE$2:$AE$49,"C")</f>
        <v/>
      </c>
      <c r="F16" s="9">
        <f>COUNTIF('96组'!$AE$2:$AE$49,"G")</f>
        <v/>
      </c>
      <c r="G16" s="9">
        <f>COUNTIF('96组'!$AE$2:$AE$49,"T")</f>
        <v/>
      </c>
      <c r="H16" s="10">
        <f>(E16+F16)/48</f>
        <v/>
      </c>
      <c r="I16" s="10">
        <f>(D16+E16)/48</f>
        <v/>
      </c>
      <c r="J16" s="10">
        <f>(D16+G16)/48</f>
        <v/>
      </c>
      <c r="K16" s="9">
        <f>IF(AND(H16&gt;=0.4,H16&lt;=0.6,I16&gt;=0.4,I16&lt;=0.6,J16&gt;=0.4,J16&lt;=0.6,MIN(D16:G16)&gt;=7.2),"是","否")</f>
        <v/>
      </c>
    </row>
    <row r="17">
      <c r="A17" s="9" t="inlineStr">
        <is>
          <t>48 组</t>
        </is>
      </c>
      <c r="B17" s="9" t="inlineStr">
        <is>
          <t>i7</t>
        </is>
      </c>
      <c r="C17" s="9" t="n">
        <v>6</v>
      </c>
      <c r="D17" s="9">
        <f>COUNTIF('96组'!$AF$2:$AF$49,"A")</f>
        <v/>
      </c>
      <c r="E17" s="9">
        <f>COUNTIF('96组'!$AF$2:$AF$49,"C")</f>
        <v/>
      </c>
      <c r="F17" s="9">
        <f>COUNTIF('96组'!$AF$2:$AF$49,"G")</f>
        <v/>
      </c>
      <c r="G17" s="9">
        <f>COUNTIF('96组'!$AF$2:$AF$49,"T")</f>
        <v/>
      </c>
      <c r="H17" s="10">
        <f>(E17+F17)/48</f>
        <v/>
      </c>
      <c r="I17" s="10">
        <f>(D17+E17)/48</f>
        <v/>
      </c>
      <c r="J17" s="10">
        <f>(D17+G17)/48</f>
        <v/>
      </c>
      <c r="K17" s="9">
        <f>IF(AND(H17&gt;=0.4,H17&lt;=0.6,I17&gt;=0.4,I17&lt;=0.6,J17&gt;=0.4,J17&lt;=0.6,MIN(D17:G17)&gt;=7.2),"是","否")</f>
        <v/>
      </c>
    </row>
    <row r="18">
      <c r="A18" s="9" t="inlineStr">
        <is>
          <t>48 组</t>
        </is>
      </c>
      <c r="B18" s="9" t="inlineStr">
        <is>
          <t>i7</t>
        </is>
      </c>
      <c r="C18" s="9" t="n">
        <v>7</v>
      </c>
      <c r="D18" s="9">
        <f>COUNTIF('96组'!$AG$2:$AG$49,"A")</f>
        <v/>
      </c>
      <c r="E18" s="9">
        <f>COUNTIF('96组'!$AG$2:$AG$49,"C")</f>
        <v/>
      </c>
      <c r="F18" s="9">
        <f>COUNTIF('96组'!$AG$2:$AG$49,"G")</f>
        <v/>
      </c>
      <c r="G18" s="9">
        <f>COUNTIF('96组'!$AG$2:$AG$49,"T")</f>
        <v/>
      </c>
      <c r="H18" s="10">
        <f>(E18+F18)/48</f>
        <v/>
      </c>
      <c r="I18" s="10">
        <f>(D18+E18)/48</f>
        <v/>
      </c>
      <c r="J18" s="10">
        <f>(D18+G18)/48</f>
        <v/>
      </c>
      <c r="K18" s="9">
        <f>IF(AND(H18&gt;=0.4,H18&lt;=0.6,I18&gt;=0.4,I18&lt;=0.6,J18&gt;=0.4,J18&lt;=0.6,MIN(D18:G18)&gt;=7.2),"是","否")</f>
        <v/>
      </c>
    </row>
    <row r="19">
      <c r="A19" s="9" t="inlineStr">
        <is>
          <t>48 组</t>
        </is>
      </c>
      <c r="B19" s="9" t="inlineStr">
        <is>
          <t>i7</t>
        </is>
      </c>
      <c r="C19" s="9" t="n">
        <v>8</v>
      </c>
      <c r="D19" s="9">
        <f>COUNTIF('96组'!$AH$2:$AH$49,"A")</f>
        <v/>
      </c>
      <c r="E19" s="9">
        <f>COUNTIF('96组'!$AH$2:$AH$49,"C")</f>
        <v/>
      </c>
      <c r="F19" s="9">
        <f>COUNTIF('96组'!$AH$2:$AH$49,"G")</f>
        <v/>
      </c>
      <c r="G19" s="9">
        <f>COUNTIF('96组'!$AH$2:$AH$49,"T")</f>
        <v/>
      </c>
      <c r="H19" s="10">
        <f>(E19+F19)/48</f>
        <v/>
      </c>
      <c r="I19" s="10">
        <f>(D19+E19)/48</f>
        <v/>
      </c>
      <c r="J19" s="10">
        <f>(D19+G19)/48</f>
        <v/>
      </c>
      <c r="K19" s="9">
        <f>IF(AND(H19&gt;=0.4,H19&lt;=0.6,I19&gt;=0.4,I19&lt;=0.6,J19&gt;=0.4,J19&lt;=0.6,MIN(D19:G19)&gt;=7.2),"是","否")</f>
        <v/>
      </c>
    </row>
    <row r="20">
      <c r="A20" s="9" t="inlineStr">
        <is>
          <t>48 组</t>
        </is>
      </c>
      <c r="B20" s="9" t="inlineStr">
        <is>
          <t>i7</t>
        </is>
      </c>
      <c r="C20" s="9" t="n">
        <v>9</v>
      </c>
      <c r="D20" s="9">
        <f>COUNTIF('96组'!$AI$2:$AI$49,"A")</f>
        <v/>
      </c>
      <c r="E20" s="9">
        <f>COUNTIF('96组'!$AI$2:$AI$49,"C")</f>
        <v/>
      </c>
      <c r="F20" s="9">
        <f>COUNTIF('96组'!$AI$2:$AI$49,"G")</f>
        <v/>
      </c>
      <c r="G20" s="9">
        <f>COUNTIF('96组'!$AI$2:$AI$49,"T")</f>
        <v/>
      </c>
      <c r="H20" s="10">
        <f>(E20+F20)/48</f>
        <v/>
      </c>
      <c r="I20" s="10">
        <f>(D20+E20)/48</f>
        <v/>
      </c>
      <c r="J20" s="10">
        <f>(D20+G20)/48</f>
        <v/>
      </c>
      <c r="K20" s="9">
        <f>IF(AND(H20&gt;=0.4,H20&lt;=0.6,I20&gt;=0.4,I20&lt;=0.6,J20&gt;=0.4,J20&lt;=0.6,MIN(D20:G20)&gt;=7.2),"是","否")</f>
        <v/>
      </c>
    </row>
    <row r="21">
      <c r="A21" s="9" t="inlineStr">
        <is>
          <t>48 组</t>
        </is>
      </c>
      <c r="B21" s="9" t="inlineStr">
        <is>
          <t>i7</t>
        </is>
      </c>
      <c r="C21" s="9" t="n">
        <v>10</v>
      </c>
      <c r="D21" s="9">
        <f>COUNTIF('96组'!$AJ$2:$AJ$49,"A")</f>
        <v/>
      </c>
      <c r="E21" s="9">
        <f>COUNTIF('96组'!$AJ$2:$AJ$49,"C")</f>
        <v/>
      </c>
      <c r="F21" s="9">
        <f>COUNTIF('96组'!$AJ$2:$AJ$49,"G")</f>
        <v/>
      </c>
      <c r="G21" s="9">
        <f>COUNTIF('96组'!$AJ$2:$AJ$49,"T")</f>
        <v/>
      </c>
      <c r="H21" s="10">
        <f>(E21+F21)/48</f>
        <v/>
      </c>
      <c r="I21" s="10">
        <f>(D21+E21)/48</f>
        <v/>
      </c>
      <c r="J21" s="10">
        <f>(D21+G21)/48</f>
        <v/>
      </c>
      <c r="K21" s="9">
        <f>IF(AND(H21&gt;=0.4,H21&lt;=0.6,I21&gt;=0.4,I21&lt;=0.6,J21&gt;=0.4,J21&lt;=0.6,MIN(D21:G21)&gt;=7.2),"是","否")</f>
        <v/>
      </c>
    </row>
    <row r="22">
      <c r="A22" s="9" t="inlineStr">
        <is>
          <t>96 组</t>
        </is>
      </c>
      <c r="B22" s="9" t="inlineStr">
        <is>
          <t>i5</t>
        </is>
      </c>
      <c r="C22" s="9" t="n">
        <v>1</v>
      </c>
      <c r="D22" s="9">
        <f>COUNTIF('96组'!$Q$2:$Q$97,"A")</f>
        <v/>
      </c>
      <c r="E22" s="9">
        <f>COUNTIF('96组'!$Q$2:$Q$97,"C")</f>
        <v/>
      </c>
      <c r="F22" s="9">
        <f>COUNTIF('96组'!$Q$2:$Q$97,"G")</f>
        <v/>
      </c>
      <c r="G22" s="9">
        <f>COUNTIF('96组'!$Q$2:$Q$97,"T")</f>
        <v/>
      </c>
      <c r="H22" s="10">
        <f>(E22+F22)/96</f>
        <v/>
      </c>
      <c r="I22" s="10">
        <f>(D22+E22)/96</f>
        <v/>
      </c>
      <c r="J22" s="10">
        <f>(D22+G22)/96</f>
        <v/>
      </c>
      <c r="K22" s="9">
        <f>IF(AND(H22&gt;=0.4,H22&lt;=0.6,I22&gt;=0.4,I22&lt;=0.6,J22&gt;=0.4,J22&lt;=0.6,MIN(D22:G22)&gt;=14.4),"是","否")</f>
        <v/>
      </c>
    </row>
    <row r="23">
      <c r="A23" s="9" t="inlineStr">
        <is>
          <t>96 组</t>
        </is>
      </c>
      <c r="B23" s="9" t="inlineStr">
        <is>
          <t>i5</t>
        </is>
      </c>
      <c r="C23" s="9" t="n">
        <v>2</v>
      </c>
      <c r="D23" s="9">
        <f>COUNTIF('96组'!$R$2:$R$97,"A")</f>
        <v/>
      </c>
      <c r="E23" s="9">
        <f>COUNTIF('96组'!$R$2:$R$97,"C")</f>
        <v/>
      </c>
      <c r="F23" s="9">
        <f>COUNTIF('96组'!$R$2:$R$97,"G")</f>
        <v/>
      </c>
      <c r="G23" s="9">
        <f>COUNTIF('96组'!$R$2:$R$97,"T")</f>
        <v/>
      </c>
      <c r="H23" s="10">
        <f>(E23+F23)/96</f>
        <v/>
      </c>
      <c r="I23" s="10">
        <f>(D23+E23)/96</f>
        <v/>
      </c>
      <c r="J23" s="10">
        <f>(D23+G23)/96</f>
        <v/>
      </c>
      <c r="K23" s="9">
        <f>IF(AND(H23&gt;=0.4,H23&lt;=0.6,I23&gt;=0.4,I23&lt;=0.6,J23&gt;=0.4,J23&lt;=0.6,MIN(D23:G23)&gt;=14.4),"是","否")</f>
        <v/>
      </c>
    </row>
    <row r="24">
      <c r="A24" s="9" t="inlineStr">
        <is>
          <t>96 组</t>
        </is>
      </c>
      <c r="B24" s="9" t="inlineStr">
        <is>
          <t>i5</t>
        </is>
      </c>
      <c r="C24" s="9" t="n">
        <v>3</v>
      </c>
      <c r="D24" s="9">
        <f>COUNTIF('96组'!$S$2:$S$97,"A")</f>
        <v/>
      </c>
      <c r="E24" s="9">
        <f>COUNTIF('96组'!$S$2:$S$97,"C")</f>
        <v/>
      </c>
      <c r="F24" s="9">
        <f>COUNTIF('96组'!$S$2:$S$97,"G")</f>
        <v/>
      </c>
      <c r="G24" s="9">
        <f>COUNTIF('96组'!$S$2:$S$97,"T")</f>
        <v/>
      </c>
      <c r="H24" s="10">
        <f>(E24+F24)/96</f>
        <v/>
      </c>
      <c r="I24" s="10">
        <f>(D24+E24)/96</f>
        <v/>
      </c>
      <c r="J24" s="10">
        <f>(D24+G24)/96</f>
        <v/>
      </c>
      <c r="K24" s="9">
        <f>IF(AND(H24&gt;=0.4,H24&lt;=0.6,I24&gt;=0.4,I24&lt;=0.6,J24&gt;=0.4,J24&lt;=0.6,MIN(D24:G24)&gt;=14.4),"是","否")</f>
        <v/>
      </c>
    </row>
    <row r="25">
      <c r="A25" s="9" t="inlineStr">
        <is>
          <t>96 组</t>
        </is>
      </c>
      <c r="B25" s="9" t="inlineStr">
        <is>
          <t>i5</t>
        </is>
      </c>
      <c r="C25" s="9" t="n">
        <v>4</v>
      </c>
      <c r="D25" s="9">
        <f>COUNTIF('96组'!$T$2:$T$97,"A")</f>
        <v/>
      </c>
      <c r="E25" s="9">
        <f>COUNTIF('96组'!$T$2:$T$97,"C")</f>
        <v/>
      </c>
      <c r="F25" s="9">
        <f>COUNTIF('96组'!$T$2:$T$97,"G")</f>
        <v/>
      </c>
      <c r="G25" s="9">
        <f>COUNTIF('96组'!$T$2:$T$97,"T")</f>
        <v/>
      </c>
      <c r="H25" s="10">
        <f>(E25+F25)/96</f>
        <v/>
      </c>
      <c r="I25" s="10">
        <f>(D25+E25)/96</f>
        <v/>
      </c>
      <c r="J25" s="10">
        <f>(D25+G25)/96</f>
        <v/>
      </c>
      <c r="K25" s="9">
        <f>IF(AND(H25&gt;=0.4,H25&lt;=0.6,I25&gt;=0.4,I25&lt;=0.6,J25&gt;=0.4,J25&lt;=0.6,MIN(D25:G25)&gt;=14.4),"是","否")</f>
        <v/>
      </c>
    </row>
    <row r="26">
      <c r="A26" s="9" t="inlineStr">
        <is>
          <t>96 组</t>
        </is>
      </c>
      <c r="B26" s="9" t="inlineStr">
        <is>
          <t>i5</t>
        </is>
      </c>
      <c r="C26" s="9" t="n">
        <v>5</v>
      </c>
      <c r="D26" s="9">
        <f>COUNTIF('96组'!$U$2:$U$97,"A")</f>
        <v/>
      </c>
      <c r="E26" s="9">
        <f>COUNTIF('96组'!$U$2:$U$97,"C")</f>
        <v/>
      </c>
      <c r="F26" s="9">
        <f>COUNTIF('96组'!$U$2:$U$97,"G")</f>
        <v/>
      </c>
      <c r="G26" s="9">
        <f>COUNTIF('96组'!$U$2:$U$97,"T")</f>
        <v/>
      </c>
      <c r="H26" s="10">
        <f>(E26+F26)/96</f>
        <v/>
      </c>
      <c r="I26" s="10">
        <f>(D26+E26)/96</f>
        <v/>
      </c>
      <c r="J26" s="10">
        <f>(D26+G26)/96</f>
        <v/>
      </c>
      <c r="K26" s="9">
        <f>IF(AND(H26&gt;=0.4,H26&lt;=0.6,I26&gt;=0.4,I26&lt;=0.6,J26&gt;=0.4,J26&lt;=0.6,MIN(D26:G26)&gt;=14.4),"是","否")</f>
        <v/>
      </c>
    </row>
    <row r="27">
      <c r="A27" s="9" t="inlineStr">
        <is>
          <t>96 组</t>
        </is>
      </c>
      <c r="B27" s="9" t="inlineStr">
        <is>
          <t>i5</t>
        </is>
      </c>
      <c r="C27" s="9" t="n">
        <v>6</v>
      </c>
      <c r="D27" s="9">
        <f>COUNTIF('96组'!$V$2:$V$97,"A")</f>
        <v/>
      </c>
      <c r="E27" s="9">
        <f>COUNTIF('96组'!$V$2:$V$97,"C")</f>
        <v/>
      </c>
      <c r="F27" s="9">
        <f>COUNTIF('96组'!$V$2:$V$97,"G")</f>
        <v/>
      </c>
      <c r="G27" s="9">
        <f>COUNTIF('96组'!$V$2:$V$97,"T")</f>
        <v/>
      </c>
      <c r="H27" s="10">
        <f>(E27+F27)/96</f>
        <v/>
      </c>
      <c r="I27" s="10">
        <f>(D27+E27)/96</f>
        <v/>
      </c>
      <c r="J27" s="10">
        <f>(D27+G27)/96</f>
        <v/>
      </c>
      <c r="K27" s="9">
        <f>IF(AND(H27&gt;=0.4,H27&lt;=0.6,I27&gt;=0.4,I27&lt;=0.6,J27&gt;=0.4,J27&lt;=0.6,MIN(D27:G27)&gt;=14.4),"是","否")</f>
        <v/>
      </c>
    </row>
    <row r="28">
      <c r="A28" s="9" t="inlineStr">
        <is>
          <t>96 组</t>
        </is>
      </c>
      <c r="B28" s="9" t="inlineStr">
        <is>
          <t>i5</t>
        </is>
      </c>
      <c r="C28" s="9" t="n">
        <v>7</v>
      </c>
      <c r="D28" s="9">
        <f>COUNTIF('96组'!$W$2:$W$97,"A")</f>
        <v/>
      </c>
      <c r="E28" s="9">
        <f>COUNTIF('96组'!$W$2:$W$97,"C")</f>
        <v/>
      </c>
      <c r="F28" s="9">
        <f>COUNTIF('96组'!$W$2:$W$97,"G")</f>
        <v/>
      </c>
      <c r="G28" s="9">
        <f>COUNTIF('96组'!$W$2:$W$97,"T")</f>
        <v/>
      </c>
      <c r="H28" s="10">
        <f>(E28+F28)/96</f>
        <v/>
      </c>
      <c r="I28" s="10">
        <f>(D28+E28)/96</f>
        <v/>
      </c>
      <c r="J28" s="10">
        <f>(D28+G28)/96</f>
        <v/>
      </c>
      <c r="K28" s="9">
        <f>IF(AND(H28&gt;=0.4,H28&lt;=0.6,I28&gt;=0.4,I28&lt;=0.6,J28&gt;=0.4,J28&lt;=0.6,MIN(D28:G28)&gt;=14.4),"是","否")</f>
        <v/>
      </c>
    </row>
    <row r="29">
      <c r="A29" s="9" t="inlineStr">
        <is>
          <t>96 组</t>
        </is>
      </c>
      <c r="B29" s="9" t="inlineStr">
        <is>
          <t>i5</t>
        </is>
      </c>
      <c r="C29" s="9" t="n">
        <v>8</v>
      </c>
      <c r="D29" s="9">
        <f>COUNTIF('96组'!$X$2:$X$97,"A")</f>
        <v/>
      </c>
      <c r="E29" s="9">
        <f>COUNTIF('96组'!$X$2:$X$97,"C")</f>
        <v/>
      </c>
      <c r="F29" s="9">
        <f>COUNTIF('96组'!$X$2:$X$97,"G")</f>
        <v/>
      </c>
      <c r="G29" s="9">
        <f>COUNTIF('96组'!$X$2:$X$97,"T")</f>
        <v/>
      </c>
      <c r="H29" s="10">
        <f>(E29+F29)/96</f>
        <v/>
      </c>
      <c r="I29" s="10">
        <f>(D29+E29)/96</f>
        <v/>
      </c>
      <c r="J29" s="10">
        <f>(D29+G29)/96</f>
        <v/>
      </c>
      <c r="K29" s="9">
        <f>IF(AND(H29&gt;=0.4,H29&lt;=0.6,I29&gt;=0.4,I29&lt;=0.6,J29&gt;=0.4,J29&lt;=0.6,MIN(D29:G29)&gt;=14.4),"是","否")</f>
        <v/>
      </c>
    </row>
    <row r="30">
      <c r="A30" s="9" t="inlineStr">
        <is>
          <t>96 组</t>
        </is>
      </c>
      <c r="B30" s="9" t="inlineStr">
        <is>
          <t>i5</t>
        </is>
      </c>
      <c r="C30" s="9" t="n">
        <v>9</v>
      </c>
      <c r="D30" s="9">
        <f>COUNTIF('96组'!$Y$2:$Y$97,"A")</f>
        <v/>
      </c>
      <c r="E30" s="9">
        <f>COUNTIF('96组'!$Y$2:$Y$97,"C")</f>
        <v/>
      </c>
      <c r="F30" s="9">
        <f>COUNTIF('96组'!$Y$2:$Y$97,"G")</f>
        <v/>
      </c>
      <c r="G30" s="9">
        <f>COUNTIF('96组'!$Y$2:$Y$97,"T")</f>
        <v/>
      </c>
      <c r="H30" s="10">
        <f>(E30+F30)/96</f>
        <v/>
      </c>
      <c r="I30" s="10">
        <f>(D30+E30)/96</f>
        <v/>
      </c>
      <c r="J30" s="10">
        <f>(D30+G30)/96</f>
        <v/>
      </c>
      <c r="K30" s="9">
        <f>IF(AND(H30&gt;=0.4,H30&lt;=0.6,I30&gt;=0.4,I30&lt;=0.6,J30&gt;=0.4,J30&lt;=0.6,MIN(D30:G30)&gt;=14.4),"是","否")</f>
        <v/>
      </c>
    </row>
    <row r="31">
      <c r="A31" s="9" t="inlineStr">
        <is>
          <t>96 组</t>
        </is>
      </c>
      <c r="B31" s="9" t="inlineStr">
        <is>
          <t>i5</t>
        </is>
      </c>
      <c r="C31" s="9" t="n">
        <v>10</v>
      </c>
      <c r="D31" s="9">
        <f>COUNTIF('96组'!$Z$2:$Z$97,"A")</f>
        <v/>
      </c>
      <c r="E31" s="9">
        <f>COUNTIF('96组'!$Z$2:$Z$97,"C")</f>
        <v/>
      </c>
      <c r="F31" s="9">
        <f>COUNTIF('96组'!$Z$2:$Z$97,"G")</f>
        <v/>
      </c>
      <c r="G31" s="9">
        <f>COUNTIF('96组'!$Z$2:$Z$97,"T")</f>
        <v/>
      </c>
      <c r="H31" s="10">
        <f>(E31+F31)/96</f>
        <v/>
      </c>
      <c r="I31" s="10">
        <f>(D31+E31)/96</f>
        <v/>
      </c>
      <c r="J31" s="10">
        <f>(D31+G31)/96</f>
        <v/>
      </c>
      <c r="K31" s="9">
        <f>IF(AND(H31&gt;=0.4,H31&lt;=0.6,I31&gt;=0.4,I31&lt;=0.6,J31&gt;=0.4,J31&lt;=0.6,MIN(D31:G31)&gt;=14.4),"是","否")</f>
        <v/>
      </c>
    </row>
    <row r="32">
      <c r="A32" s="9" t="inlineStr">
        <is>
          <t>96 组</t>
        </is>
      </c>
      <c r="B32" s="9" t="inlineStr">
        <is>
          <t>i7</t>
        </is>
      </c>
      <c r="C32" s="9" t="n">
        <v>1</v>
      </c>
      <c r="D32" s="9">
        <f>COUNTIF('96组'!$AA$2:$AA$97,"A")</f>
        <v/>
      </c>
      <c r="E32" s="9">
        <f>COUNTIF('96组'!$AA$2:$AA$97,"C")</f>
        <v/>
      </c>
      <c r="F32" s="9">
        <f>COUNTIF('96组'!$AA$2:$AA$97,"G")</f>
        <v/>
      </c>
      <c r="G32" s="9">
        <f>COUNTIF('96组'!$AA$2:$AA$97,"T")</f>
        <v/>
      </c>
      <c r="H32" s="10">
        <f>(E32+F32)/96</f>
        <v/>
      </c>
      <c r="I32" s="10">
        <f>(D32+E32)/96</f>
        <v/>
      </c>
      <c r="J32" s="10">
        <f>(D32+G32)/96</f>
        <v/>
      </c>
      <c r="K32" s="9">
        <f>IF(AND(H32&gt;=0.4,H32&lt;=0.6,I32&gt;=0.4,I32&lt;=0.6,J32&gt;=0.4,J32&lt;=0.6,MIN(D32:G32)&gt;=14.4),"是","否")</f>
        <v/>
      </c>
    </row>
    <row r="33">
      <c r="A33" s="9" t="inlineStr">
        <is>
          <t>96 组</t>
        </is>
      </c>
      <c r="B33" s="9" t="inlineStr">
        <is>
          <t>i7</t>
        </is>
      </c>
      <c r="C33" s="9" t="n">
        <v>2</v>
      </c>
      <c r="D33" s="9">
        <f>COUNTIF('96组'!$AB$2:$AB$97,"A")</f>
        <v/>
      </c>
      <c r="E33" s="9">
        <f>COUNTIF('96组'!$AB$2:$AB$97,"C")</f>
        <v/>
      </c>
      <c r="F33" s="9">
        <f>COUNTIF('96组'!$AB$2:$AB$97,"G")</f>
        <v/>
      </c>
      <c r="G33" s="9">
        <f>COUNTIF('96组'!$AB$2:$AB$97,"T")</f>
        <v/>
      </c>
      <c r="H33" s="10">
        <f>(E33+F33)/96</f>
        <v/>
      </c>
      <c r="I33" s="10">
        <f>(D33+E33)/96</f>
        <v/>
      </c>
      <c r="J33" s="10">
        <f>(D33+G33)/96</f>
        <v/>
      </c>
      <c r="K33" s="9">
        <f>IF(AND(H33&gt;=0.4,H33&lt;=0.6,I33&gt;=0.4,I33&lt;=0.6,J33&gt;=0.4,J33&lt;=0.6,MIN(D33:G33)&gt;=14.4),"是","否")</f>
        <v/>
      </c>
    </row>
    <row r="34">
      <c r="A34" s="9" t="inlineStr">
        <is>
          <t>96 组</t>
        </is>
      </c>
      <c r="B34" s="9" t="inlineStr">
        <is>
          <t>i7</t>
        </is>
      </c>
      <c r="C34" s="9" t="n">
        <v>3</v>
      </c>
      <c r="D34" s="9">
        <f>COUNTIF('96组'!$AC$2:$AC$97,"A")</f>
        <v/>
      </c>
      <c r="E34" s="9">
        <f>COUNTIF('96组'!$AC$2:$AC$97,"C")</f>
        <v/>
      </c>
      <c r="F34" s="9">
        <f>COUNTIF('96组'!$AC$2:$AC$97,"G")</f>
        <v/>
      </c>
      <c r="G34" s="9">
        <f>COUNTIF('96组'!$AC$2:$AC$97,"T")</f>
        <v/>
      </c>
      <c r="H34" s="10">
        <f>(E34+F34)/96</f>
        <v/>
      </c>
      <c r="I34" s="10">
        <f>(D34+E34)/96</f>
        <v/>
      </c>
      <c r="J34" s="10">
        <f>(D34+G34)/96</f>
        <v/>
      </c>
      <c r="K34" s="9">
        <f>IF(AND(H34&gt;=0.4,H34&lt;=0.6,I34&gt;=0.4,I34&lt;=0.6,J34&gt;=0.4,J34&lt;=0.6,MIN(D34:G34)&gt;=14.4),"是","否")</f>
        <v/>
      </c>
    </row>
    <row r="35">
      <c r="A35" s="9" t="inlineStr">
        <is>
          <t>96 组</t>
        </is>
      </c>
      <c r="B35" s="9" t="inlineStr">
        <is>
          <t>i7</t>
        </is>
      </c>
      <c r="C35" s="9" t="n">
        <v>4</v>
      </c>
      <c r="D35" s="9">
        <f>COUNTIF('96组'!$AD$2:$AD$97,"A")</f>
        <v/>
      </c>
      <c r="E35" s="9">
        <f>COUNTIF('96组'!$AD$2:$AD$97,"C")</f>
        <v/>
      </c>
      <c r="F35" s="9">
        <f>COUNTIF('96组'!$AD$2:$AD$97,"G")</f>
        <v/>
      </c>
      <c r="G35" s="9">
        <f>COUNTIF('96组'!$AD$2:$AD$97,"T")</f>
        <v/>
      </c>
      <c r="H35" s="10">
        <f>(E35+F35)/96</f>
        <v/>
      </c>
      <c r="I35" s="10">
        <f>(D35+E35)/96</f>
        <v/>
      </c>
      <c r="J35" s="10">
        <f>(D35+G35)/96</f>
        <v/>
      </c>
      <c r="K35" s="9">
        <f>IF(AND(H35&gt;=0.4,H35&lt;=0.6,I35&gt;=0.4,I35&lt;=0.6,J35&gt;=0.4,J35&lt;=0.6,MIN(D35:G35)&gt;=14.4),"是","否")</f>
        <v/>
      </c>
    </row>
    <row r="36">
      <c r="A36" s="9" t="inlineStr">
        <is>
          <t>96 组</t>
        </is>
      </c>
      <c r="B36" s="9" t="inlineStr">
        <is>
          <t>i7</t>
        </is>
      </c>
      <c r="C36" s="9" t="n">
        <v>5</v>
      </c>
      <c r="D36" s="9">
        <f>COUNTIF('96组'!$AE$2:$AE$97,"A")</f>
        <v/>
      </c>
      <c r="E36" s="9">
        <f>COUNTIF('96组'!$AE$2:$AE$97,"C")</f>
        <v/>
      </c>
      <c r="F36" s="9">
        <f>COUNTIF('96组'!$AE$2:$AE$97,"G")</f>
        <v/>
      </c>
      <c r="G36" s="9">
        <f>COUNTIF('96组'!$AE$2:$AE$97,"T")</f>
        <v/>
      </c>
      <c r="H36" s="10">
        <f>(E36+F36)/96</f>
        <v/>
      </c>
      <c r="I36" s="10">
        <f>(D36+E36)/96</f>
        <v/>
      </c>
      <c r="J36" s="10">
        <f>(D36+G36)/96</f>
        <v/>
      </c>
      <c r="K36" s="9">
        <f>IF(AND(H36&gt;=0.4,H36&lt;=0.6,I36&gt;=0.4,I36&lt;=0.6,J36&gt;=0.4,J36&lt;=0.6,MIN(D36:G36)&gt;=14.4),"是","否")</f>
        <v/>
      </c>
    </row>
    <row r="37">
      <c r="A37" s="9" t="inlineStr">
        <is>
          <t>96 组</t>
        </is>
      </c>
      <c r="B37" s="9" t="inlineStr">
        <is>
          <t>i7</t>
        </is>
      </c>
      <c r="C37" s="9" t="n">
        <v>6</v>
      </c>
      <c r="D37" s="9">
        <f>COUNTIF('96组'!$AF$2:$AF$97,"A")</f>
        <v/>
      </c>
      <c r="E37" s="9">
        <f>COUNTIF('96组'!$AF$2:$AF$97,"C")</f>
        <v/>
      </c>
      <c r="F37" s="9">
        <f>COUNTIF('96组'!$AF$2:$AF$97,"G")</f>
        <v/>
      </c>
      <c r="G37" s="9">
        <f>COUNTIF('96组'!$AF$2:$AF$97,"T")</f>
        <v/>
      </c>
      <c r="H37" s="10">
        <f>(E37+F37)/96</f>
        <v/>
      </c>
      <c r="I37" s="10">
        <f>(D37+E37)/96</f>
        <v/>
      </c>
      <c r="J37" s="10">
        <f>(D37+G37)/96</f>
        <v/>
      </c>
      <c r="K37" s="9">
        <f>IF(AND(H37&gt;=0.4,H37&lt;=0.6,I37&gt;=0.4,I37&lt;=0.6,J37&gt;=0.4,J37&lt;=0.6,MIN(D37:G37)&gt;=14.4),"是","否")</f>
        <v/>
      </c>
    </row>
    <row r="38">
      <c r="A38" s="9" t="inlineStr">
        <is>
          <t>96 组</t>
        </is>
      </c>
      <c r="B38" s="9" t="inlineStr">
        <is>
          <t>i7</t>
        </is>
      </c>
      <c r="C38" s="9" t="n">
        <v>7</v>
      </c>
      <c r="D38" s="9">
        <f>COUNTIF('96组'!$AG$2:$AG$97,"A")</f>
        <v/>
      </c>
      <c r="E38" s="9">
        <f>COUNTIF('96组'!$AG$2:$AG$97,"C")</f>
        <v/>
      </c>
      <c r="F38" s="9">
        <f>COUNTIF('96组'!$AG$2:$AG$97,"G")</f>
        <v/>
      </c>
      <c r="G38" s="9">
        <f>COUNTIF('96组'!$AG$2:$AG$97,"T")</f>
        <v/>
      </c>
      <c r="H38" s="10">
        <f>(E38+F38)/96</f>
        <v/>
      </c>
      <c r="I38" s="10">
        <f>(D38+E38)/96</f>
        <v/>
      </c>
      <c r="J38" s="10">
        <f>(D38+G38)/96</f>
        <v/>
      </c>
      <c r="K38" s="9">
        <f>IF(AND(H38&gt;=0.4,H38&lt;=0.6,I38&gt;=0.4,I38&lt;=0.6,J38&gt;=0.4,J38&lt;=0.6,MIN(D38:G38)&gt;=14.4),"是","否")</f>
        <v/>
      </c>
    </row>
    <row r="39">
      <c r="A39" s="9" t="inlineStr">
        <is>
          <t>96 组</t>
        </is>
      </c>
      <c r="B39" s="9" t="inlineStr">
        <is>
          <t>i7</t>
        </is>
      </c>
      <c r="C39" s="9" t="n">
        <v>8</v>
      </c>
      <c r="D39" s="9">
        <f>COUNTIF('96组'!$AH$2:$AH$97,"A")</f>
        <v/>
      </c>
      <c r="E39" s="9">
        <f>COUNTIF('96组'!$AH$2:$AH$97,"C")</f>
        <v/>
      </c>
      <c r="F39" s="9">
        <f>COUNTIF('96组'!$AH$2:$AH$97,"G")</f>
        <v/>
      </c>
      <c r="G39" s="9">
        <f>COUNTIF('96组'!$AH$2:$AH$97,"T")</f>
        <v/>
      </c>
      <c r="H39" s="10">
        <f>(E39+F39)/96</f>
        <v/>
      </c>
      <c r="I39" s="10">
        <f>(D39+E39)/96</f>
        <v/>
      </c>
      <c r="J39" s="10">
        <f>(D39+G39)/96</f>
        <v/>
      </c>
      <c r="K39" s="9">
        <f>IF(AND(H39&gt;=0.4,H39&lt;=0.6,I39&gt;=0.4,I39&lt;=0.6,J39&gt;=0.4,J39&lt;=0.6,MIN(D39:G39)&gt;=14.4),"是","否")</f>
        <v/>
      </c>
    </row>
    <row r="40">
      <c r="A40" s="9" t="inlineStr">
        <is>
          <t>96 组</t>
        </is>
      </c>
      <c r="B40" s="9" t="inlineStr">
        <is>
          <t>i7</t>
        </is>
      </c>
      <c r="C40" s="9" t="n">
        <v>9</v>
      </c>
      <c r="D40" s="9">
        <f>COUNTIF('96组'!$AI$2:$AI$97,"A")</f>
        <v/>
      </c>
      <c r="E40" s="9">
        <f>COUNTIF('96组'!$AI$2:$AI$97,"C")</f>
        <v/>
      </c>
      <c r="F40" s="9">
        <f>COUNTIF('96组'!$AI$2:$AI$97,"G")</f>
        <v/>
      </c>
      <c r="G40" s="9">
        <f>COUNTIF('96组'!$AI$2:$AI$97,"T")</f>
        <v/>
      </c>
      <c r="H40" s="10">
        <f>(E40+F40)/96</f>
        <v/>
      </c>
      <c r="I40" s="10">
        <f>(D40+E40)/96</f>
        <v/>
      </c>
      <c r="J40" s="10">
        <f>(D40+G40)/96</f>
        <v/>
      </c>
      <c r="K40" s="9">
        <f>IF(AND(H40&gt;=0.4,H40&lt;=0.6,I40&gt;=0.4,I40&lt;=0.6,J40&gt;=0.4,J40&lt;=0.6,MIN(D40:G40)&gt;=14.4),"是","否")</f>
        <v/>
      </c>
    </row>
    <row r="41">
      <c r="A41" s="9" t="inlineStr">
        <is>
          <t>96 组</t>
        </is>
      </c>
      <c r="B41" s="9" t="inlineStr">
        <is>
          <t>i7</t>
        </is>
      </c>
      <c r="C41" s="9" t="n">
        <v>10</v>
      </c>
      <c r="D41" s="9">
        <f>COUNTIF('96组'!$AJ$2:$AJ$97,"A")</f>
        <v/>
      </c>
      <c r="E41" s="9">
        <f>COUNTIF('96组'!$AJ$2:$AJ$97,"C")</f>
        <v/>
      </c>
      <c r="F41" s="9">
        <f>COUNTIF('96组'!$AJ$2:$AJ$97,"G")</f>
        <v/>
      </c>
      <c r="G41" s="9">
        <f>COUNTIF('96组'!$AJ$2:$AJ$97,"T")</f>
        <v/>
      </c>
      <c r="H41" s="10">
        <f>(E41+F41)/96</f>
        <v/>
      </c>
      <c r="I41" s="10">
        <f>(D41+E41)/96</f>
        <v/>
      </c>
      <c r="J41" s="10">
        <f>(D41+G41)/96</f>
        <v/>
      </c>
      <c r="K41" s="9">
        <f>IF(AND(H41&gt;=0.4,H41&lt;=0.6,I41&gt;=0.4,I41&lt;=0.6,J41&gt;=0.4,J41&lt;=0.6,MIN(D41:G41)&gt;=14.4),"是","否")</f>
        <v/>
      </c>
    </row>
    <row r="43">
      <c r="A43" s="9" t="inlineStr">
        <is>
          <t>48 组位于 96 组表的前 48 行（“在48组”=是的排在最前）；公式统计的是对应行范围。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2026-10-09T00:49:27Z</dcterms:created>
  <dcterms:modified xsi:type="dcterms:W3CDTF">2026-10-09T00:49:27Z</dcterms:modified>
</cp:coreProperties>
</file>