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菌群设计" sheetId="2" state="visible" r:id="rId2"/>
    <sheet name="混合配方" sheetId="3" state="visible" r:id="rId3"/>
    <sheet name="实验设计" sheetId="4" state="visible" r:id="rId4"/>
    <sheet name="分析与判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E+00"/>
    <numFmt numFmtId="165" formatCode="0.000E+00"/>
    <numFmt numFmtId="166" formatCode="0.0000"/>
    <numFmt numFmtId="167" formatCode="0.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1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2" fontId="2" fillId="0" borderId="0" pivotButton="0" quotePrefix="0" xfId="0"/>
    <xf numFmtId="0" fontId="3" fillId="3" borderId="0" pivotButton="0" quotePrefix="0" xfId="0"/>
    <xf numFmtId="166" fontId="2" fillId="0" borderId="0" pivotButton="0" quotePrefix="0" xfId="0"/>
    <xf numFmtId="167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模拟菌群梯度退火验证方案（54 / 56 / 58 °C）</t>
        </is>
      </c>
    </row>
    <row r="2">
      <c r="A2" s="2" t="inlineStr"/>
    </row>
    <row r="3">
      <c r="A3" s="2" t="inlineStr">
        <is>
          <t>目的：在 32 条池（二聚体优化版）上，用模拟肠道、呼吸道、生殖道优势菌群的混合基因组 DNA，检验三个退火温度下 6 个扩增子的产量比例，并找出哪些菌、哪些位点在高温下掉队。</t>
        </is>
      </c>
    </row>
    <row r="4">
      <c r="A4" s="2" t="inlineStr">
        <is>
          <t>预测弱点来自引物位点预测（GG 属级，≤1 个错配且 3′端 3 个碱基匹配，两端位点都匹配才计入）。GG 序列数少的属（&lt;10）数字不稳；本地数据中种级序列很少，所以预测只到属。</t>
        </is>
      </c>
    </row>
    <row r="5">
      <c r="A5" s="2" t="inlineStr">
        <is>
          <t>菌种选择依据此前文献检索：肠道核心属（Bacteroides、Prevotella、Faecalibacterium、Blautia、Roseburia、Bifidobacterium、Akkermansia 等）、呼吸道（Streptococcus、Prevotella、Veillonella、Haemophilus、Staphylococcus、Corynebacterium、Dolosigranulum、Moraxella、Neisseria）、生殖道（Lactobacillus CST 型、Gardnerella、Mycoplasma/Ureaplasma）已有文献支持；Atopobium、Sneathia、Rothia、Streptococcus agalactiae 等本次检索未核实，标注在备注里。</t>
        </is>
      </c>
    </row>
    <row r="6">
      <c r="A6" s="2" t="inlineStr">
        <is>
          <t>建议菌株编号是我按记忆列出的，下单前必须到 ATCC/DSMZ 目录核对编号与可得性；难培养或安全级别较高的菌（Mycoplasma、Ureaplasma、Sneathia、Atopobium、Methanobrevibacter）建议直接订购 gDNA。</t>
        </is>
      </c>
    </row>
    <row r="7">
      <c r="A7" s="2" t="inlineStr">
        <is>
          <t>“混合配方”表按 16S 拷贝数配制：蓝色单元格为输入。基因组大小和 rrn 操作子拷贝数只有大肠杆菌是示例值，其余留空需要从基因组注释（NCBI/rrnDB）查后填入，填入后自动算出每个菌种的 gDNA 质量 ng。</t>
        </is>
      </c>
    </row>
    <row r="8">
      <c r="A8" s="2" t="inlineStr">
        <is>
          <t>“实验设计”表给出 85 个反应的布局，“分析与判定”表给出指标与判定标准。</t>
        </is>
      </c>
    </row>
    <row r="9">
      <c r="A9" s="2" t="inlineStr">
        <is>
          <t>这是计算预测和实验设计，没有实验数据支持；预测只是帮你预先标出哪些菌最该关注。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8" customWidth="1" min="3" max="3"/>
    <col width="26" customWidth="1" min="4" max="4"/>
    <col width="6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14" customWidth="1" min="13" max="13"/>
  </cols>
  <sheetData>
    <row r="1">
      <c r="A1" s="3" t="inlineStr">
        <is>
          <t>群落</t>
        </is>
      </c>
      <c r="B1" s="3" t="inlineStr">
        <is>
          <t>菌种</t>
        </is>
      </c>
      <c r="C1" s="3" t="inlineStr">
        <is>
          <t>属（预测用）</t>
        </is>
      </c>
      <c r="D1" s="3" t="inlineStr">
        <is>
          <t>建议菌株（须核对）</t>
        </is>
      </c>
      <c r="E1" s="3" t="inlineStr">
        <is>
          <t>角色 / 备注</t>
        </is>
      </c>
      <c r="F1" s="3" t="inlineStr">
        <is>
          <t>GG 序列数</t>
        </is>
      </c>
      <c r="G1" s="3" t="inlineStr">
        <is>
          <t>A1</t>
        </is>
      </c>
      <c r="H1" s="3" t="inlineStr">
        <is>
          <t>A2</t>
        </is>
      </c>
      <c r="I1" s="3" t="inlineStr">
        <is>
          <t>A3</t>
        </is>
      </c>
      <c r="J1" s="3" t="inlineStr">
        <is>
          <t>A4</t>
        </is>
      </c>
      <c r="K1" s="3" t="inlineStr">
        <is>
          <t>A5</t>
        </is>
      </c>
      <c r="L1" s="3" t="inlineStr">
        <is>
          <t>A6</t>
        </is>
      </c>
      <c r="M1" s="3" t="inlineStr">
        <is>
          <t>预测最低扩增子 %</t>
        </is>
      </c>
    </row>
    <row r="2">
      <c r="A2" s="4" t="inlineStr">
        <is>
          <t>肠道</t>
        </is>
      </c>
      <c r="B2" s="4" t="inlineStr">
        <is>
          <t>Bacteroides fragilis</t>
        </is>
      </c>
      <c r="C2" s="4" t="inlineStr">
        <is>
          <t>Bacteroides</t>
        </is>
      </c>
      <c r="D2" s="4" t="inlineStr">
        <is>
          <t>ATCC 25285 (NCTC 9343)</t>
        </is>
      </c>
      <c r="E2" s="4" t="inlineStr">
        <is>
          <t>拟杆菌门优势属</t>
        </is>
      </c>
      <c r="F2" s="4" t="n">
        <v>130</v>
      </c>
      <c r="G2" s="4" t="n">
        <v>87</v>
      </c>
      <c r="H2" s="4" t="n">
        <v>97</v>
      </c>
      <c r="I2" s="4" t="n">
        <v>92</v>
      </c>
      <c r="J2" s="4" t="n">
        <v>93</v>
      </c>
      <c r="K2" s="4" t="n">
        <v>92</v>
      </c>
      <c r="L2" s="4" t="n">
        <v>92</v>
      </c>
      <c r="M2" s="4">
        <f>IF(COUNT(G2:L2)=0,"无法预测",MIN(G2:L2))</f>
        <v/>
      </c>
    </row>
    <row r="3">
      <c r="A3" s="4" t="inlineStr">
        <is>
          <t>肠道</t>
        </is>
      </c>
      <c r="B3" s="4" t="inlineStr">
        <is>
          <t>Faecalibacterium prausnitzii</t>
        </is>
      </c>
      <c r="C3" s="4" t="inlineStr">
        <is>
          <t>Faecalibacterium</t>
        </is>
      </c>
      <c r="D3" s="4" t="inlineStr">
        <is>
          <t>ATCC 27768</t>
        </is>
      </c>
      <c r="E3" s="4" t="inlineStr">
        <is>
          <t>核心丁酸产生菌；GG 仅 8 条序列，A2–A5 约 88%</t>
        </is>
      </c>
      <c r="F3" s="4" t="n">
        <v>8</v>
      </c>
      <c r="G3" s="4" t="n">
        <v>100</v>
      </c>
      <c r="H3" s="4" t="n">
        <v>88</v>
      </c>
      <c r="I3" s="4" t="n">
        <v>88</v>
      </c>
      <c r="J3" s="4" t="n">
        <v>88</v>
      </c>
      <c r="K3" s="4" t="n">
        <v>88</v>
      </c>
      <c r="L3" s="4" t="n">
        <v>100</v>
      </c>
      <c r="M3" s="4">
        <f>IF(COUNT(G3:L3)=0,"无法预测",MIN(G3:L3))</f>
        <v/>
      </c>
    </row>
    <row r="4">
      <c r="A4" s="4" t="inlineStr">
        <is>
          <t>肠道</t>
        </is>
      </c>
      <c r="B4" s="4" t="inlineStr">
        <is>
          <t>Blautia obeum</t>
        </is>
      </c>
      <c r="C4" s="4" t="inlineStr">
        <is>
          <t>Blautia</t>
        </is>
      </c>
      <c r="D4" s="4" t="inlineStr">
        <is>
          <t>ATCC 29174</t>
        </is>
      </c>
      <c r="E4" s="4" t="inlineStr">
        <is>
          <t>毛螺菌科优势属；A1 约 79%</t>
        </is>
      </c>
      <c r="F4" s="4" t="n">
        <v>60</v>
      </c>
      <c r="G4" s="5" t="n">
        <v>79</v>
      </c>
      <c r="H4" s="4" t="n">
        <v>97</v>
      </c>
      <c r="I4" s="4" t="n">
        <v>95</v>
      </c>
      <c r="J4" s="4" t="n">
        <v>93</v>
      </c>
      <c r="K4" s="4" t="n">
        <v>98</v>
      </c>
      <c r="L4" s="4" t="n">
        <v>96</v>
      </c>
      <c r="M4" s="4">
        <f>IF(COUNT(G4:L4)=0,"无法预测",MIN(G4:L4))</f>
        <v/>
      </c>
    </row>
    <row r="5">
      <c r="A5" s="4" t="inlineStr">
        <is>
          <t>肠道</t>
        </is>
      </c>
      <c r="B5" s="4" t="inlineStr">
        <is>
          <t>Prevotella copri</t>
        </is>
      </c>
      <c r="C5" s="4" t="inlineStr">
        <is>
          <t>Prevotella</t>
        </is>
      </c>
      <c r="D5" s="4" t="inlineStr">
        <is>
          <t>DSM 18205</t>
        </is>
      </c>
      <c r="E5" s="4" t="inlineStr">
        <is>
          <t>A1 曾是弱点（Prevotella 专用补充引物 A1-R.7s/.8s）</t>
        </is>
      </c>
      <c r="F5" s="4" t="n">
        <v>386</v>
      </c>
      <c r="G5" s="4" t="n">
        <v>87</v>
      </c>
      <c r="H5" s="4" t="n">
        <v>96</v>
      </c>
      <c r="I5" s="4" t="n">
        <v>97</v>
      </c>
      <c r="J5" s="4" t="n">
        <v>96</v>
      </c>
      <c r="K5" s="4" t="n">
        <v>97</v>
      </c>
      <c r="L5" s="4" t="n">
        <v>95</v>
      </c>
      <c r="M5" s="4">
        <f>IF(COUNT(G5:L5)=0,"无法预测",MIN(G5:L5))</f>
        <v/>
      </c>
    </row>
    <row r="6">
      <c r="A6" s="4" t="inlineStr">
        <is>
          <t>肠道</t>
        </is>
      </c>
      <c r="B6" s="4" t="inlineStr">
        <is>
          <t>Escherichia coli</t>
        </is>
      </c>
      <c r="C6" s="4" t="inlineStr">
        <is>
          <t>Escherichia</t>
        </is>
      </c>
      <c r="D6" s="4" t="inlineStr">
        <is>
          <t>ATCC 25922</t>
        </is>
      </c>
      <c r="E6" s="4" t="inlineStr">
        <is>
          <t xml:space="preserve"> 参照菌（16S 拷贝数 7，基因组约 4.6 Mb）</t>
        </is>
      </c>
      <c r="F6" s="4" t="n">
        <v>2</v>
      </c>
      <c r="G6" s="4" t="n"/>
      <c r="H6" s="4" t="n"/>
      <c r="I6" s="4" t="n"/>
      <c r="J6" s="4" t="n"/>
      <c r="K6" s="4" t="n"/>
      <c r="L6" s="4" t="n"/>
      <c r="M6" s="4">
        <f>IF(COUNT(G6:L6)=0,"无法预测",MIN(G6:L6))</f>
        <v/>
      </c>
    </row>
    <row r="7">
      <c r="A7" s="4" t="inlineStr">
        <is>
          <t>肠道</t>
        </is>
      </c>
      <c r="B7" s="4" t="inlineStr">
        <is>
          <t>Bifidobacterium longum</t>
        </is>
      </c>
      <c r="C7" s="4" t="inlineStr">
        <is>
          <t>Bifidobacterium</t>
        </is>
      </c>
      <c r="D7" s="4" t="inlineStr">
        <is>
          <t>ATCC 15697（subsp. infantis）</t>
        </is>
      </c>
      <c r="E7" s="4" t="inlineStr">
        <is>
          <t>哨兵：V1_f 对 Bifidobacterium 可能失配（GG 仅 4 条有 V1 数据，2 条匹配），预期 A1 偏低</t>
        </is>
      </c>
      <c r="F7" s="4" t="n">
        <v>13</v>
      </c>
      <c r="G7" s="5" t="n">
        <v>0</v>
      </c>
      <c r="H7" s="4" t="n">
        <v>100</v>
      </c>
      <c r="I7" s="4" t="n">
        <v>100</v>
      </c>
      <c r="J7" s="4" t="n">
        <v>100</v>
      </c>
      <c r="K7" s="4" t="n">
        <v>100</v>
      </c>
      <c r="L7" s="4" t="n">
        <v>100</v>
      </c>
      <c r="M7" s="4">
        <f>IF(COUNT(G7:L7)=0,"无法预测",MIN(G7:L7))</f>
        <v/>
      </c>
    </row>
    <row r="8">
      <c r="A8" s="4" t="inlineStr">
        <is>
          <t>肠道</t>
        </is>
      </c>
      <c r="B8" s="4" t="inlineStr">
        <is>
          <t>Roseburia intestinalis</t>
        </is>
      </c>
      <c r="C8" s="4" t="inlineStr">
        <is>
          <t>Roseburia</t>
        </is>
      </c>
      <c r="D8" s="4" t="inlineStr">
        <is>
          <t>DSM 14610</t>
        </is>
      </c>
      <c r="E8" s="4" t="inlineStr">
        <is>
          <t>A1 约 67%</t>
        </is>
      </c>
      <c r="F8" s="4" t="n">
        <v>21</v>
      </c>
      <c r="G8" s="5" t="n">
        <v>67</v>
      </c>
      <c r="H8" s="4" t="n">
        <v>90</v>
      </c>
      <c r="I8" s="4" t="n">
        <v>90</v>
      </c>
      <c r="J8" s="4" t="n">
        <v>95</v>
      </c>
      <c r="K8" s="4" t="n">
        <v>100</v>
      </c>
      <c r="L8" s="4" t="n">
        <v>88</v>
      </c>
      <c r="M8" s="4">
        <f>IF(COUNT(G8:L8)=0,"无法预测",MIN(G8:L8))</f>
        <v/>
      </c>
    </row>
    <row r="9">
      <c r="A9" s="4" t="inlineStr">
        <is>
          <t>肠道</t>
        </is>
      </c>
      <c r="B9" s="4" t="inlineStr">
        <is>
          <t>Akkermansia muciniphila</t>
        </is>
      </c>
      <c r="C9" s="4" t="inlineStr">
        <is>
          <t>Akkermansia</t>
        </is>
      </c>
      <c r="D9" s="4" t="inlineStr">
        <is>
          <t>ATCC BAA-835</t>
        </is>
      </c>
      <c r="E9" s="4" t="inlineStr">
        <is>
          <t>疣微菌门代表（GG 仅 2 条，无法预测）；V6·V7 的 A5-R 在疣微菌门曾偏弱</t>
        </is>
      </c>
      <c r="F9" s="4" t="n">
        <v>2</v>
      </c>
      <c r="G9" s="4" t="n"/>
      <c r="H9" s="4" t="n"/>
      <c r="I9" s="4" t="n"/>
      <c r="J9" s="4" t="n"/>
      <c r="K9" s="4" t="n"/>
      <c r="L9" s="4" t="n"/>
      <c r="M9" s="4">
        <f>IF(COUNT(G9:L9)=0,"无法预测",MIN(G9:L9))</f>
        <v/>
      </c>
    </row>
    <row r="10">
      <c r="A10" s="4" t="inlineStr">
        <is>
          <t>肠道</t>
        </is>
      </c>
      <c r="B10" s="4" t="inlineStr">
        <is>
          <t>Veillonella parvula</t>
        </is>
      </c>
      <c r="C10" s="4" t="inlineStr">
        <is>
          <t>Veillonella</t>
        </is>
      </c>
      <c r="D10" s="4" t="inlineStr">
        <is>
          <t>ATCC 10790</t>
        </is>
      </c>
      <c r="E10" s="4" t="inlineStr">
        <is>
          <t>哨兵：A4/A5 约 78%、A1 71%</t>
        </is>
      </c>
      <c r="F10" s="4" t="n">
        <v>37</v>
      </c>
      <c r="G10" s="5" t="n">
        <v>71</v>
      </c>
      <c r="H10" s="4" t="n">
        <v>95</v>
      </c>
      <c r="I10" s="4" t="n">
        <v>89</v>
      </c>
      <c r="J10" s="5" t="n">
        <v>78</v>
      </c>
      <c r="K10" s="5" t="n">
        <v>78</v>
      </c>
      <c r="L10" s="4" t="n">
        <v>100</v>
      </c>
      <c r="M10" s="4">
        <f>IF(COUNT(G10:L10)=0,"无法预测",MIN(G10:L10))</f>
        <v/>
      </c>
    </row>
    <row r="11">
      <c r="A11" s="4" t="inlineStr">
        <is>
          <t>肠道</t>
        </is>
      </c>
      <c r="B11" s="4" t="inlineStr">
        <is>
          <t>Ruminococcus bromii</t>
        </is>
      </c>
      <c r="C11" s="4" t="inlineStr">
        <is>
          <t>Ruminococcus</t>
        </is>
      </c>
      <c r="D11" s="4" t="inlineStr">
        <is>
          <t>ATCC 27255</t>
        </is>
      </c>
      <c r="E11" s="4" t="inlineStr">
        <is>
          <t>A1 约 79%</t>
        </is>
      </c>
      <c r="F11" s="4" t="n">
        <v>168</v>
      </c>
      <c r="G11" s="5" t="n">
        <v>79</v>
      </c>
      <c r="H11" s="4" t="n">
        <v>98</v>
      </c>
      <c r="I11" s="4" t="n">
        <v>99</v>
      </c>
      <c r="J11" s="4" t="n">
        <v>96</v>
      </c>
      <c r="K11" s="4" t="n">
        <v>93</v>
      </c>
      <c r="L11" s="4" t="n">
        <v>99</v>
      </c>
      <c r="M11" s="4">
        <f>IF(COUNT(G11:L11)=0,"无法预测",MIN(G11:L11))</f>
        <v/>
      </c>
    </row>
    <row r="12">
      <c r="A12" s="4" t="inlineStr">
        <is>
          <t>肠道</t>
        </is>
      </c>
      <c r="B12" s="4" t="inlineStr">
        <is>
          <t>Methanobrevibacter smithii</t>
        </is>
      </c>
      <c r="C12" s="4" t="inlineStr">
        <is>
          <t>Methanobrevibacter</t>
        </is>
      </c>
      <c r="D12" s="4" t="inlineStr">
        <is>
          <t>ATCC 35061（DSM 861）</t>
        </is>
      </c>
      <c r="E12" s="4" t="inlineStr">
        <is>
          <t>阴性/盲区对照：古菌，A1/A2/A4/A5 预期 0%</t>
        </is>
      </c>
      <c r="F12" s="4" t="n">
        <v>0</v>
      </c>
      <c r="G12" s="4" t="n"/>
      <c r="H12" s="4" t="n"/>
      <c r="I12" s="4" t="n"/>
      <c r="J12" s="4" t="n"/>
      <c r="K12" s="4" t="n"/>
      <c r="L12" s="4" t="n"/>
      <c r="M12" s="4">
        <f>IF(COUNT(G12:L12)=0,"无法预测",MIN(G12:L12))</f>
        <v/>
      </c>
    </row>
    <row r="13">
      <c r="A13" s="4" t="inlineStr">
        <is>
          <t>呼吸道</t>
        </is>
      </c>
      <c r="B13" s="4" t="inlineStr">
        <is>
          <t>Streptococcus mitis</t>
        </is>
      </c>
      <c r="C13" s="4" t="inlineStr">
        <is>
          <t>Streptococcus</t>
        </is>
      </c>
      <c r="D13" s="4" t="inlineStr">
        <is>
          <t>ATCC 49456</t>
        </is>
      </c>
      <c r="E13" s="4" t="inlineStr">
        <is>
          <t>呼吸道/口腔优势属；A4/A5 约 80%</t>
        </is>
      </c>
      <c r="F13" s="4" t="n">
        <v>127</v>
      </c>
      <c r="G13" s="4" t="n">
        <v>86</v>
      </c>
      <c r="H13" s="4" t="n">
        <v>93</v>
      </c>
      <c r="I13" s="4" t="n">
        <v>87</v>
      </c>
      <c r="J13" s="4" t="n">
        <v>81</v>
      </c>
      <c r="K13" s="4" t="n">
        <v>80</v>
      </c>
      <c r="L13" s="4" t="n">
        <v>93</v>
      </c>
      <c r="M13" s="4">
        <f>IF(COUNT(G13:L13)=0,"无法预测",MIN(G13:L13))</f>
        <v/>
      </c>
    </row>
    <row r="14">
      <c r="A14" s="4" t="inlineStr">
        <is>
          <t>呼吸道</t>
        </is>
      </c>
      <c r="B14" s="4" t="inlineStr">
        <is>
          <t>Prevotella melaninogenica</t>
        </is>
      </c>
      <c r="C14" s="4" t="inlineStr">
        <is>
          <t>Prevotella</t>
        </is>
      </c>
      <c r="D14" s="4" t="inlineStr">
        <is>
          <t>ATCC 25845</t>
        </is>
      </c>
      <c r="E14" s="4" t="inlineStr">
        <is>
          <t>下呼吸道优势属</t>
        </is>
      </c>
      <c r="F14" s="4" t="n">
        <v>386</v>
      </c>
      <c r="G14" s="4" t="n">
        <v>87</v>
      </c>
      <c r="H14" s="4" t="n">
        <v>96</v>
      </c>
      <c r="I14" s="4" t="n">
        <v>97</v>
      </c>
      <c r="J14" s="4" t="n">
        <v>96</v>
      </c>
      <c r="K14" s="4" t="n">
        <v>97</v>
      </c>
      <c r="L14" s="4" t="n">
        <v>95</v>
      </c>
      <c r="M14" s="4">
        <f>IF(COUNT(G14:L14)=0,"无法预测",MIN(G14:L14))</f>
        <v/>
      </c>
    </row>
    <row r="15">
      <c r="A15" s="4" t="inlineStr">
        <is>
          <t>呼吸道</t>
        </is>
      </c>
      <c r="B15" s="4" t="inlineStr">
        <is>
          <t>Veillonella parvula</t>
        </is>
      </c>
      <c r="C15" s="4" t="inlineStr">
        <is>
          <t>Veillonella</t>
        </is>
      </c>
      <c r="D15" s="4" t="inlineStr">
        <is>
          <t>ATCC 10790</t>
        </is>
      </c>
      <c r="E15" s="4" t="inlineStr">
        <is>
          <t>哨兵：A4/A5 约 78%</t>
        </is>
      </c>
      <c r="F15" s="4" t="n">
        <v>37</v>
      </c>
      <c r="G15" s="5" t="n">
        <v>71</v>
      </c>
      <c r="H15" s="4" t="n">
        <v>95</v>
      </c>
      <c r="I15" s="4" t="n">
        <v>89</v>
      </c>
      <c r="J15" s="5" t="n">
        <v>78</v>
      </c>
      <c r="K15" s="5" t="n">
        <v>78</v>
      </c>
      <c r="L15" s="4" t="n">
        <v>100</v>
      </c>
      <c r="M15" s="4">
        <f>IF(COUNT(G15:L15)=0,"无法预测",MIN(G15:L15))</f>
        <v/>
      </c>
    </row>
    <row r="16">
      <c r="A16" s="4" t="inlineStr">
        <is>
          <t>呼吸道</t>
        </is>
      </c>
      <c r="B16" s="4" t="inlineStr">
        <is>
          <t>Haemophilus influenzae</t>
        </is>
      </c>
      <c r="C16" s="4" t="inlineStr">
        <is>
          <t>Haemophilus</t>
        </is>
      </c>
      <c r="D16" s="4" t="inlineStr">
        <is>
          <t>ATCC 49247</t>
        </is>
      </c>
      <c r="E16" s="4" t="inlineStr">
        <is>
          <t>哨兵：A1 约 33%（n=20 中仅部分有数据）</t>
        </is>
      </c>
      <c r="F16" s="4" t="n">
        <v>20</v>
      </c>
      <c r="G16" s="5" t="n">
        <v>33</v>
      </c>
      <c r="H16" s="5" t="n">
        <v>75</v>
      </c>
      <c r="I16" s="4" t="n">
        <v>90</v>
      </c>
      <c r="J16" s="4" t="n">
        <v>84</v>
      </c>
      <c r="K16" s="4" t="n">
        <v>90</v>
      </c>
      <c r="L16" s="4" t="n">
        <v>100</v>
      </c>
      <c r="M16" s="4">
        <f>IF(COUNT(G16:L16)=0,"无法预测",MIN(G16:L16))</f>
        <v/>
      </c>
    </row>
    <row r="17">
      <c r="A17" s="4" t="inlineStr">
        <is>
          <t>呼吸道</t>
        </is>
      </c>
      <c r="B17" s="4" t="inlineStr">
        <is>
          <t>Staphylococcus epidermidis</t>
        </is>
      </c>
      <c r="C17" s="4" t="inlineStr">
        <is>
          <t>Staphylococcus</t>
        </is>
      </c>
      <c r="D17" s="4" t="inlineStr">
        <is>
          <t>ATCC 12228</t>
        </is>
      </c>
      <c r="E17" s="4" t="inlineStr">
        <is>
          <t>鼻腔优势属；A3–A5 约 73–77%</t>
        </is>
      </c>
      <c r="F17" s="4" t="n">
        <v>31</v>
      </c>
      <c r="G17" s="4" t="n">
        <v>88</v>
      </c>
      <c r="H17" s="4" t="n">
        <v>90</v>
      </c>
      <c r="I17" s="5" t="n">
        <v>77</v>
      </c>
      <c r="J17" s="5" t="n">
        <v>73</v>
      </c>
      <c r="K17" s="5" t="n">
        <v>76</v>
      </c>
      <c r="L17" s="4" t="n">
        <v>100</v>
      </c>
      <c r="M17" s="4">
        <f>IF(COUNT(G17:L17)=0,"无法预测",MIN(G17:L17))</f>
        <v/>
      </c>
    </row>
    <row r="18">
      <c r="A18" s="4" t="inlineStr">
        <is>
          <t>呼吸道</t>
        </is>
      </c>
      <c r="B18" s="4" t="inlineStr">
        <is>
          <t>Corynebacterium pseudodiphtheriticum</t>
        </is>
      </c>
      <c r="C18" s="4" t="inlineStr">
        <is>
          <t>Corynebacterium</t>
        </is>
      </c>
      <c r="D18" s="4" t="inlineStr">
        <is>
          <t>ATCC 10700</t>
        </is>
      </c>
      <c r="E18" s="4" t="inlineStr">
        <is>
          <t>鼻腔优势属；预测全部 100%（高 GC 对照）</t>
        </is>
      </c>
      <c r="F18" s="4" t="n">
        <v>44</v>
      </c>
      <c r="G18" s="4" t="n">
        <v>100</v>
      </c>
      <c r="H18" s="4" t="n">
        <v>100</v>
      </c>
      <c r="I18" s="4" t="n">
        <v>100</v>
      </c>
      <c r="J18" s="4" t="n">
        <v>100</v>
      </c>
      <c r="K18" s="4" t="n">
        <v>100</v>
      </c>
      <c r="L18" s="4" t="n">
        <v>100</v>
      </c>
      <c r="M18" s="4">
        <f>IF(COUNT(G18:L18)=0,"无法预测",MIN(G18:L18))</f>
        <v/>
      </c>
    </row>
    <row r="19">
      <c r="A19" s="4" t="inlineStr">
        <is>
          <t>呼吸道</t>
        </is>
      </c>
      <c r="B19" s="4" t="inlineStr">
        <is>
          <t>Moraxella catarrhalis</t>
        </is>
      </c>
      <c r="C19" s="4" t="inlineStr">
        <is>
          <t>Moraxella</t>
        </is>
      </c>
      <c r="D19" s="4" t="inlineStr">
        <is>
          <t>ATCC 25238</t>
        </is>
      </c>
      <c r="E19" s="4" t="inlineStr">
        <is>
          <t>上呼吸道（GG 仅 4 条）</t>
        </is>
      </c>
      <c r="F19" s="4" t="n">
        <v>4</v>
      </c>
      <c r="G19" s="4" t="n"/>
      <c r="H19" s="4" t="n">
        <v>100</v>
      </c>
      <c r="I19" s="4" t="n">
        <v>100</v>
      </c>
      <c r="J19" s="4" t="n">
        <v>100</v>
      </c>
      <c r="K19" s="4" t="n">
        <v>100</v>
      </c>
      <c r="L19" s="4" t="n">
        <v>100</v>
      </c>
      <c r="M19" s="4">
        <f>IF(COUNT(G19:L19)=0,"无法预测",MIN(G19:L19))</f>
        <v/>
      </c>
    </row>
    <row r="20">
      <c r="A20" s="4" t="inlineStr">
        <is>
          <t>呼吸道</t>
        </is>
      </c>
      <c r="B20" s="4" t="inlineStr">
        <is>
          <t>Neisseria subflava</t>
        </is>
      </c>
      <c r="C20" s="4" t="inlineStr">
        <is>
          <t>Neisseria</t>
        </is>
      </c>
      <c r="D20" s="4" t="inlineStr">
        <is>
          <t>ATCC 49275</t>
        </is>
      </c>
      <c r="E20" s="4" t="inlineStr">
        <is>
          <t>哨兵：A1 约 25%、A5 约 75%</t>
        </is>
      </c>
      <c r="F20" s="4" t="n">
        <v>12</v>
      </c>
      <c r="G20" s="5" t="n">
        <v>25</v>
      </c>
      <c r="H20" s="4" t="n">
        <v>100</v>
      </c>
      <c r="I20" s="4" t="n">
        <v>82</v>
      </c>
      <c r="J20" s="4" t="n">
        <v>100</v>
      </c>
      <c r="K20" s="5" t="n">
        <v>75</v>
      </c>
      <c r="L20" s="4" t="n">
        <v>100</v>
      </c>
      <c r="M20" s="4">
        <f>IF(COUNT(G20:L20)=0,"无法预测",MIN(G20:L20))</f>
        <v/>
      </c>
    </row>
    <row r="21">
      <c r="A21" s="4" t="inlineStr">
        <is>
          <t>呼吸道</t>
        </is>
      </c>
      <c r="B21" s="4" t="inlineStr">
        <is>
          <t>Dolosigranulum pigrum</t>
        </is>
      </c>
      <c r="C21" s="4" t="inlineStr">
        <is>
          <t>Dolosigranulum</t>
        </is>
      </c>
      <c r="D21" s="4" t="inlineStr">
        <is>
          <t>ATCC 51524</t>
        </is>
      </c>
      <c r="E21" s="4" t="inlineStr">
        <is>
          <t>鼻腔优势属之一；GG 中没有该属，无法预测</t>
        </is>
      </c>
      <c r="F21" s="4" t="n">
        <v>0</v>
      </c>
      <c r="G21" s="4" t="n"/>
      <c r="H21" s="4" t="n"/>
      <c r="I21" s="4" t="n"/>
      <c r="J21" s="4" t="n"/>
      <c r="K21" s="4" t="n"/>
      <c r="L21" s="4" t="n"/>
      <c r="M21" s="4">
        <f>IF(COUNT(G21:L21)=0,"无法预测",MIN(G21:L21))</f>
        <v/>
      </c>
    </row>
    <row r="22">
      <c r="A22" s="4" t="inlineStr">
        <is>
          <t>呼吸道</t>
        </is>
      </c>
      <c r="B22" s="4" t="inlineStr">
        <is>
          <t>Rothia mucilaginosa</t>
        </is>
      </c>
      <c r="C22" s="4" t="inlineStr">
        <is>
          <t>Rothia</t>
        </is>
      </c>
      <c r="D22" s="4" t="inlineStr">
        <is>
          <t>ATCC 25296</t>
        </is>
      </c>
      <c r="E22" s="4" t="inlineStr">
        <is>
          <t>口咽常见（GG 仅 2 条）</t>
        </is>
      </c>
      <c r="F22" s="4" t="n">
        <v>2</v>
      </c>
      <c r="G22" s="4" t="n"/>
      <c r="H22" s="4" t="n"/>
      <c r="I22" s="4" t="n"/>
      <c r="J22" s="4" t="n"/>
      <c r="K22" s="4" t="n"/>
      <c r="L22" s="4" t="n"/>
      <c r="M22" s="4">
        <f>IF(COUNT(G22:L22)=0,"无法预测",MIN(G22:L22))</f>
        <v/>
      </c>
    </row>
    <row r="23">
      <c r="A23" s="4" t="inlineStr">
        <is>
          <t>呼吸道</t>
        </is>
      </c>
      <c r="B23" s="4" t="inlineStr">
        <is>
          <t>Mycoplasma pneumoniae</t>
        </is>
      </c>
      <c r="C23" s="4" t="inlineStr">
        <is>
          <t>Mycoplasma</t>
        </is>
      </c>
      <c r="D23" s="4" t="inlineStr">
        <is>
          <t>ATCC 15531（FH）</t>
        </is>
      </c>
      <c r="E23" s="4" t="inlineStr">
        <is>
          <t>哨兵：支原体，A1/A2 约 74–77%；难培养，可只用 gDNA（订购 gDNA）</t>
        </is>
      </c>
      <c r="F23" s="4" t="n">
        <v>92</v>
      </c>
      <c r="G23" s="5" t="n">
        <v>74</v>
      </c>
      <c r="H23" s="5" t="n">
        <v>77</v>
      </c>
      <c r="I23" s="4" t="n">
        <v>99</v>
      </c>
      <c r="J23" s="4" t="n">
        <v>93</v>
      </c>
      <c r="K23" s="4" t="n">
        <v>83</v>
      </c>
      <c r="L23" s="4" t="n">
        <v>93</v>
      </c>
      <c r="M23" s="4">
        <f>IF(COUNT(G23:L23)=0,"无法预测",MIN(G23:L23))</f>
        <v/>
      </c>
    </row>
    <row r="24">
      <c r="A24" s="4" t="inlineStr">
        <is>
          <t>生殖道</t>
        </is>
      </c>
      <c r="B24" s="4" t="inlineStr">
        <is>
          <t>Lactobacillus crispatus</t>
        </is>
      </c>
      <c r="C24" s="4" t="inlineStr">
        <is>
          <t>Lactobacillus</t>
        </is>
      </c>
      <c r="D24" s="4" t="inlineStr">
        <is>
          <t>ATCC 33820</t>
        </is>
      </c>
      <c r="E24" s="4" t="inlineStr">
        <is>
          <t>CST I</t>
        </is>
      </c>
      <c r="F24" s="4" t="n">
        <v>190</v>
      </c>
      <c r="G24" s="4" t="n">
        <v>91</v>
      </c>
      <c r="H24" s="4" t="n">
        <v>95</v>
      </c>
      <c r="I24" s="4" t="n">
        <v>91</v>
      </c>
      <c r="J24" s="4" t="n">
        <v>88</v>
      </c>
      <c r="K24" s="4" t="n">
        <v>93</v>
      </c>
      <c r="L24" s="4" t="n">
        <v>96</v>
      </c>
      <c r="M24" s="4">
        <f>IF(COUNT(G24:L24)=0,"无法预测",MIN(G24:L24))</f>
        <v/>
      </c>
    </row>
    <row r="25">
      <c r="A25" s="4" t="inlineStr">
        <is>
          <t>生殖道</t>
        </is>
      </c>
      <c r="B25" s="4" t="inlineStr">
        <is>
          <t>Lactobacillus iners</t>
        </is>
      </c>
      <c r="C25" s="4" t="inlineStr">
        <is>
          <t>Lactobacillus</t>
        </is>
      </c>
      <c r="D25" s="4" t="inlineStr">
        <is>
          <t>ATCC 55195</t>
        </is>
      </c>
      <c r="E25" s="4" t="inlineStr">
        <is>
          <t>CST III；A4 约 88%</t>
        </is>
      </c>
      <c r="F25" s="4" t="n">
        <v>190</v>
      </c>
      <c r="G25" s="4" t="n">
        <v>91</v>
      </c>
      <c r="H25" s="4" t="n">
        <v>95</v>
      </c>
      <c r="I25" s="4" t="n">
        <v>91</v>
      </c>
      <c r="J25" s="4" t="n">
        <v>88</v>
      </c>
      <c r="K25" s="4" t="n">
        <v>93</v>
      </c>
      <c r="L25" s="4" t="n">
        <v>96</v>
      </c>
      <c r="M25" s="4">
        <f>IF(COUNT(G25:L25)=0,"无法预测",MIN(G25:L25))</f>
        <v/>
      </c>
    </row>
    <row r="26">
      <c r="A26" s="4" t="inlineStr">
        <is>
          <t>生殖道</t>
        </is>
      </c>
      <c r="B26" s="4" t="inlineStr">
        <is>
          <t>Gardnerella vaginalis</t>
        </is>
      </c>
      <c r="C26" s="4" t="inlineStr">
        <is>
          <t>Gardnerella</t>
        </is>
      </c>
      <c r="D26" s="4" t="inlineStr">
        <is>
          <t>ATCC 14018</t>
        </is>
      </c>
      <c r="E26" s="4" t="inlineStr">
        <is>
          <t>CST IV（GG 仅 1 条，无法预测）</t>
        </is>
      </c>
      <c r="F26" s="4" t="n">
        <v>1</v>
      </c>
      <c r="G26" s="4" t="n"/>
      <c r="H26" s="4" t="n"/>
      <c r="I26" s="4" t="n"/>
      <c r="J26" s="4" t="n"/>
      <c r="K26" s="4" t="n"/>
      <c r="L26" s="4" t="n"/>
      <c r="M26" s="4">
        <f>IF(COUNT(G26:L26)=0,"无法预测",MIN(G26:L26))</f>
        <v/>
      </c>
    </row>
    <row r="27">
      <c r="A27" s="4" t="inlineStr">
        <is>
          <t>生殖道</t>
        </is>
      </c>
      <c r="B27" s="4" t="inlineStr">
        <is>
          <t>Lactobacillus gasseri</t>
        </is>
      </c>
      <c r="C27" s="4" t="inlineStr">
        <is>
          <t>Lactobacillus</t>
        </is>
      </c>
      <c r="D27" s="4" t="inlineStr">
        <is>
          <t>ATCC 33323</t>
        </is>
      </c>
      <c r="E27" s="4" t="inlineStr">
        <is>
          <t>CST II</t>
        </is>
      </c>
      <c r="F27" s="4" t="n">
        <v>190</v>
      </c>
      <c r="G27" s="4" t="n">
        <v>91</v>
      </c>
      <c r="H27" s="4" t="n">
        <v>95</v>
      </c>
      <c r="I27" s="4" t="n">
        <v>91</v>
      </c>
      <c r="J27" s="4" t="n">
        <v>88</v>
      </c>
      <c r="K27" s="4" t="n">
        <v>93</v>
      </c>
      <c r="L27" s="4" t="n">
        <v>96</v>
      </c>
      <c r="M27" s="4">
        <f>IF(COUNT(G27:L27)=0,"无法预测",MIN(G27:L27))</f>
        <v/>
      </c>
    </row>
    <row r="28">
      <c r="A28" s="4" t="inlineStr">
        <is>
          <t>生殖道</t>
        </is>
      </c>
      <c r="B28" s="4" t="inlineStr">
        <is>
          <t>Atopobium vaginae（现称 Fannyhessea）</t>
        </is>
      </c>
      <c r="C28" s="4" t="inlineStr">
        <is>
          <t>Atopobium</t>
        </is>
      </c>
      <c r="D28" s="4" t="inlineStr">
        <is>
          <t>ATCC BAA-55</t>
        </is>
      </c>
      <c r="E28" s="4" t="inlineStr">
        <is>
          <t>BV 相关；A2 约 60%（GG 仅 5 条）。本次文献检索未核实其重要性</t>
        </is>
      </c>
      <c r="F28" s="4" t="n">
        <v>5</v>
      </c>
      <c r="G28" s="4" t="n">
        <v>100</v>
      </c>
      <c r="H28" s="5" t="n">
        <v>60</v>
      </c>
      <c r="I28" s="4" t="n">
        <v>80</v>
      </c>
      <c r="J28" s="4" t="n">
        <v>100</v>
      </c>
      <c r="K28" s="4" t="n">
        <v>100</v>
      </c>
      <c r="L28" s="4" t="n">
        <v>80</v>
      </c>
      <c r="M28" s="4">
        <f>IF(COUNT(G28:L28)=0,"无法预测",MIN(G28:L28))</f>
        <v/>
      </c>
    </row>
    <row r="29">
      <c r="A29" s="4" t="inlineStr">
        <is>
          <t>生殖道</t>
        </is>
      </c>
      <c r="B29" s="4" t="inlineStr">
        <is>
          <t>Prevotella bivia</t>
        </is>
      </c>
      <c r="C29" s="4" t="inlineStr">
        <is>
          <t>Prevotella</t>
        </is>
      </c>
      <c r="D29" s="4" t="inlineStr">
        <is>
          <t>ATCC 29303</t>
        </is>
      </c>
      <c r="E29" s="4" t="inlineStr">
        <is>
          <t>BV 相关</t>
        </is>
      </c>
      <c r="F29" s="4" t="n">
        <v>386</v>
      </c>
      <c r="G29" s="4" t="n">
        <v>87</v>
      </c>
      <c r="H29" s="4" t="n">
        <v>96</v>
      </c>
      <c r="I29" s="4" t="n">
        <v>97</v>
      </c>
      <c r="J29" s="4" t="n">
        <v>96</v>
      </c>
      <c r="K29" s="4" t="n">
        <v>97</v>
      </c>
      <c r="L29" s="4" t="n">
        <v>95</v>
      </c>
      <c r="M29" s="4">
        <f>IF(COUNT(G29:L29)=0,"无法预测",MIN(G29:L29))</f>
        <v/>
      </c>
    </row>
    <row r="30">
      <c r="A30" s="4" t="inlineStr">
        <is>
          <t>生殖道</t>
        </is>
      </c>
      <c r="B30" s="4" t="inlineStr">
        <is>
          <t>Sneathia amnii</t>
        </is>
      </c>
      <c r="C30" s="4" t="inlineStr">
        <is>
          <t>Sneathia</t>
        </is>
      </c>
      <c r="D30" s="4" t="inlineStr">
        <is>
          <t>待查（DSMZ/ATCC）</t>
        </is>
      </c>
      <c r="E30" s="4" t="inlineStr">
        <is>
          <t>BV 相关，难培养；GG 仅 1 条。可选，本次文献检索未核实其重要性</t>
        </is>
      </c>
      <c r="F30" s="4" t="n">
        <v>1</v>
      </c>
      <c r="G30" s="4" t="n"/>
      <c r="H30" s="4" t="n"/>
      <c r="I30" s="4" t="n"/>
      <c r="J30" s="4" t="n"/>
      <c r="K30" s="4" t="n"/>
      <c r="L30" s="4" t="n"/>
      <c r="M30" s="4">
        <f>IF(COUNT(G30:L30)=0,"无法预测",MIN(G30:L30))</f>
        <v/>
      </c>
    </row>
    <row r="31">
      <c r="A31" s="4" t="inlineStr">
        <is>
          <t>生殖道</t>
        </is>
      </c>
      <c r="B31" s="4" t="inlineStr">
        <is>
          <t>Ureaplasma parvum</t>
        </is>
      </c>
      <c r="C31" s="4" t="inlineStr">
        <is>
          <t>Ureaplasma</t>
        </is>
      </c>
      <c r="D31" s="4" t="inlineStr">
        <is>
          <t>ATCC 700970</t>
        </is>
      </c>
      <c r="E31" s="4" t="inlineStr">
        <is>
          <t>哨兵：支原体科；A1 约 75%，R954 位点曾 0% → 补充引物 A4-R.4s/.5s</t>
        </is>
      </c>
      <c r="F31" s="4" t="n">
        <v>7</v>
      </c>
      <c r="G31" s="5" t="n">
        <v>75</v>
      </c>
      <c r="H31" s="4" t="n">
        <v>100</v>
      </c>
      <c r="I31" s="4" t="n">
        <v>86</v>
      </c>
      <c r="J31" s="4" t="n">
        <v>86</v>
      </c>
      <c r="K31" s="4" t="n">
        <v>86</v>
      </c>
      <c r="L31" s="4" t="n">
        <v>100</v>
      </c>
      <c r="M31" s="4">
        <f>IF(COUNT(G31:L31)=0,"无法预测",MIN(G31:L31))</f>
        <v/>
      </c>
    </row>
    <row r="32">
      <c r="A32" s="4" t="inlineStr">
        <is>
          <t>生殖道</t>
        </is>
      </c>
      <c r="B32" s="4" t="inlineStr">
        <is>
          <t>Mycoplasma hominis</t>
        </is>
      </c>
      <c r="C32" s="4" t="inlineStr">
        <is>
          <t>Mycoplasma</t>
        </is>
      </c>
      <c r="D32" s="4" t="inlineStr">
        <is>
          <t>ATCC 23114</t>
        </is>
      </c>
      <c r="E32" s="4" t="inlineStr">
        <is>
          <t>哨兵：支原体；难培养，可订购 gDNA</t>
        </is>
      </c>
      <c r="F32" s="4" t="n">
        <v>92</v>
      </c>
      <c r="G32" s="5" t="n">
        <v>74</v>
      </c>
      <c r="H32" s="5" t="n">
        <v>77</v>
      </c>
      <c r="I32" s="4" t="n">
        <v>99</v>
      </c>
      <c r="J32" s="4" t="n">
        <v>93</v>
      </c>
      <c r="K32" s="4" t="n">
        <v>83</v>
      </c>
      <c r="L32" s="4" t="n">
        <v>93</v>
      </c>
      <c r="M32" s="4">
        <f>IF(COUNT(G32:L32)=0,"无法预测",MIN(G32:L32))</f>
        <v/>
      </c>
    </row>
    <row r="33">
      <c r="A33" s="4" t="inlineStr">
        <is>
          <t>生殖道</t>
        </is>
      </c>
      <c r="B33" s="4" t="inlineStr">
        <is>
          <t>Lactobacillus jensenii</t>
        </is>
      </c>
      <c r="C33" s="4" t="inlineStr">
        <is>
          <t>Lactobacillus</t>
        </is>
      </c>
      <c r="D33" s="4" t="inlineStr">
        <is>
          <t>ATCC 25258</t>
        </is>
      </c>
      <c r="E33" s="4" t="inlineStr">
        <is>
          <t>CST V</t>
        </is>
      </c>
      <c r="F33" s="4" t="n">
        <v>190</v>
      </c>
      <c r="G33" s="4" t="n">
        <v>91</v>
      </c>
      <c r="H33" s="4" t="n">
        <v>95</v>
      </c>
      <c r="I33" s="4" t="n">
        <v>91</v>
      </c>
      <c r="J33" s="4" t="n">
        <v>88</v>
      </c>
      <c r="K33" s="4" t="n">
        <v>93</v>
      </c>
      <c r="L33" s="4" t="n">
        <v>96</v>
      </c>
      <c r="M33" s="4">
        <f>IF(COUNT(G33:L33)=0,"无法预测",MIN(G33:L33))</f>
        <v/>
      </c>
    </row>
    <row r="34">
      <c r="A34" s="4" t="inlineStr">
        <is>
          <t>生殖道</t>
        </is>
      </c>
      <c r="B34" s="4" t="inlineStr">
        <is>
          <t>Streptococcus agalactiae</t>
        </is>
      </c>
      <c r="C34" s="4" t="inlineStr">
        <is>
          <t>Streptococcus</t>
        </is>
      </c>
      <c r="D34" s="4" t="inlineStr">
        <is>
          <t>ATCC 13813</t>
        </is>
      </c>
      <c r="E34" s="4" t="inlineStr">
        <is>
          <t>生殖道常见；A4/A5 约 80%</t>
        </is>
      </c>
      <c r="F34" s="4" t="n">
        <v>127</v>
      </c>
      <c r="G34" s="4" t="n">
        <v>86</v>
      </c>
      <c r="H34" s="4" t="n">
        <v>93</v>
      </c>
      <c r="I34" s="4" t="n">
        <v>87</v>
      </c>
      <c r="J34" s="4" t="n">
        <v>81</v>
      </c>
      <c r="K34" s="4" t="n">
        <v>80</v>
      </c>
      <c r="L34" s="4" t="n">
        <v>93</v>
      </c>
      <c r="M34" s="4">
        <f>IF(COUNT(G34:L34)=0,"无法预测",MIN(G34:L34))</f>
        <v/>
      </c>
    </row>
    <row r="36">
      <c r="A36" s="4" t="inlineStr">
        <is>
          <t>黄色 = 预测匹配率 &lt;80%（该菌在该扩增子上最可能掉队）。空白 = GG 中序列太少或无数据。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6" customWidth="1" min="4" max="4"/>
    <col width="18" customWidth="1" min="5" max="5"/>
    <col width="16" customWidth="1" min="6" max="6"/>
    <col width="18" customWidth="1" min="7" max="7"/>
    <col width="18" customWidth="1" min="8" max="8"/>
  </cols>
  <sheetData>
    <row r="1">
      <c r="A1" s="6" t="inlineStr">
        <is>
          <t>每个反应的总 16S 拷贝数</t>
        </is>
      </c>
      <c r="B1" s="7" t="n">
        <v>100000</v>
      </c>
      <c r="D1" s="4" t="inlineStr">
        <is>
          <t>说明：蓝色为输入。阶梯 % 为 16S 拷贝数占比；均衡 % = 100 / 该群落菌种数。ng = 目标拷贝数 / rrn × 基因组大小(bp) × 分子量 / 阿伏伽德罗常数 × 1e9。</t>
        </is>
      </c>
    </row>
    <row r="2">
      <c r="A2" t="inlineStr">
        <is>
          <t>阿伏伽德罗常数</t>
        </is>
      </c>
      <c r="B2" s="8" t="n">
        <v>6.022e+23</v>
      </c>
    </row>
    <row r="3">
      <c r="A3" t="inlineStr">
        <is>
          <t>单碱基对分子量 g/mol</t>
        </is>
      </c>
      <c r="B3" s="9" t="n">
        <v>650</v>
      </c>
    </row>
    <row r="5">
      <c r="A5" s="3" t="inlineStr">
        <is>
          <t>群落</t>
        </is>
      </c>
      <c r="B5" s="3" t="inlineStr">
        <is>
          <t>菌种</t>
        </is>
      </c>
      <c r="C5" s="3" t="inlineStr">
        <is>
          <t>阶梯 %（16S 拷贝）</t>
        </is>
      </c>
      <c r="D5" s="3" t="inlineStr">
        <is>
          <t>均衡 %（16S 拷贝）</t>
        </is>
      </c>
      <c r="E5" s="3" t="inlineStr">
        <is>
          <t>基因组大小 Mb（可改）</t>
        </is>
      </c>
      <c r="F5" s="3" t="inlineStr">
        <is>
          <t>rrn 拷贝数（可改）</t>
        </is>
      </c>
      <c r="G5" s="3" t="inlineStr">
        <is>
          <t>阶梯配方 gDNA ng</t>
        </is>
      </c>
      <c r="H5" s="3" t="inlineStr">
        <is>
          <t>均衡配方 gDNA ng</t>
        </is>
      </c>
    </row>
    <row r="6">
      <c r="A6" s="4" t="inlineStr">
        <is>
          <t>肠道</t>
        </is>
      </c>
      <c r="B6" s="4" t="inlineStr">
        <is>
          <t>Bacteroides fragilis</t>
        </is>
      </c>
      <c r="C6" s="9" t="n">
        <v>25</v>
      </c>
      <c r="D6" s="10">
        <f>100/COUNTIF($A$6:$A$38,A6)</f>
        <v/>
      </c>
      <c r="E6" s="11" t="n"/>
      <c r="F6" s="11" t="n"/>
      <c r="G6" s="12">
        <f>IF(AND(ISNUMBER(E6),ISNUMBER(F6)),C6/100*$B$1/F6*E6*1000000*$B$3/$B$2*1000000000,"待填")</f>
        <v/>
      </c>
      <c r="H6" s="12">
        <f>IF(AND(ISNUMBER(E6),ISNUMBER(F6)),D6/100*$B$1/F6*E6*1000000*$B$3/$B$2*1000000000,"待填")</f>
        <v/>
      </c>
    </row>
    <row r="7">
      <c r="A7" s="4" t="inlineStr">
        <is>
          <t>肠道</t>
        </is>
      </c>
      <c r="B7" s="4" t="inlineStr">
        <is>
          <t>Faecalibacterium prausnitzii</t>
        </is>
      </c>
      <c r="C7" s="9" t="n">
        <v>18</v>
      </c>
      <c r="D7" s="10">
        <f>100/COUNTIF($A$6:$A$38,A7)</f>
        <v/>
      </c>
      <c r="E7" s="11" t="n"/>
      <c r="F7" s="11" t="n"/>
      <c r="G7" s="12">
        <f>IF(AND(ISNUMBER(E7),ISNUMBER(F7)),C7/100*$B$1/F7*E7*1000000*$B$3/$B$2*1000000000,"待填")</f>
        <v/>
      </c>
      <c r="H7" s="12">
        <f>IF(AND(ISNUMBER(E7),ISNUMBER(F7)),D7/100*$B$1/F7*E7*1000000*$B$3/$B$2*1000000000,"待填")</f>
        <v/>
      </c>
    </row>
    <row r="8">
      <c r="A8" s="4" t="inlineStr">
        <is>
          <t>肠道</t>
        </is>
      </c>
      <c r="B8" s="4" t="inlineStr">
        <is>
          <t>Blautia obeum</t>
        </is>
      </c>
      <c r="C8" s="9" t="n">
        <v>16</v>
      </c>
      <c r="D8" s="10">
        <f>100/COUNTIF($A$6:$A$38,A8)</f>
        <v/>
      </c>
      <c r="E8" s="11" t="n"/>
      <c r="F8" s="11" t="n"/>
      <c r="G8" s="12">
        <f>IF(AND(ISNUMBER(E8),ISNUMBER(F8)),C8/100*$B$1/F8*E8*1000000*$B$3/$B$2*1000000000,"待填")</f>
        <v/>
      </c>
      <c r="H8" s="12">
        <f>IF(AND(ISNUMBER(E8),ISNUMBER(F8)),D8/100*$B$1/F8*E8*1000000*$B$3/$B$2*1000000000,"待填")</f>
        <v/>
      </c>
    </row>
    <row r="9">
      <c r="A9" s="4" t="inlineStr">
        <is>
          <t>肠道</t>
        </is>
      </c>
      <c r="B9" s="4" t="inlineStr">
        <is>
          <t>Prevotella copri</t>
        </is>
      </c>
      <c r="C9" s="9" t="n">
        <v>12</v>
      </c>
      <c r="D9" s="10">
        <f>100/COUNTIF($A$6:$A$38,A9)</f>
        <v/>
      </c>
      <c r="E9" s="11" t="n"/>
      <c r="F9" s="11" t="n"/>
      <c r="G9" s="12">
        <f>IF(AND(ISNUMBER(E9),ISNUMBER(F9)),C9/100*$B$1/F9*E9*1000000*$B$3/$B$2*1000000000,"待填")</f>
        <v/>
      </c>
      <c r="H9" s="12">
        <f>IF(AND(ISNUMBER(E9),ISNUMBER(F9)),D9/100*$B$1/F9*E9*1000000*$B$3/$B$2*1000000000,"待填")</f>
        <v/>
      </c>
    </row>
    <row r="10">
      <c r="A10" s="4" t="inlineStr">
        <is>
          <t>肠道</t>
        </is>
      </c>
      <c r="B10" s="4" t="inlineStr">
        <is>
          <t>Escherichia coli</t>
        </is>
      </c>
      <c r="C10" s="9" t="n">
        <v>8</v>
      </c>
      <c r="D10" s="10">
        <f>100/COUNTIF($A$6:$A$38,A10)</f>
        <v/>
      </c>
      <c r="E10" s="9" t="n">
        <v>4.64</v>
      </c>
      <c r="F10" s="9" t="n">
        <v>7</v>
      </c>
      <c r="G10" s="12">
        <f>IF(AND(ISNUMBER(E10),ISNUMBER(F10)),C10/100*$B$1/F10*E10*1000000*$B$3/$B$2*1000000000,"待填")</f>
        <v/>
      </c>
      <c r="H10" s="12">
        <f>IF(AND(ISNUMBER(E10),ISNUMBER(F10)),D10/100*$B$1/F10*E10*1000000*$B$3/$B$2*1000000000,"待填")</f>
        <v/>
      </c>
    </row>
    <row r="11">
      <c r="A11" s="4" t="inlineStr">
        <is>
          <t>肠道</t>
        </is>
      </c>
      <c r="B11" s="4" t="inlineStr">
        <is>
          <t>Bifidobacterium longum</t>
        </is>
      </c>
      <c r="C11" s="9" t="n">
        <v>6</v>
      </c>
      <c r="D11" s="10">
        <f>100/COUNTIF($A$6:$A$38,A11)</f>
        <v/>
      </c>
      <c r="E11" s="11" t="n"/>
      <c r="F11" s="11" t="n"/>
      <c r="G11" s="12">
        <f>IF(AND(ISNUMBER(E11),ISNUMBER(F11)),C11/100*$B$1/F11*E11*1000000*$B$3/$B$2*1000000000,"待填")</f>
        <v/>
      </c>
      <c r="H11" s="12">
        <f>IF(AND(ISNUMBER(E11),ISNUMBER(F11)),D11/100*$B$1/F11*E11*1000000*$B$3/$B$2*1000000000,"待填")</f>
        <v/>
      </c>
    </row>
    <row r="12">
      <c r="A12" s="4" t="inlineStr">
        <is>
          <t>肠道</t>
        </is>
      </c>
      <c r="B12" s="4" t="inlineStr">
        <is>
          <t>Roseburia intestinalis</t>
        </is>
      </c>
      <c r="C12" s="9" t="n">
        <v>5</v>
      </c>
      <c r="D12" s="10">
        <f>100/COUNTIF($A$6:$A$38,A12)</f>
        <v/>
      </c>
      <c r="E12" s="11" t="n"/>
      <c r="F12" s="11" t="n"/>
      <c r="G12" s="12">
        <f>IF(AND(ISNUMBER(E12),ISNUMBER(F12)),C12/100*$B$1/F12*E12*1000000*$B$3/$B$2*1000000000,"待填")</f>
        <v/>
      </c>
      <c r="H12" s="12">
        <f>IF(AND(ISNUMBER(E12),ISNUMBER(F12)),D12/100*$B$1/F12*E12*1000000*$B$3/$B$2*1000000000,"待填")</f>
        <v/>
      </c>
    </row>
    <row r="13">
      <c r="A13" s="4" t="inlineStr">
        <is>
          <t>肠道</t>
        </is>
      </c>
      <c r="B13" s="4" t="inlineStr">
        <is>
          <t>Akkermansia muciniphila</t>
        </is>
      </c>
      <c r="C13" s="9" t="n">
        <v>4</v>
      </c>
      <c r="D13" s="10">
        <f>100/COUNTIF($A$6:$A$38,A13)</f>
        <v/>
      </c>
      <c r="E13" s="11" t="n"/>
      <c r="F13" s="11" t="n"/>
      <c r="G13" s="12">
        <f>IF(AND(ISNUMBER(E13),ISNUMBER(F13)),C13/100*$B$1/F13*E13*1000000*$B$3/$B$2*1000000000,"待填")</f>
        <v/>
      </c>
      <c r="H13" s="12">
        <f>IF(AND(ISNUMBER(E13),ISNUMBER(F13)),D13/100*$B$1/F13*E13*1000000*$B$3/$B$2*1000000000,"待填")</f>
        <v/>
      </c>
    </row>
    <row r="14">
      <c r="A14" s="4" t="inlineStr">
        <is>
          <t>肠道</t>
        </is>
      </c>
      <c r="B14" s="4" t="inlineStr">
        <is>
          <t>Veillonella parvula</t>
        </is>
      </c>
      <c r="C14" s="9" t="n">
        <v>3</v>
      </c>
      <c r="D14" s="10">
        <f>100/COUNTIF($A$6:$A$38,A14)</f>
        <v/>
      </c>
      <c r="E14" s="11" t="n"/>
      <c r="F14" s="11" t="n"/>
      <c r="G14" s="12">
        <f>IF(AND(ISNUMBER(E14),ISNUMBER(F14)),C14/100*$B$1/F14*E14*1000000*$B$3/$B$2*1000000000,"待填")</f>
        <v/>
      </c>
      <c r="H14" s="12">
        <f>IF(AND(ISNUMBER(E14),ISNUMBER(F14)),D14/100*$B$1/F14*E14*1000000*$B$3/$B$2*1000000000,"待填")</f>
        <v/>
      </c>
    </row>
    <row r="15">
      <c r="A15" s="4" t="inlineStr">
        <is>
          <t>肠道</t>
        </is>
      </c>
      <c r="B15" s="4" t="inlineStr">
        <is>
          <t>Ruminococcus bromii</t>
        </is>
      </c>
      <c r="C15" s="9" t="n">
        <v>2</v>
      </c>
      <c r="D15" s="10">
        <f>100/COUNTIF($A$6:$A$38,A15)</f>
        <v/>
      </c>
      <c r="E15" s="11" t="n"/>
      <c r="F15" s="11" t="n"/>
      <c r="G15" s="12">
        <f>IF(AND(ISNUMBER(E15),ISNUMBER(F15)),C15/100*$B$1/F15*E15*1000000*$B$3/$B$2*1000000000,"待填")</f>
        <v/>
      </c>
      <c r="H15" s="12">
        <f>IF(AND(ISNUMBER(E15),ISNUMBER(F15)),D15/100*$B$1/F15*E15*1000000*$B$3/$B$2*1000000000,"待填")</f>
        <v/>
      </c>
    </row>
    <row r="16">
      <c r="A16" s="4" t="inlineStr">
        <is>
          <t>肠道</t>
        </is>
      </c>
      <c r="B16" s="4" t="inlineStr">
        <is>
          <t>Methanobrevibacter smithii</t>
        </is>
      </c>
      <c r="C16" s="9" t="n">
        <v>1</v>
      </c>
      <c r="D16" s="10">
        <f>100/COUNTIF($A$6:$A$38,A16)</f>
        <v/>
      </c>
      <c r="E16" s="11" t="n"/>
      <c r="F16" s="11" t="n"/>
      <c r="G16" s="12">
        <f>IF(AND(ISNUMBER(E16),ISNUMBER(F16)),C16/100*$B$1/F16*E16*1000000*$B$3/$B$2*1000000000,"待填")</f>
        <v/>
      </c>
      <c r="H16" s="12">
        <f>IF(AND(ISNUMBER(E16),ISNUMBER(F16)),D16/100*$B$1/F16*E16*1000000*$B$3/$B$2*1000000000,"待填")</f>
        <v/>
      </c>
    </row>
    <row r="17">
      <c r="A17" s="4" t="inlineStr">
        <is>
          <t>呼吸道</t>
        </is>
      </c>
      <c r="B17" s="4" t="inlineStr">
        <is>
          <t>Streptococcus mitis</t>
        </is>
      </c>
      <c r="C17" s="9" t="n">
        <v>22</v>
      </c>
      <c r="D17" s="10">
        <f>100/COUNTIF($A$6:$A$38,A17)</f>
        <v/>
      </c>
      <c r="E17" s="11" t="n"/>
      <c r="F17" s="11" t="n"/>
      <c r="G17" s="12">
        <f>IF(AND(ISNUMBER(E17),ISNUMBER(F17)),C17/100*$B$1/F17*E17*1000000*$B$3/$B$2*1000000000,"待填")</f>
        <v/>
      </c>
      <c r="H17" s="12">
        <f>IF(AND(ISNUMBER(E17),ISNUMBER(F17)),D17/100*$B$1/F17*E17*1000000*$B$3/$B$2*1000000000,"待填")</f>
        <v/>
      </c>
    </row>
    <row r="18">
      <c r="A18" s="4" t="inlineStr">
        <is>
          <t>呼吸道</t>
        </is>
      </c>
      <c r="B18" s="4" t="inlineStr">
        <is>
          <t>Prevotella melaninogenica</t>
        </is>
      </c>
      <c r="C18" s="9" t="n">
        <v>15</v>
      </c>
      <c r="D18" s="10">
        <f>100/COUNTIF($A$6:$A$38,A18)</f>
        <v/>
      </c>
      <c r="E18" s="11" t="n"/>
      <c r="F18" s="11" t="n"/>
      <c r="G18" s="12">
        <f>IF(AND(ISNUMBER(E18),ISNUMBER(F18)),C18/100*$B$1/F18*E18*1000000*$B$3/$B$2*1000000000,"待填")</f>
        <v/>
      </c>
      <c r="H18" s="12">
        <f>IF(AND(ISNUMBER(E18),ISNUMBER(F18)),D18/100*$B$1/F18*E18*1000000*$B$3/$B$2*1000000000,"待填")</f>
        <v/>
      </c>
    </row>
    <row r="19">
      <c r="A19" s="4" t="inlineStr">
        <is>
          <t>呼吸道</t>
        </is>
      </c>
      <c r="B19" s="4" t="inlineStr">
        <is>
          <t>Veillonella parvula</t>
        </is>
      </c>
      <c r="C19" s="9" t="n">
        <v>13</v>
      </c>
      <c r="D19" s="10">
        <f>100/COUNTIF($A$6:$A$38,A19)</f>
        <v/>
      </c>
      <c r="E19" s="11" t="n"/>
      <c r="F19" s="11" t="n"/>
      <c r="G19" s="12">
        <f>IF(AND(ISNUMBER(E19),ISNUMBER(F19)),C19/100*$B$1/F19*E19*1000000*$B$3/$B$2*1000000000,"待填")</f>
        <v/>
      </c>
      <c r="H19" s="12">
        <f>IF(AND(ISNUMBER(E19),ISNUMBER(F19)),D19/100*$B$1/F19*E19*1000000*$B$3/$B$2*1000000000,"待填")</f>
        <v/>
      </c>
    </row>
    <row r="20">
      <c r="A20" s="4" t="inlineStr">
        <is>
          <t>呼吸道</t>
        </is>
      </c>
      <c r="B20" s="4" t="inlineStr">
        <is>
          <t>Haemophilus influenzae</t>
        </is>
      </c>
      <c r="C20" s="9" t="n">
        <v>12</v>
      </c>
      <c r="D20" s="10">
        <f>100/COUNTIF($A$6:$A$38,A20)</f>
        <v/>
      </c>
      <c r="E20" s="11" t="n"/>
      <c r="F20" s="11" t="n"/>
      <c r="G20" s="12">
        <f>IF(AND(ISNUMBER(E20),ISNUMBER(F20)),C20/100*$B$1/F20*E20*1000000*$B$3/$B$2*1000000000,"待填")</f>
        <v/>
      </c>
      <c r="H20" s="12">
        <f>IF(AND(ISNUMBER(E20),ISNUMBER(F20)),D20/100*$B$1/F20*E20*1000000*$B$3/$B$2*1000000000,"待填")</f>
        <v/>
      </c>
    </row>
    <row r="21">
      <c r="A21" s="4" t="inlineStr">
        <is>
          <t>呼吸道</t>
        </is>
      </c>
      <c r="B21" s="4" t="inlineStr">
        <is>
          <t>Staphylococcus epidermidis</t>
        </is>
      </c>
      <c r="C21" s="9" t="n">
        <v>10</v>
      </c>
      <c r="D21" s="10">
        <f>100/COUNTIF($A$6:$A$38,A21)</f>
        <v/>
      </c>
      <c r="E21" s="11" t="n"/>
      <c r="F21" s="11" t="n"/>
      <c r="G21" s="12">
        <f>IF(AND(ISNUMBER(E21),ISNUMBER(F21)),C21/100*$B$1/F21*E21*1000000*$B$3/$B$2*1000000000,"待填")</f>
        <v/>
      </c>
      <c r="H21" s="12">
        <f>IF(AND(ISNUMBER(E21),ISNUMBER(F21)),D21/100*$B$1/F21*E21*1000000*$B$3/$B$2*1000000000,"待填")</f>
        <v/>
      </c>
    </row>
    <row r="22">
      <c r="A22" s="4" t="inlineStr">
        <is>
          <t>呼吸道</t>
        </is>
      </c>
      <c r="B22" s="4" t="inlineStr">
        <is>
          <t>Corynebacterium pseudodiphtheriticum</t>
        </is>
      </c>
      <c r="C22" s="9" t="n">
        <v>8</v>
      </c>
      <c r="D22" s="10">
        <f>100/COUNTIF($A$6:$A$38,A22)</f>
        <v/>
      </c>
      <c r="E22" s="11" t="n"/>
      <c r="F22" s="11" t="n"/>
      <c r="G22" s="12">
        <f>IF(AND(ISNUMBER(E22),ISNUMBER(F22)),C22/100*$B$1/F22*E22*1000000*$B$3/$B$2*1000000000,"待填")</f>
        <v/>
      </c>
      <c r="H22" s="12">
        <f>IF(AND(ISNUMBER(E22),ISNUMBER(F22)),D22/100*$B$1/F22*E22*1000000*$B$3/$B$2*1000000000,"待填")</f>
        <v/>
      </c>
    </row>
    <row r="23">
      <c r="A23" s="4" t="inlineStr">
        <is>
          <t>呼吸道</t>
        </is>
      </c>
      <c r="B23" s="4" t="inlineStr">
        <is>
          <t>Moraxella catarrhalis</t>
        </is>
      </c>
      <c r="C23" s="9" t="n">
        <v>6</v>
      </c>
      <c r="D23" s="10">
        <f>100/COUNTIF($A$6:$A$38,A23)</f>
        <v/>
      </c>
      <c r="E23" s="11" t="n"/>
      <c r="F23" s="11" t="n"/>
      <c r="G23" s="12">
        <f>IF(AND(ISNUMBER(E23),ISNUMBER(F23)),C23/100*$B$1/F23*E23*1000000*$B$3/$B$2*1000000000,"待填")</f>
        <v/>
      </c>
      <c r="H23" s="12">
        <f>IF(AND(ISNUMBER(E23),ISNUMBER(F23)),D23/100*$B$1/F23*E23*1000000*$B$3/$B$2*1000000000,"待填")</f>
        <v/>
      </c>
    </row>
    <row r="24">
      <c r="A24" s="4" t="inlineStr">
        <is>
          <t>呼吸道</t>
        </is>
      </c>
      <c r="B24" s="4" t="inlineStr">
        <is>
          <t>Neisseria subflava</t>
        </is>
      </c>
      <c r="C24" s="9" t="n">
        <v>5</v>
      </c>
      <c r="D24" s="10">
        <f>100/COUNTIF($A$6:$A$38,A24)</f>
        <v/>
      </c>
      <c r="E24" s="11" t="n"/>
      <c r="F24" s="11" t="n"/>
      <c r="G24" s="12">
        <f>IF(AND(ISNUMBER(E24),ISNUMBER(F24)),C24/100*$B$1/F24*E24*1000000*$B$3/$B$2*1000000000,"待填")</f>
        <v/>
      </c>
      <c r="H24" s="12">
        <f>IF(AND(ISNUMBER(E24),ISNUMBER(F24)),D24/100*$B$1/F24*E24*1000000*$B$3/$B$2*1000000000,"待填")</f>
        <v/>
      </c>
    </row>
    <row r="25">
      <c r="A25" s="4" t="inlineStr">
        <is>
          <t>呼吸道</t>
        </is>
      </c>
      <c r="B25" s="4" t="inlineStr">
        <is>
          <t>Dolosigranulum pigrum</t>
        </is>
      </c>
      <c r="C25" s="9" t="n">
        <v>4</v>
      </c>
      <c r="D25" s="10">
        <f>100/COUNTIF($A$6:$A$38,A25)</f>
        <v/>
      </c>
      <c r="E25" s="11" t="n"/>
      <c r="F25" s="11" t="n"/>
      <c r="G25" s="12">
        <f>IF(AND(ISNUMBER(E25),ISNUMBER(F25)),C25/100*$B$1/F25*E25*1000000*$B$3/$B$2*1000000000,"待填")</f>
        <v/>
      </c>
      <c r="H25" s="12">
        <f>IF(AND(ISNUMBER(E25),ISNUMBER(F25)),D25/100*$B$1/F25*E25*1000000*$B$3/$B$2*1000000000,"待填")</f>
        <v/>
      </c>
    </row>
    <row r="26">
      <c r="A26" s="4" t="inlineStr">
        <is>
          <t>呼吸道</t>
        </is>
      </c>
      <c r="B26" s="4" t="inlineStr">
        <is>
          <t>Rothia mucilaginosa</t>
        </is>
      </c>
      <c r="C26" s="9" t="n">
        <v>3</v>
      </c>
      <c r="D26" s="10">
        <f>100/COUNTIF($A$6:$A$38,A26)</f>
        <v/>
      </c>
      <c r="E26" s="11" t="n"/>
      <c r="F26" s="11" t="n"/>
      <c r="G26" s="12">
        <f>IF(AND(ISNUMBER(E26),ISNUMBER(F26)),C26/100*$B$1/F26*E26*1000000*$B$3/$B$2*1000000000,"待填")</f>
        <v/>
      </c>
      <c r="H26" s="12">
        <f>IF(AND(ISNUMBER(E26),ISNUMBER(F26)),D26/100*$B$1/F26*E26*1000000*$B$3/$B$2*1000000000,"待填")</f>
        <v/>
      </c>
    </row>
    <row r="27">
      <c r="A27" s="4" t="inlineStr">
        <is>
          <t>呼吸道</t>
        </is>
      </c>
      <c r="B27" s="4" t="inlineStr">
        <is>
          <t>Mycoplasma pneumoniae</t>
        </is>
      </c>
      <c r="C27" s="9" t="n">
        <v>2</v>
      </c>
      <c r="D27" s="10">
        <f>100/COUNTIF($A$6:$A$38,A27)</f>
        <v/>
      </c>
      <c r="E27" s="11" t="n"/>
      <c r="F27" s="11" t="n"/>
      <c r="G27" s="12">
        <f>IF(AND(ISNUMBER(E27),ISNUMBER(F27)),C27/100*$B$1/F27*E27*1000000*$B$3/$B$2*1000000000,"待填")</f>
        <v/>
      </c>
      <c r="H27" s="12">
        <f>IF(AND(ISNUMBER(E27),ISNUMBER(F27)),D27/100*$B$1/F27*E27*1000000*$B$3/$B$2*1000000000,"待填")</f>
        <v/>
      </c>
    </row>
    <row r="28">
      <c r="A28" s="4" t="inlineStr">
        <is>
          <t>生殖道</t>
        </is>
      </c>
      <c r="B28" s="4" t="inlineStr">
        <is>
          <t>Lactobacillus crispatus</t>
        </is>
      </c>
      <c r="C28" s="9" t="n">
        <v>30</v>
      </c>
      <c r="D28" s="10">
        <f>100/COUNTIF($A$6:$A$38,A28)</f>
        <v/>
      </c>
      <c r="E28" s="11" t="n"/>
      <c r="F28" s="11" t="n"/>
      <c r="G28" s="12">
        <f>IF(AND(ISNUMBER(E28),ISNUMBER(F28)),C28/100*$B$1/F28*E28*1000000*$B$3/$B$2*1000000000,"待填")</f>
        <v/>
      </c>
      <c r="H28" s="12">
        <f>IF(AND(ISNUMBER(E28),ISNUMBER(F28)),D28/100*$B$1/F28*E28*1000000*$B$3/$B$2*1000000000,"待填")</f>
        <v/>
      </c>
    </row>
    <row r="29">
      <c r="A29" s="4" t="inlineStr">
        <is>
          <t>生殖道</t>
        </is>
      </c>
      <c r="B29" s="4" t="inlineStr">
        <is>
          <t>Lactobacillus iners</t>
        </is>
      </c>
      <c r="C29" s="9" t="n">
        <v>20</v>
      </c>
      <c r="D29" s="10">
        <f>100/COUNTIF($A$6:$A$38,A29)</f>
        <v/>
      </c>
      <c r="E29" s="11" t="n"/>
      <c r="F29" s="11" t="n"/>
      <c r="G29" s="12">
        <f>IF(AND(ISNUMBER(E29),ISNUMBER(F29)),C29/100*$B$1/F29*E29*1000000*$B$3/$B$2*1000000000,"待填")</f>
        <v/>
      </c>
      <c r="H29" s="12">
        <f>IF(AND(ISNUMBER(E29),ISNUMBER(F29)),D29/100*$B$1/F29*E29*1000000*$B$3/$B$2*1000000000,"待填")</f>
        <v/>
      </c>
    </row>
    <row r="30">
      <c r="A30" s="4" t="inlineStr">
        <is>
          <t>生殖道</t>
        </is>
      </c>
      <c r="B30" s="4" t="inlineStr">
        <is>
          <t>Gardnerella vaginalis</t>
        </is>
      </c>
      <c r="C30" s="9" t="n">
        <v>12</v>
      </c>
      <c r="D30" s="10">
        <f>100/COUNTIF($A$6:$A$38,A30)</f>
        <v/>
      </c>
      <c r="E30" s="11" t="n"/>
      <c r="F30" s="11" t="n"/>
      <c r="G30" s="12">
        <f>IF(AND(ISNUMBER(E30),ISNUMBER(F30)),C30/100*$B$1/F30*E30*1000000*$B$3/$B$2*1000000000,"待填")</f>
        <v/>
      </c>
      <c r="H30" s="12">
        <f>IF(AND(ISNUMBER(E30),ISNUMBER(F30)),D30/100*$B$1/F30*E30*1000000*$B$3/$B$2*1000000000,"待填")</f>
        <v/>
      </c>
    </row>
    <row r="31">
      <c r="A31" s="4" t="inlineStr">
        <is>
          <t>生殖道</t>
        </is>
      </c>
      <c r="B31" s="4" t="inlineStr">
        <is>
          <t>Lactobacillus gasseri</t>
        </is>
      </c>
      <c r="C31" s="9" t="n">
        <v>8</v>
      </c>
      <c r="D31" s="10">
        <f>100/COUNTIF($A$6:$A$38,A31)</f>
        <v/>
      </c>
      <c r="E31" s="11" t="n"/>
      <c r="F31" s="11" t="n"/>
      <c r="G31" s="12">
        <f>IF(AND(ISNUMBER(E31),ISNUMBER(F31)),C31/100*$B$1/F31*E31*1000000*$B$3/$B$2*1000000000,"待填")</f>
        <v/>
      </c>
      <c r="H31" s="12">
        <f>IF(AND(ISNUMBER(E31),ISNUMBER(F31)),D31/100*$B$1/F31*E31*1000000*$B$3/$B$2*1000000000,"待填")</f>
        <v/>
      </c>
    </row>
    <row r="32">
      <c r="A32" s="4" t="inlineStr">
        <is>
          <t>生殖道</t>
        </is>
      </c>
      <c r="B32" s="4" t="inlineStr">
        <is>
          <t>Atopobium vaginae（现称 Fannyhessea）</t>
        </is>
      </c>
      <c r="C32" s="9" t="n">
        <v>7</v>
      </c>
      <c r="D32" s="10">
        <f>100/COUNTIF($A$6:$A$38,A32)</f>
        <v/>
      </c>
      <c r="E32" s="11" t="n"/>
      <c r="F32" s="11" t="n"/>
      <c r="G32" s="12">
        <f>IF(AND(ISNUMBER(E32),ISNUMBER(F32)),C32/100*$B$1/F32*E32*1000000*$B$3/$B$2*1000000000,"待填")</f>
        <v/>
      </c>
      <c r="H32" s="12">
        <f>IF(AND(ISNUMBER(E32),ISNUMBER(F32)),D32/100*$B$1/F32*E32*1000000*$B$3/$B$2*1000000000,"待填")</f>
        <v/>
      </c>
    </row>
    <row r="33">
      <c r="A33" s="4" t="inlineStr">
        <is>
          <t>生殖道</t>
        </is>
      </c>
      <c r="B33" s="4" t="inlineStr">
        <is>
          <t>Prevotella bivia</t>
        </is>
      </c>
      <c r="C33" s="9" t="n">
        <v>6</v>
      </c>
      <c r="D33" s="10">
        <f>100/COUNTIF($A$6:$A$38,A33)</f>
        <v/>
      </c>
      <c r="E33" s="11" t="n"/>
      <c r="F33" s="11" t="n"/>
      <c r="G33" s="12">
        <f>IF(AND(ISNUMBER(E33),ISNUMBER(F33)),C33/100*$B$1/F33*E33*1000000*$B$3/$B$2*1000000000,"待填")</f>
        <v/>
      </c>
      <c r="H33" s="12">
        <f>IF(AND(ISNUMBER(E33),ISNUMBER(F33)),D33/100*$B$1/F33*E33*1000000*$B$3/$B$2*1000000000,"待填")</f>
        <v/>
      </c>
    </row>
    <row r="34">
      <c r="A34" s="4" t="inlineStr">
        <is>
          <t>生殖道</t>
        </is>
      </c>
      <c r="B34" s="4" t="inlineStr">
        <is>
          <t>Sneathia amnii</t>
        </is>
      </c>
      <c r="C34" s="9" t="n">
        <v>5</v>
      </c>
      <c r="D34" s="10">
        <f>100/COUNTIF($A$6:$A$38,A34)</f>
        <v/>
      </c>
      <c r="E34" s="11" t="n"/>
      <c r="F34" s="11" t="n"/>
      <c r="G34" s="12">
        <f>IF(AND(ISNUMBER(E34),ISNUMBER(F34)),C34/100*$B$1/F34*E34*1000000*$B$3/$B$2*1000000000,"待填")</f>
        <v/>
      </c>
      <c r="H34" s="12">
        <f>IF(AND(ISNUMBER(E34),ISNUMBER(F34)),D34/100*$B$1/F34*E34*1000000*$B$3/$B$2*1000000000,"待填")</f>
        <v/>
      </c>
    </row>
    <row r="35">
      <c r="A35" s="4" t="inlineStr">
        <is>
          <t>生殖道</t>
        </is>
      </c>
      <c r="B35" s="4" t="inlineStr">
        <is>
          <t>Ureaplasma parvum</t>
        </is>
      </c>
      <c r="C35" s="9" t="n">
        <v>4</v>
      </c>
      <c r="D35" s="10">
        <f>100/COUNTIF($A$6:$A$38,A35)</f>
        <v/>
      </c>
      <c r="E35" s="11" t="n"/>
      <c r="F35" s="11" t="n"/>
      <c r="G35" s="12">
        <f>IF(AND(ISNUMBER(E35),ISNUMBER(F35)),C35/100*$B$1/F35*E35*1000000*$B$3/$B$2*1000000000,"待填")</f>
        <v/>
      </c>
      <c r="H35" s="12">
        <f>IF(AND(ISNUMBER(E35),ISNUMBER(F35)),D35/100*$B$1/F35*E35*1000000*$B$3/$B$2*1000000000,"待填")</f>
        <v/>
      </c>
    </row>
    <row r="36">
      <c r="A36" s="4" t="inlineStr">
        <is>
          <t>生殖道</t>
        </is>
      </c>
      <c r="B36" s="4" t="inlineStr">
        <is>
          <t>Mycoplasma hominis</t>
        </is>
      </c>
      <c r="C36" s="9" t="n">
        <v>3</v>
      </c>
      <c r="D36" s="10">
        <f>100/COUNTIF($A$6:$A$38,A36)</f>
        <v/>
      </c>
      <c r="E36" s="11" t="n"/>
      <c r="F36" s="11" t="n"/>
      <c r="G36" s="12">
        <f>IF(AND(ISNUMBER(E36),ISNUMBER(F36)),C36/100*$B$1/F36*E36*1000000*$B$3/$B$2*1000000000,"待填")</f>
        <v/>
      </c>
      <c r="H36" s="12">
        <f>IF(AND(ISNUMBER(E36),ISNUMBER(F36)),D36/100*$B$1/F36*E36*1000000*$B$3/$B$2*1000000000,"待填")</f>
        <v/>
      </c>
    </row>
    <row r="37">
      <c r="A37" s="4" t="inlineStr">
        <is>
          <t>生殖道</t>
        </is>
      </c>
      <c r="B37" s="4" t="inlineStr">
        <is>
          <t>Lactobacillus jensenii</t>
        </is>
      </c>
      <c r="C37" s="9" t="n">
        <v>3</v>
      </c>
      <c r="D37" s="10">
        <f>100/COUNTIF($A$6:$A$38,A37)</f>
        <v/>
      </c>
      <c r="E37" s="11" t="n"/>
      <c r="F37" s="11" t="n"/>
      <c r="G37" s="12">
        <f>IF(AND(ISNUMBER(E37),ISNUMBER(F37)),C37/100*$B$1/F37*E37*1000000*$B$3/$B$2*1000000000,"待填")</f>
        <v/>
      </c>
      <c r="H37" s="12">
        <f>IF(AND(ISNUMBER(E37),ISNUMBER(F37)),D37/100*$B$1/F37*E37*1000000*$B$3/$B$2*1000000000,"待填")</f>
        <v/>
      </c>
    </row>
    <row r="38">
      <c r="A38" s="4" t="inlineStr">
        <is>
          <t>生殖道</t>
        </is>
      </c>
      <c r="B38" s="4" t="inlineStr">
        <is>
          <t>Streptococcus agalactiae</t>
        </is>
      </c>
      <c r="C38" s="9" t="n">
        <v>2</v>
      </c>
      <c r="D38" s="10">
        <f>100/COUNTIF($A$6:$A$38,A38)</f>
        <v/>
      </c>
      <c r="E38" s="11" t="n"/>
      <c r="F38" s="11" t="n"/>
      <c r="G38" s="12">
        <f>IF(AND(ISNUMBER(E38),ISNUMBER(F38)),C38/100*$B$1/F38*E38*1000000*$B$3/$B$2*1000000000,"待填")</f>
        <v/>
      </c>
      <c r="H38" s="12">
        <f>IF(AND(ISNUMBER(E38),ISNUMBER(F38)),D38/100*$B$1/F38*E38*1000000*$B$3/$B$2*1000000000,"待填")</f>
        <v/>
      </c>
    </row>
    <row r="40">
      <c r="A40" s="6" t="inlineStr">
        <is>
          <t>肠道 阶梯 % 合计</t>
        </is>
      </c>
      <c r="C40" s="6">
        <f>SUMIF($A$6:$A$38,"肠道",C$6:C$38)</f>
        <v/>
      </c>
      <c r="D40" s="13">
        <f>SUMIF($A$6:$A$38,"肠道",D$6:D$38)</f>
        <v/>
      </c>
    </row>
    <row r="41">
      <c r="A41" s="6" t="inlineStr">
        <is>
          <t>呼吸道 阶梯 % 合计</t>
        </is>
      </c>
      <c r="C41" s="6">
        <f>SUMIF($A$6:$A$38,"呼吸道",C$6:C$38)</f>
        <v/>
      </c>
      <c r="D41" s="13">
        <f>SUMIF($A$6:$A$38,"呼吸道",D$6:D$38)</f>
        <v/>
      </c>
    </row>
    <row r="42">
      <c r="A42" s="6" t="inlineStr">
        <is>
          <t>生殖道 阶梯 % 合计</t>
        </is>
      </c>
      <c r="C42" s="6">
        <f>SUMIF($A$6:$A$38,"生殖道",C$6:C$38)</f>
        <v/>
      </c>
      <c r="D42" s="13">
        <f>SUMIF($A$6:$A$38,"生殖道",D$6:D$38)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2" customWidth="1" min="4" max="4"/>
    <col width="8" customWidth="1" min="5" max="5"/>
    <col width="8" customWidth="1" min="6" max="6"/>
    <col width="56" customWidth="1" min="7" max="7"/>
  </cols>
  <sheetData>
    <row r="1">
      <c r="A1" s="6" t="inlineStr">
        <is>
          <t>反应数统计</t>
        </is>
      </c>
    </row>
    <row r="2"/>
    <row r="3">
      <c r="A3" s="14" t="inlineStr">
        <is>
          <t>组</t>
        </is>
      </c>
      <c r="B3" s="14" t="inlineStr">
        <is>
          <t>群落/样本</t>
        </is>
      </c>
      <c r="C3" s="14" t="inlineStr">
        <is>
          <t>配方</t>
        </is>
      </c>
      <c r="D3" s="14" t="inlineStr">
        <is>
          <t>退火温度 °C</t>
        </is>
      </c>
      <c r="E3" s="14" t="inlineStr">
        <is>
          <t>重复数</t>
        </is>
      </c>
      <c r="F3" s="14" t="inlineStr">
        <is>
          <t>反应数</t>
        </is>
      </c>
      <c r="G3" s="14" t="inlineStr">
        <is>
          <t>目的</t>
        </is>
      </c>
    </row>
    <row r="4">
      <c r="A4" s="4" t="inlineStr">
        <is>
          <t>A 模拟菌群</t>
        </is>
      </c>
      <c r="B4" s="4" t="inlineStr">
        <is>
          <t>肠道模拟菌群</t>
        </is>
      </c>
      <c r="C4" s="4" t="inlineStr">
        <is>
          <t>阶梯</t>
        </is>
      </c>
      <c r="D4" s="4" t="n">
        <v>54</v>
      </c>
      <c r="E4" s="9" t="n">
        <v>3</v>
      </c>
      <c r="F4" s="4">
        <f>E4</f>
        <v/>
      </c>
      <c r="G4" s="4" t="inlineStr">
        <is>
          <t>扩增子比例与各菌回收率随温度的变化</t>
        </is>
      </c>
    </row>
    <row r="5">
      <c r="A5" s="4" t="inlineStr">
        <is>
          <t>A 模拟菌群</t>
        </is>
      </c>
      <c r="B5" s="4" t="inlineStr">
        <is>
          <t>肠道模拟菌群</t>
        </is>
      </c>
      <c r="C5" s="4" t="inlineStr">
        <is>
          <t>阶梯</t>
        </is>
      </c>
      <c r="D5" s="4" t="n">
        <v>56</v>
      </c>
      <c r="E5" s="9" t="n">
        <v>3</v>
      </c>
      <c r="F5" s="4">
        <f>E5</f>
        <v/>
      </c>
      <c r="G5" s="4" t="inlineStr">
        <is>
          <t>扩增子比例与各菌回收率随温度的变化</t>
        </is>
      </c>
    </row>
    <row r="6">
      <c r="A6" s="4" t="inlineStr">
        <is>
          <t>A 模拟菌群</t>
        </is>
      </c>
      <c r="B6" s="4" t="inlineStr">
        <is>
          <t>肠道模拟菌群</t>
        </is>
      </c>
      <c r="C6" s="4" t="inlineStr">
        <is>
          <t>阶梯</t>
        </is>
      </c>
      <c r="D6" s="4" t="n">
        <v>58</v>
      </c>
      <c r="E6" s="9" t="n">
        <v>3</v>
      </c>
      <c r="F6" s="4">
        <f>E6</f>
        <v/>
      </c>
      <c r="G6" s="4" t="inlineStr">
        <is>
          <t>扩增子比例与各菌回收率随温度的变化</t>
        </is>
      </c>
    </row>
    <row r="7">
      <c r="A7" s="4" t="inlineStr">
        <is>
          <t>A 模拟菌群</t>
        </is>
      </c>
      <c r="B7" s="4" t="inlineStr">
        <is>
          <t>肠道模拟菌群</t>
        </is>
      </c>
      <c r="C7" s="4" t="inlineStr">
        <is>
          <t>均衡</t>
        </is>
      </c>
      <c r="D7" s="4" t="n">
        <v>54</v>
      </c>
      <c r="E7" s="9" t="n">
        <v>3</v>
      </c>
      <c r="F7" s="4">
        <f>E7</f>
        <v/>
      </c>
      <c r="G7" s="4" t="inlineStr">
        <is>
          <t>扩增子比例与各菌回收率随温度的变化</t>
        </is>
      </c>
    </row>
    <row r="8">
      <c r="A8" s="4" t="inlineStr">
        <is>
          <t>A 模拟菌群</t>
        </is>
      </c>
      <c r="B8" s="4" t="inlineStr">
        <is>
          <t>肠道模拟菌群</t>
        </is>
      </c>
      <c r="C8" s="4" t="inlineStr">
        <is>
          <t>均衡</t>
        </is>
      </c>
      <c r="D8" s="4" t="n">
        <v>56</v>
      </c>
      <c r="E8" s="9" t="n">
        <v>3</v>
      </c>
      <c r="F8" s="4">
        <f>E8</f>
        <v/>
      </c>
      <c r="G8" s="4" t="inlineStr">
        <is>
          <t>扩增子比例与各菌回收率随温度的变化</t>
        </is>
      </c>
    </row>
    <row r="9">
      <c r="A9" s="4" t="inlineStr">
        <is>
          <t>A 模拟菌群</t>
        </is>
      </c>
      <c r="B9" s="4" t="inlineStr">
        <is>
          <t>肠道模拟菌群</t>
        </is>
      </c>
      <c r="C9" s="4" t="inlineStr">
        <is>
          <t>均衡</t>
        </is>
      </c>
      <c r="D9" s="4" t="n">
        <v>58</v>
      </c>
      <c r="E9" s="9" t="n">
        <v>3</v>
      </c>
      <c r="F9" s="4">
        <f>E9</f>
        <v/>
      </c>
      <c r="G9" s="4" t="inlineStr">
        <is>
          <t>扩增子比例与各菌回收率随温度的变化</t>
        </is>
      </c>
    </row>
    <row r="10">
      <c r="A10" s="4" t="inlineStr">
        <is>
          <t>A 模拟菌群</t>
        </is>
      </c>
      <c r="B10" s="4" t="inlineStr">
        <is>
          <t>呼吸道模拟菌群</t>
        </is>
      </c>
      <c r="C10" s="4" t="inlineStr">
        <is>
          <t>阶梯</t>
        </is>
      </c>
      <c r="D10" s="4" t="n">
        <v>54</v>
      </c>
      <c r="E10" s="9" t="n">
        <v>3</v>
      </c>
      <c r="F10" s="4">
        <f>E10</f>
        <v/>
      </c>
      <c r="G10" s="4" t="inlineStr">
        <is>
          <t>扩增子比例与各菌回收率随温度的变化</t>
        </is>
      </c>
    </row>
    <row r="11">
      <c r="A11" s="4" t="inlineStr">
        <is>
          <t>A 模拟菌群</t>
        </is>
      </c>
      <c r="B11" s="4" t="inlineStr">
        <is>
          <t>呼吸道模拟菌群</t>
        </is>
      </c>
      <c r="C11" s="4" t="inlineStr">
        <is>
          <t>阶梯</t>
        </is>
      </c>
      <c r="D11" s="4" t="n">
        <v>56</v>
      </c>
      <c r="E11" s="9" t="n">
        <v>3</v>
      </c>
      <c r="F11" s="4">
        <f>E11</f>
        <v/>
      </c>
      <c r="G11" s="4" t="inlineStr">
        <is>
          <t>扩增子比例与各菌回收率随温度的变化</t>
        </is>
      </c>
    </row>
    <row r="12">
      <c r="A12" s="4" t="inlineStr">
        <is>
          <t>A 模拟菌群</t>
        </is>
      </c>
      <c r="B12" s="4" t="inlineStr">
        <is>
          <t>呼吸道模拟菌群</t>
        </is>
      </c>
      <c r="C12" s="4" t="inlineStr">
        <is>
          <t>阶梯</t>
        </is>
      </c>
      <c r="D12" s="4" t="n">
        <v>58</v>
      </c>
      <c r="E12" s="9" t="n">
        <v>3</v>
      </c>
      <c r="F12" s="4">
        <f>E12</f>
        <v/>
      </c>
      <c r="G12" s="4" t="inlineStr">
        <is>
          <t>扩增子比例与各菌回收率随温度的变化</t>
        </is>
      </c>
    </row>
    <row r="13">
      <c r="A13" s="4" t="inlineStr">
        <is>
          <t>A 模拟菌群</t>
        </is>
      </c>
      <c r="B13" s="4" t="inlineStr">
        <is>
          <t>呼吸道模拟菌群</t>
        </is>
      </c>
      <c r="C13" s="4" t="inlineStr">
        <is>
          <t>均衡</t>
        </is>
      </c>
      <c r="D13" s="4" t="n">
        <v>54</v>
      </c>
      <c r="E13" s="9" t="n">
        <v>3</v>
      </c>
      <c r="F13" s="4">
        <f>E13</f>
        <v/>
      </c>
      <c r="G13" s="4" t="inlineStr">
        <is>
          <t>扩增子比例与各菌回收率随温度的变化</t>
        </is>
      </c>
    </row>
    <row r="14">
      <c r="A14" s="4" t="inlineStr">
        <is>
          <t>A 模拟菌群</t>
        </is>
      </c>
      <c r="B14" s="4" t="inlineStr">
        <is>
          <t>呼吸道模拟菌群</t>
        </is>
      </c>
      <c r="C14" s="4" t="inlineStr">
        <is>
          <t>均衡</t>
        </is>
      </c>
      <c r="D14" s="4" t="n">
        <v>56</v>
      </c>
      <c r="E14" s="9" t="n">
        <v>3</v>
      </c>
      <c r="F14" s="4">
        <f>E14</f>
        <v/>
      </c>
      <c r="G14" s="4" t="inlineStr">
        <is>
          <t>扩增子比例与各菌回收率随温度的变化</t>
        </is>
      </c>
    </row>
    <row r="15">
      <c r="A15" s="4" t="inlineStr">
        <is>
          <t>A 模拟菌群</t>
        </is>
      </c>
      <c r="B15" s="4" t="inlineStr">
        <is>
          <t>呼吸道模拟菌群</t>
        </is>
      </c>
      <c r="C15" s="4" t="inlineStr">
        <is>
          <t>均衡</t>
        </is>
      </c>
      <c r="D15" s="4" t="n">
        <v>58</v>
      </c>
      <c r="E15" s="9" t="n">
        <v>3</v>
      </c>
      <c r="F15" s="4">
        <f>E15</f>
        <v/>
      </c>
      <c r="G15" s="4" t="inlineStr">
        <is>
          <t>扩增子比例与各菌回收率随温度的变化</t>
        </is>
      </c>
    </row>
    <row r="16">
      <c r="A16" s="4" t="inlineStr">
        <is>
          <t>A 模拟菌群</t>
        </is>
      </c>
      <c r="B16" s="4" t="inlineStr">
        <is>
          <t>生殖道模拟菌群</t>
        </is>
      </c>
      <c r="C16" s="4" t="inlineStr">
        <is>
          <t>阶梯</t>
        </is>
      </c>
      <c r="D16" s="4" t="n">
        <v>54</v>
      </c>
      <c r="E16" s="9" t="n">
        <v>3</v>
      </c>
      <c r="F16" s="4">
        <f>E16</f>
        <v/>
      </c>
      <c r="G16" s="4" t="inlineStr">
        <is>
          <t>扩增子比例与各菌回收率随温度的变化</t>
        </is>
      </c>
    </row>
    <row r="17">
      <c r="A17" s="4" t="inlineStr">
        <is>
          <t>A 模拟菌群</t>
        </is>
      </c>
      <c r="B17" s="4" t="inlineStr">
        <is>
          <t>生殖道模拟菌群</t>
        </is>
      </c>
      <c r="C17" s="4" t="inlineStr">
        <is>
          <t>阶梯</t>
        </is>
      </c>
      <c r="D17" s="4" t="n">
        <v>56</v>
      </c>
      <c r="E17" s="9" t="n">
        <v>3</v>
      </c>
      <c r="F17" s="4">
        <f>E17</f>
        <v/>
      </c>
      <c r="G17" s="4" t="inlineStr">
        <is>
          <t>扩增子比例与各菌回收率随温度的变化</t>
        </is>
      </c>
    </row>
    <row r="18">
      <c r="A18" s="4" t="inlineStr">
        <is>
          <t>A 模拟菌群</t>
        </is>
      </c>
      <c r="B18" s="4" t="inlineStr">
        <is>
          <t>生殖道模拟菌群</t>
        </is>
      </c>
      <c r="C18" s="4" t="inlineStr">
        <is>
          <t>阶梯</t>
        </is>
      </c>
      <c r="D18" s="4" t="n">
        <v>58</v>
      </c>
      <c r="E18" s="9" t="n">
        <v>3</v>
      </c>
      <c r="F18" s="4">
        <f>E18</f>
        <v/>
      </c>
      <c r="G18" s="4" t="inlineStr">
        <is>
          <t>扩增子比例与各菌回收率随温度的变化</t>
        </is>
      </c>
    </row>
    <row r="19">
      <c r="A19" s="4" t="inlineStr">
        <is>
          <t>A 模拟菌群</t>
        </is>
      </c>
      <c r="B19" s="4" t="inlineStr">
        <is>
          <t>生殖道模拟菌群</t>
        </is>
      </c>
      <c r="C19" s="4" t="inlineStr">
        <is>
          <t>均衡</t>
        </is>
      </c>
      <c r="D19" s="4" t="n">
        <v>54</v>
      </c>
      <c r="E19" s="9" t="n">
        <v>3</v>
      </c>
      <c r="F19" s="4">
        <f>E19</f>
        <v/>
      </c>
      <c r="G19" s="4" t="inlineStr">
        <is>
          <t>扩增子比例与各菌回收率随温度的变化</t>
        </is>
      </c>
    </row>
    <row r="20">
      <c r="A20" s="4" t="inlineStr">
        <is>
          <t>A 模拟菌群</t>
        </is>
      </c>
      <c r="B20" s="4" t="inlineStr">
        <is>
          <t>生殖道模拟菌群</t>
        </is>
      </c>
      <c r="C20" s="4" t="inlineStr">
        <is>
          <t>均衡</t>
        </is>
      </c>
      <c r="D20" s="4" t="n">
        <v>56</v>
      </c>
      <c r="E20" s="9" t="n">
        <v>3</v>
      </c>
      <c r="F20" s="4">
        <f>E20</f>
        <v/>
      </c>
      <c r="G20" s="4" t="inlineStr">
        <is>
          <t>扩增子比例与各菌回收率随温度的变化</t>
        </is>
      </c>
    </row>
    <row r="21">
      <c r="A21" s="4" t="inlineStr">
        <is>
          <t>A 模拟菌群</t>
        </is>
      </c>
      <c r="B21" s="4" t="inlineStr">
        <is>
          <t>生殖道模拟菌群</t>
        </is>
      </c>
      <c r="C21" s="4" t="inlineStr">
        <is>
          <t>均衡</t>
        </is>
      </c>
      <c r="D21" s="4" t="n">
        <v>58</v>
      </c>
      <c r="E21" s="9" t="n">
        <v>3</v>
      </c>
      <c r="F21" s="4">
        <f>E21</f>
        <v/>
      </c>
      <c r="G21" s="4" t="inlineStr">
        <is>
          <t>扩增子比例与各菌回收率随温度的变化</t>
        </is>
      </c>
    </row>
    <row r="22">
      <c r="A22" s="4" t="inlineStr">
        <is>
          <t>B 无模板对照</t>
        </is>
      </c>
      <c r="B22" s="4" t="inlineStr">
        <is>
          <t>NTC</t>
        </is>
      </c>
      <c r="C22" s="4" t="inlineStr">
        <is>
          <t>—</t>
        </is>
      </c>
      <c r="D22" s="4" t="n">
        <v>54</v>
      </c>
      <c r="E22" s="9" t="n">
        <v>1</v>
      </c>
      <c r="F22" s="4">
        <f>E22</f>
        <v/>
      </c>
      <c r="G22" s="4" t="inlineStr">
        <is>
          <t>引物二聚体/污染（应 &lt;1% 读数）</t>
        </is>
      </c>
    </row>
    <row r="23">
      <c r="A23" s="4" t="inlineStr">
        <is>
          <t>B 无模板对照</t>
        </is>
      </c>
      <c r="B23" s="4" t="inlineStr">
        <is>
          <t>NTC</t>
        </is>
      </c>
      <c r="C23" s="4" t="inlineStr">
        <is>
          <t>—</t>
        </is>
      </c>
      <c r="D23" s="4" t="n">
        <v>56</v>
      </c>
      <c r="E23" s="9" t="n">
        <v>1</v>
      </c>
      <c r="F23" s="4">
        <f>E23</f>
        <v/>
      </c>
      <c r="G23" s="4" t="inlineStr">
        <is>
          <t>引物二聚体/污染（应 &lt;1% 读数）</t>
        </is>
      </c>
    </row>
    <row r="24">
      <c r="A24" s="4" t="inlineStr">
        <is>
          <t>B 无模板对照</t>
        </is>
      </c>
      <c r="B24" s="4" t="inlineStr">
        <is>
          <t>NTC</t>
        </is>
      </c>
      <c r="C24" s="4" t="inlineStr">
        <is>
          <t>—</t>
        </is>
      </c>
      <c r="D24" s="4" t="n">
        <v>58</v>
      </c>
      <c r="E24" s="9" t="n">
        <v>1</v>
      </c>
      <c r="F24" s="4">
        <f>E24</f>
        <v/>
      </c>
      <c r="G24" s="4" t="inlineStr">
        <is>
          <t>引物二聚体/污染（应 &lt;1% 读数）</t>
        </is>
      </c>
    </row>
    <row r="25">
      <c r="A25" s="4" t="inlineStr">
        <is>
          <t>C 单菌对照</t>
        </is>
      </c>
      <c r="B25" s="4" t="inlineStr">
        <is>
          <t>Bifidobacterium longum</t>
        </is>
      </c>
      <c r="C25" s="4" t="inlineStr">
        <is>
          <t>单菌</t>
        </is>
      </c>
      <c r="D25" s="4" t="n">
        <v>56</v>
      </c>
      <c r="E25" s="9" t="n">
        <v>2</v>
      </c>
      <c r="F25" s="4">
        <f>E25</f>
        <v/>
      </c>
      <c r="G25" s="4" t="inlineStr">
        <is>
          <t>确认是哪个扩增子对该菌失效（预测弱点）</t>
        </is>
      </c>
    </row>
    <row r="26">
      <c r="A26" s="4" t="inlineStr">
        <is>
          <t>C 单菌对照</t>
        </is>
      </c>
      <c r="B26" s="4" t="inlineStr">
        <is>
          <t>Mycoplasma pneumoniae（gDNA）</t>
        </is>
      </c>
      <c r="C26" s="4" t="inlineStr">
        <is>
          <t>单菌</t>
        </is>
      </c>
      <c r="D26" s="4" t="n">
        <v>56</v>
      </c>
      <c r="E26" s="9" t="n">
        <v>2</v>
      </c>
      <c r="F26" s="4">
        <f>E26</f>
        <v/>
      </c>
      <c r="G26" s="4" t="inlineStr">
        <is>
          <t>确认是哪个扩增子对该菌失效（预测弱点）</t>
        </is>
      </c>
    </row>
    <row r="27">
      <c r="A27" s="4" t="inlineStr">
        <is>
          <t>C 单菌对照</t>
        </is>
      </c>
      <c r="B27" s="4" t="inlineStr">
        <is>
          <t>Ureaplasma parvum（gDNA）</t>
        </is>
      </c>
      <c r="C27" s="4" t="inlineStr">
        <is>
          <t>单菌</t>
        </is>
      </c>
      <c r="D27" s="4" t="n">
        <v>56</v>
      </c>
      <c r="E27" s="9" t="n">
        <v>2</v>
      </c>
      <c r="F27" s="4">
        <f>E27</f>
        <v/>
      </c>
      <c r="G27" s="4" t="inlineStr">
        <is>
          <t>确认是哪个扩增子对该菌失效（预测弱点）</t>
        </is>
      </c>
    </row>
    <row r="28">
      <c r="A28" s="4" t="inlineStr">
        <is>
          <t>C 单菌对照</t>
        </is>
      </c>
      <c r="B28" s="4" t="inlineStr">
        <is>
          <t>Veillonella parvula</t>
        </is>
      </c>
      <c r="C28" s="4" t="inlineStr">
        <is>
          <t>单菌</t>
        </is>
      </c>
      <c r="D28" s="4" t="n">
        <v>56</v>
      </c>
      <c r="E28" s="9" t="n">
        <v>2</v>
      </c>
      <c r="F28" s="4">
        <f>E28</f>
        <v/>
      </c>
      <c r="G28" s="4" t="inlineStr">
        <is>
          <t>确认是哪个扩增子对该菌失效（预测弱点）</t>
        </is>
      </c>
    </row>
    <row r="29">
      <c r="A29" s="4" t="inlineStr">
        <is>
          <t>C 单菌对照</t>
        </is>
      </c>
      <c r="B29" s="4" t="inlineStr">
        <is>
          <t>Haemophilus influenzae</t>
        </is>
      </c>
      <c r="C29" s="4" t="inlineStr">
        <is>
          <t>单菌</t>
        </is>
      </c>
      <c r="D29" s="4" t="n">
        <v>56</v>
      </c>
      <c r="E29" s="9" t="n">
        <v>2</v>
      </c>
      <c r="F29" s="4">
        <f>E29</f>
        <v/>
      </c>
      <c r="G29" s="4" t="inlineStr">
        <is>
          <t>确认是哪个扩增子对该菌失效（预测弱点）</t>
        </is>
      </c>
    </row>
    <row r="30">
      <c r="A30" s="4" t="inlineStr">
        <is>
          <t>C 单菌对照</t>
        </is>
      </c>
      <c r="B30" s="4" t="inlineStr">
        <is>
          <t>Neisseria subflava</t>
        </is>
      </c>
      <c r="C30" s="4" t="inlineStr">
        <is>
          <t>单菌</t>
        </is>
      </c>
      <c r="D30" s="4" t="n">
        <v>56</v>
      </c>
      <c r="E30" s="9" t="n">
        <v>2</v>
      </c>
      <c r="F30" s="4">
        <f>E30</f>
        <v/>
      </c>
      <c r="G30" s="4" t="inlineStr">
        <is>
          <t>确认是哪个扩增子对该菌失效（预测弱点）</t>
        </is>
      </c>
    </row>
    <row r="31">
      <c r="A31" s="4" t="inlineStr">
        <is>
          <t>C 单菌对照</t>
        </is>
      </c>
      <c r="B31" s="4" t="inlineStr">
        <is>
          <t>Prevotella copri</t>
        </is>
      </c>
      <c r="C31" s="4" t="inlineStr">
        <is>
          <t>单菌</t>
        </is>
      </c>
      <c r="D31" s="4" t="n">
        <v>56</v>
      </c>
      <c r="E31" s="9" t="n">
        <v>2</v>
      </c>
      <c r="F31" s="4">
        <f>E31</f>
        <v/>
      </c>
      <c r="G31" s="4" t="inlineStr">
        <is>
          <t>确认是哪个扩增子对该菌失效（预测弱点）</t>
        </is>
      </c>
    </row>
    <row r="32">
      <c r="A32" s="4" t="inlineStr">
        <is>
          <t>C 单菌对照</t>
        </is>
      </c>
      <c r="B32" s="4" t="inlineStr">
        <is>
          <t>Methanobrevibacter smithii（gDNA）</t>
        </is>
      </c>
      <c r="C32" s="4" t="inlineStr">
        <is>
          <t>单菌</t>
        </is>
      </c>
      <c r="D32" s="4" t="n">
        <v>56</v>
      </c>
      <c r="E32" s="9" t="n">
        <v>2</v>
      </c>
      <c r="F32" s="4">
        <f>E32</f>
        <v/>
      </c>
      <c r="G32" s="4" t="inlineStr">
        <is>
          <t>确认是哪个扩增子对该菌失效（预测弱点）</t>
        </is>
      </c>
    </row>
    <row r="33">
      <c r="A33" s="4" t="inlineStr">
        <is>
          <t>D 宿主 DNA 加标</t>
        </is>
      </c>
      <c r="B33" s="4" t="inlineStr">
        <is>
          <t>呼吸道模拟菌群 + 人 gDNA 0%</t>
        </is>
      </c>
      <c r="C33" s="4" t="inlineStr">
        <is>
          <t>均衡</t>
        </is>
      </c>
      <c r="D33" s="4" t="n">
        <v>54</v>
      </c>
      <c r="E33" s="9" t="n">
        <v>2</v>
      </c>
      <c r="F33" s="4">
        <f>E33</f>
        <v/>
      </c>
      <c r="G33" s="4" t="inlineStr">
        <is>
          <t>宿主脱靶：非 16S 读数占比</t>
        </is>
      </c>
    </row>
    <row r="34">
      <c r="A34" s="4" t="inlineStr">
        <is>
          <t>D 宿主 DNA 加标</t>
        </is>
      </c>
      <c r="B34" s="4" t="inlineStr">
        <is>
          <t>呼吸道模拟菌群 + 人 gDNA 50%</t>
        </is>
      </c>
      <c r="C34" s="4" t="inlineStr">
        <is>
          <t>均衡</t>
        </is>
      </c>
      <c r="D34" s="4" t="n">
        <v>54</v>
      </c>
      <c r="E34" s="9" t="n">
        <v>2</v>
      </c>
      <c r="F34" s="4">
        <f>E34</f>
        <v/>
      </c>
      <c r="G34" s="4" t="inlineStr">
        <is>
          <t>宿主脱靶：非 16S 读数占比</t>
        </is>
      </c>
    </row>
    <row r="35">
      <c r="A35" s="4" t="inlineStr">
        <is>
          <t>D 宿主 DNA 加标</t>
        </is>
      </c>
      <c r="B35" s="4" t="inlineStr">
        <is>
          <t>呼吸道模拟菌群 + 人 gDNA 90%</t>
        </is>
      </c>
      <c r="C35" s="4" t="inlineStr">
        <is>
          <t>均衡</t>
        </is>
      </c>
      <c r="D35" s="4" t="n">
        <v>54</v>
      </c>
      <c r="E35" s="9" t="n">
        <v>2</v>
      </c>
      <c r="F35" s="4">
        <f>E35</f>
        <v/>
      </c>
      <c r="G35" s="4" t="inlineStr">
        <is>
          <t>宿主脱靶：非 16S 读数占比</t>
        </is>
      </c>
    </row>
    <row r="36">
      <c r="A36" s="4" t="inlineStr">
        <is>
          <t>D 宿主 DNA 加标</t>
        </is>
      </c>
      <c r="B36" s="4" t="inlineStr">
        <is>
          <t>呼吸道模拟菌群 + 人 gDNA 0%</t>
        </is>
      </c>
      <c r="C36" s="4" t="inlineStr">
        <is>
          <t>均衡</t>
        </is>
      </c>
      <c r="D36" s="4" t="n">
        <v>58</v>
      </c>
      <c r="E36" s="9" t="n">
        <v>2</v>
      </c>
      <c r="F36" s="4">
        <f>E36</f>
        <v/>
      </c>
      <c r="G36" s="4" t="inlineStr">
        <is>
          <t>宿主脱靶：非 16S 读数占比</t>
        </is>
      </c>
    </row>
    <row r="37">
      <c r="A37" s="4" t="inlineStr">
        <is>
          <t>D 宿主 DNA 加标</t>
        </is>
      </c>
      <c r="B37" s="4" t="inlineStr">
        <is>
          <t>呼吸道模拟菌群 + 人 gDNA 50%</t>
        </is>
      </c>
      <c r="C37" s="4" t="inlineStr">
        <is>
          <t>均衡</t>
        </is>
      </c>
      <c r="D37" s="4" t="n">
        <v>58</v>
      </c>
      <c r="E37" s="9" t="n">
        <v>2</v>
      </c>
      <c r="F37" s="4">
        <f>E37</f>
        <v/>
      </c>
      <c r="G37" s="4" t="inlineStr">
        <is>
          <t>宿主脱靶：非 16S 读数占比</t>
        </is>
      </c>
    </row>
    <row r="38">
      <c r="A38" s="4" t="inlineStr">
        <is>
          <t>D 宿主 DNA 加标</t>
        </is>
      </c>
      <c r="B38" s="4" t="inlineStr">
        <is>
          <t>呼吸道模拟菌群 + 人 gDNA 90%</t>
        </is>
      </c>
      <c r="C38" s="4" t="inlineStr">
        <is>
          <t>均衡</t>
        </is>
      </c>
      <c r="D38" s="4" t="n">
        <v>58</v>
      </c>
      <c r="E38" s="9" t="n">
        <v>2</v>
      </c>
      <c r="F38" s="4">
        <f>E38</f>
        <v/>
      </c>
      <c r="G38" s="4" t="inlineStr">
        <is>
          <t>宿主脱靶：非 16S 读数占比</t>
        </is>
      </c>
    </row>
    <row r="39"/>
    <row r="40">
      <c r="A40" s="6" t="inlineStr">
        <is>
          <t>反应总数</t>
        </is>
      </c>
      <c r="F40" s="6">
        <f>SUM(F4:F38)</f>
        <v/>
      </c>
    </row>
    <row r="41">
      <c r="A41" s="4" t="inlineStr">
        <is>
          <t>说明：反应数 = 重复数（每行已写明）；A 组 = 3 群落 × 2 配方 × 3 温度 × 3 重复 = 54。A+B+C+D = 54 + 3 + 16 + 12 = 85，可放进一块 96 孔板。</t>
        </is>
      </c>
    </row>
    <row r="42"/>
    <row r="43">
      <c r="A43" s="6" t="inlineStr">
        <is>
          <t>扩增条件建议（可改）</t>
        </is>
      </c>
    </row>
    <row r="44">
      <c r="A44" s="4" t="inlineStr">
        <is>
          <t>总模板：每个反应 1e5 个 16S 拷贝（见“混合配方”B1）；扩增子读数需 ≥5 万条/样品才能看清 0.1% 的哨兵菌（Methanobrevibacter 阶梯 1%、Mycoplasma 阶梯 2–3%）。</t>
        </is>
      </c>
    </row>
    <row r="45">
      <c r="A45" s="4" t="inlineStr">
        <is>
          <t>循环数：25–28，避免进入平台期放大偏差；三个温度用同一循环数。</t>
        </is>
      </c>
    </row>
    <row r="46">
      <c r="A46" s="4" t="inlineStr">
        <is>
          <t>热启动聚合酶（前面计算显示低温下部分引物自二聚体 ΔG 约 −10 kcal/mol）。</t>
        </is>
      </c>
    </row>
    <row r="47">
      <c r="A47" s="4" t="inlineStr">
        <is>
          <t>梯度仪：用梯度模块时先核对各列实际温度（线性梯度，需对到 54/56/58 °C）；也可分三次独立运行，更可靠。</t>
        </is>
      </c>
    </row>
    <row r="48">
      <c r="A48" s="4" t="inlineStr">
        <is>
          <t>变性 95 °C → 退火 54/56/58 °C 30 s → 延伸 72 °C；每个模拟菌群同一块板、同一管 master mix 上样，减少加样误差。</t>
        </is>
      </c>
    </row>
    <row r="49">
      <c r="A49" s="4" t="inlineStr">
        <is>
          <t>所有样品同一文库制备、同一测序批次；UDP 内联条形码需随机分配到不同温度，避免批次效应混淆温度效应。</t>
        </is>
      </c>
    </row>
    <row r="50"/>
    <row r="51"/>
    <row r="52"/>
    <row r="53"/>
    <row r="54"/>
    <row r="55"/>
    <row r="56"/>
    <row r="57"/>
    <row r="58"/>
    <row r="5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48" customWidth="1" min="3" max="3"/>
    <col width="56" customWidth="1" min="4" max="4"/>
  </cols>
  <sheetData>
    <row r="1">
      <c r="A1" s="14" t="inlineStr">
        <is>
          <t>指标</t>
        </is>
      </c>
      <c r="B1" s="14" t="inlineStr">
        <is>
          <t>计算方法</t>
        </is>
      </c>
      <c r="C1" s="14" t="inlineStr">
        <is>
          <t>判定标准（建议）</t>
        </is>
      </c>
      <c r="D1" s="14" t="inlineStr">
        <is>
          <t>如果不满足</t>
        </is>
      </c>
    </row>
    <row r="2">
      <c r="A2" s="2" t="inlineStr">
        <is>
          <t>扩增子比例</t>
        </is>
      </c>
      <c r="B2" s="2" t="inlineStr">
        <is>
          <t>每个样本：某扩增子读数 / 16S 读数总和；理论上 6 个扩增子各占 1/6（每个基因组各含一份，忽略 16S 拷贝数差异）</t>
        </is>
      </c>
      <c r="C2" s="2" t="inlineStr">
        <is>
          <t>各扩增子占比在 8%–33%（即相对均值 0.5–2×）；最大/最小 ≤3</t>
        </is>
      </c>
      <c r="D2" s="2" t="inlineStr">
        <is>
          <t>比例随温度升高越来越偏时，说明弱位点（预测 A4-R、A5-F、A1-R、A6-R）被压制，倾向用较低退火温度或提高对应引物浓度</t>
        </is>
      </c>
    </row>
    <row r="3">
      <c r="A3" s="2" t="inlineStr">
        <is>
          <t>各菌回收率</t>
        </is>
      </c>
      <c r="B3" s="2" t="inlineStr">
        <is>
          <t>按菌种参考 16S 序列把读数分到菌种；回收率 = 观测占比 / 配制占比（16S 拷贝校正后）；取 log2</t>
        </is>
      </c>
      <c r="C3" s="2" t="inlineStr">
        <is>
          <t>≥80% 的 菌种×扩增子 落在 log2 比值 ±1 内（0.5–2×）；哨兵菌不低于 0.25×</t>
        </is>
      </c>
      <c r="D3" s="2" t="inlineStr">
        <is>
          <t>定位是哪个位点失配（见“菌群设计”表的预测最低扩增子），对该位点补充引物或调整浓度</t>
        </is>
      </c>
    </row>
    <row r="4">
      <c r="A4" s="2" t="inlineStr">
        <is>
          <t>温度趋势</t>
        </is>
      </c>
      <c r="B4" s="2" t="inlineStr">
        <is>
          <t>同一菌群、同一配方下，扩增子占比随 54→56→58 °C 的变化</t>
        </is>
      </c>
      <c r="C4" s="2" t="inlineStr">
        <is>
          <t>A4 占比 58 °C 不低于 54 °C 的 50%</t>
        </is>
      </c>
      <c r="D4" s="2" t="inlineStr">
        <is>
          <t>比值明显下降：推荐 56 °C，或提高 A4-R/A5-F 浓度</t>
        </is>
      </c>
    </row>
    <row r="5">
      <c r="A5" s="2" t="inlineStr">
        <is>
          <t>阴性对照</t>
        </is>
      </c>
      <c r="B5" s="2" t="inlineStr">
        <is>
          <t>NTC 样本中 16S 读数和引物二聚体读数（长度 &lt;100 bp）占比</t>
        </is>
      </c>
      <c r="C5" s="2" t="inlineStr">
        <is>
          <t>NTC 读数 &lt;1% 的样品读数；二聚体读数 &lt;1%</t>
        </is>
      </c>
      <c r="D5" s="2" t="inlineStr">
        <is>
          <t>二聚体多：提高温度或降低引物浓度，检查接头/UDP 互补</t>
        </is>
      </c>
    </row>
    <row r="6">
      <c r="A6" s="2" t="inlineStr">
        <is>
          <t>宿主 DNA 脱靶</t>
        </is>
      </c>
      <c r="B6" s="2" t="inlineStr">
        <is>
          <t>宿主 DNA 加标样品中映射到人基因组（及线粒体）的读数占比，随宿主比例（0/50/90%）</t>
        </is>
      </c>
      <c r="C6" s="2" t="inlineStr">
        <is>
          <t>不随宿主比例线性增长；非 16S 读数 &lt;5%</t>
        </is>
      </c>
      <c r="D6" s="2" t="inlineStr">
        <is>
          <t>增长明显：改 A1-F（V1_f 在猪基因组上有 492 个位点）或 A2-F；换更高退火温度</t>
        </is>
      </c>
    </row>
    <row r="7">
      <c r="A7" s="2" t="inlineStr">
        <is>
          <t>扩增子长度</t>
        </is>
      </c>
      <c r="B7" s="2" t="inlineStr">
        <is>
          <t>每个扩增子实际插入长度分布</t>
        </is>
      </c>
      <c r="C7" s="2" t="inlineStr">
        <is>
          <t>与预测一致：A1 约 256、A2 约 185–209、A3 275、A4 约 185（支原体 178）、A5 约 244、A6 约 283</t>
        </is>
      </c>
      <c r="D7" s="2" t="inlineStr">
        <is>
          <t>出现大量长度异常的产物：检查交叉扩增产物（A1-R.8s 相关的 212–292 bp 短产物）</t>
        </is>
      </c>
    </row>
    <row r="8">
      <c r="A8" s="2" t="inlineStr">
        <is>
          <t>古菌盲区</t>
        </is>
      </c>
      <c r="B8" s="2" t="inlineStr">
        <is>
          <t>Methanobrevibacter 在肠道模拟菌群中的回收</t>
        </is>
      </c>
      <c r="C8" s="2" t="inlineStr">
        <is>
          <t>应基本为 0（A1/A2/A4/A5 预期 0%）</t>
        </is>
      </c>
      <c r="D8" s="2" t="inlineStr">
        <is>
          <t>若 ≥1% 说明有未预期的交叉匹配，值得核对</t>
        </is>
      </c>
    </row>
    <row r="9">
      <c r="A9" s="2" t="inlineStr">
        <is>
          <t>测序深度</t>
        </is>
      </c>
      <c r="B9" s="2" t="inlineStr">
        <is>
          <t>每个样品 16S 读数总数</t>
        </is>
      </c>
      <c r="C9" s="2" t="inlineStr">
        <is>
          <t>≥5 万；NTC 可低</t>
        </is>
      </c>
      <c r="D9" s="2" t="inlineStr">
        <is>
          <t>不足则无法评估低丰度哨兵菌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2026-10-08T01:39:03Z</dcterms:created>
  <dcterms:modified xsi:type="dcterms:W3CDTF">2026-10-08T01:39:28Z</dcterms:modified>
</cp:coreProperties>
</file>