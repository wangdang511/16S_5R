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384对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UDP：384 对 i5/i7（10 nt 内联索引，4 个 96 组块，每块 2 个 48 组）</t>
        </is>
      </c>
    </row>
    <row r="2">
      <c r="A2" s="2" t="inlineStr">
        <is>
          <t>生成方式：程序从头生成，不借用 Illumina 序列；与 Illumina UDP0001–0384 的 i5/i7 没有任何相同序列（含反向互补），最小汉明距离 1。</t>
        </is>
      </c>
    </row>
    <row r="3">
      <c r="A3" s="2" t="inlineStr">
        <is>
          <t>单条规则：GC 4–6/10；无同聚物 ≥3、无二核苷酸重复 ≥3 次、无 GGGG；前两位不同时为 G；不含 TruSeq/Nextera/P5/P7 接头的 6-mer；非回文（与自身反向互补的编辑距离 ≥4）。</t>
        </is>
      </c>
    </row>
    <row r="4">
      <c r="A4" s="2" t="inlineStr">
        <is>
          <t>集合规则：768 条序列（384 个 i5 + 384 个 i7）两两 Levenshtein 编辑距离 ≥4（实测最小 4）；与对方反向互补的编辑距离 ≥3（严格要求 ≥4 时只能凑出 464 条，不够 768，因此放宽到 3，其余不变）。</t>
        </is>
      </c>
    </row>
    <row r="5">
      <c r="A5" s="2" t="inlineStr">
        <is>
          <t>每个周期（第 1–10 位）：GC、A+C、A+T 占比 40–60%，且 A/C/G/T 各 ≥15%。检验范围：每个 48 组、每个 96 组块（i5、i7 各自）和全部 384 个，共 26 组，全部达标（见“每周期统计”，公式计算）。</t>
        </is>
      </c>
    </row>
    <row r="6">
      <c r="A6" s="2" t="inlineStr">
        <is>
          <t>配对：同一块里 i5 与 i7 按编号配对（DN001 的 i5 与 i7 在同一管）。配对只是占位，你们结合引物筛选后可以重新配对（i5 之间、i7 之间的约束不受配对影响）。</t>
        </is>
      </c>
    </row>
    <row r="7">
      <c r="A7" s="2" t="inlineStr">
        <is>
          <t>二聚体预筛列 H、E：该索引（作为 5′ 尾巴的 10 nt）与 33 条引物池 198 个展开序列（不带尾巴）在 58 °C 的最差异源二聚体 ΔG（H）和池中引物 3′ 端对它的最差 3′ 锚定 ΔG（E），只作排序参考；每个管（i5+i7 加到整池后）的完整二聚体评估在后台运行，结果会补充。</t>
        </is>
      </c>
    </row>
    <row r="8">
      <c r="A8" s="2" t="inlineStr">
        <is>
          <t>没有评估的：真实接头；实验验证（条形码紧邻引物会带来扩增偏好，建议做同样品多条形码的对照实验）。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4" customWidth="1" min="4" max="4"/>
    <col width="14" customWidth="1" min="5" max="5"/>
    <col width="6" customWidth="1" min="6" max="6"/>
    <col width="6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32" customHeight="1">
      <c r="A1" s="3" t="inlineStr">
        <is>
          <t>配对</t>
        </is>
      </c>
      <c r="B1" s="3" t="inlineStr">
        <is>
          <t>96 块</t>
        </is>
      </c>
      <c r="C1" s="3" t="inlineStr">
        <is>
          <t>48 组</t>
        </is>
      </c>
      <c r="D1" s="3" t="inlineStr">
        <is>
          <t>i5 序列</t>
        </is>
      </c>
      <c r="E1" s="3" t="inlineStr">
        <is>
          <t>i7 序列</t>
        </is>
      </c>
      <c r="F1" s="3" t="inlineStr">
        <is>
          <t>i5 GC</t>
        </is>
      </c>
      <c r="G1" s="3" t="inlineStr">
        <is>
          <t>i7 GC</t>
        </is>
      </c>
      <c r="H1" s="3" t="inlineStr">
        <is>
          <t>i5 预筛 H</t>
        </is>
      </c>
      <c r="I1" s="3" t="inlineStr">
        <is>
          <t>i5 预筛 E</t>
        </is>
      </c>
      <c r="J1" s="3" t="inlineStr">
        <is>
          <t>i7 预筛 H</t>
        </is>
      </c>
      <c r="K1" s="3" t="inlineStr">
        <is>
          <t>i7 预筛 E</t>
        </is>
      </c>
      <c r="M1" t="inlineStr">
        <is>
          <t>i5 第1位</t>
        </is>
      </c>
      <c r="N1" t="inlineStr">
        <is>
          <t>i5 第2位</t>
        </is>
      </c>
      <c r="O1" t="inlineStr">
        <is>
          <t>i5 第3位</t>
        </is>
      </c>
      <c r="P1" t="inlineStr">
        <is>
          <t>i5 第4位</t>
        </is>
      </c>
      <c r="Q1" t="inlineStr">
        <is>
          <t>i5 第5位</t>
        </is>
      </c>
      <c r="R1" t="inlineStr">
        <is>
          <t>i5 第6位</t>
        </is>
      </c>
      <c r="S1" t="inlineStr">
        <is>
          <t>i5 第7位</t>
        </is>
      </c>
      <c r="T1" t="inlineStr">
        <is>
          <t>i5 第8位</t>
        </is>
      </c>
      <c r="U1" t="inlineStr">
        <is>
          <t>i5 第9位</t>
        </is>
      </c>
      <c r="V1" t="inlineStr">
        <is>
          <t>i5 第10位</t>
        </is>
      </c>
      <c r="W1" t="inlineStr">
        <is>
          <t>i7 第1位</t>
        </is>
      </c>
      <c r="X1" t="inlineStr">
        <is>
          <t>i7 第2位</t>
        </is>
      </c>
      <c r="Y1" t="inlineStr">
        <is>
          <t>i7 第3位</t>
        </is>
      </c>
      <c r="Z1" t="inlineStr">
        <is>
          <t>i7 第4位</t>
        </is>
      </c>
      <c r="AA1" t="inlineStr">
        <is>
          <t>i7 第5位</t>
        </is>
      </c>
      <c r="AB1" t="inlineStr">
        <is>
          <t>i7 第6位</t>
        </is>
      </c>
      <c r="AC1" t="inlineStr">
        <is>
          <t>i7 第7位</t>
        </is>
      </c>
      <c r="AD1" t="inlineStr">
        <is>
          <t>i7 第8位</t>
        </is>
      </c>
      <c r="AE1" t="inlineStr">
        <is>
          <t>i7 第9位</t>
        </is>
      </c>
      <c r="AF1" t="inlineStr">
        <is>
          <t>i7 第10位</t>
        </is>
      </c>
    </row>
    <row r="2">
      <c r="A2" s="4" t="inlineStr">
        <is>
          <t>DN001</t>
        </is>
      </c>
      <c r="B2" s="4" t="n">
        <v>1</v>
      </c>
      <c r="C2" s="4" t="n">
        <v>1</v>
      </c>
      <c r="D2" s="5" t="inlineStr">
        <is>
          <t>GATATAGACG</t>
        </is>
      </c>
      <c r="E2" s="5" t="inlineStr">
        <is>
          <t>GTGCAAGGCA</t>
        </is>
      </c>
      <c r="F2" s="4">
        <f>LEN(SUBSTITUTE(SUBSTITUTE(D2,"A",""),"T",""))</f>
        <v/>
      </c>
      <c r="G2" s="4">
        <f>LEN(SUBSTITUTE(SUBSTITUTE(E2,"A",""),"T",""))</f>
        <v/>
      </c>
      <c r="H2" s="4" t="n">
        <v>-2.23</v>
      </c>
      <c r="I2" s="4" t="n">
        <v>-1.4</v>
      </c>
      <c r="J2" s="4" t="n">
        <v>-3.48</v>
      </c>
      <c r="K2" s="4" t="n">
        <v>-2.08</v>
      </c>
      <c r="M2">
        <f>MID($D2,1,1)</f>
        <v/>
      </c>
      <c r="N2">
        <f>MID($D2,2,1)</f>
        <v/>
      </c>
      <c r="O2">
        <f>MID($D2,3,1)</f>
        <v/>
      </c>
      <c r="P2">
        <f>MID($D2,4,1)</f>
        <v/>
      </c>
      <c r="Q2">
        <f>MID($D2,5,1)</f>
        <v/>
      </c>
      <c r="R2">
        <f>MID($D2,6,1)</f>
        <v/>
      </c>
      <c r="S2">
        <f>MID($D2,7,1)</f>
        <v/>
      </c>
      <c r="T2">
        <f>MID($D2,8,1)</f>
        <v/>
      </c>
      <c r="U2">
        <f>MID($D2,9,1)</f>
        <v/>
      </c>
      <c r="V2">
        <f>MID($D2,10,1)</f>
        <v/>
      </c>
      <c r="W2">
        <f>MID($E2,1,1)</f>
        <v/>
      </c>
      <c r="X2">
        <f>MID($E2,2,1)</f>
        <v/>
      </c>
      <c r="Y2">
        <f>MID($E2,3,1)</f>
        <v/>
      </c>
      <c r="Z2">
        <f>MID($E2,4,1)</f>
        <v/>
      </c>
      <c r="AA2">
        <f>MID($E2,5,1)</f>
        <v/>
      </c>
      <c r="AB2">
        <f>MID($E2,6,1)</f>
        <v/>
      </c>
      <c r="AC2">
        <f>MID($E2,7,1)</f>
        <v/>
      </c>
      <c r="AD2">
        <f>MID($E2,8,1)</f>
        <v/>
      </c>
      <c r="AE2">
        <f>MID($E2,9,1)</f>
        <v/>
      </c>
      <c r="AF2">
        <f>MID($E2,10,1)</f>
        <v/>
      </c>
    </row>
    <row r="3">
      <c r="A3" s="4" t="inlineStr">
        <is>
          <t>DN002</t>
        </is>
      </c>
      <c r="B3" s="4" t="n">
        <v>1</v>
      </c>
      <c r="C3" s="4" t="n">
        <v>1</v>
      </c>
      <c r="D3" s="5" t="inlineStr">
        <is>
          <t>CGGAATGGCA</t>
        </is>
      </c>
      <c r="E3" s="5" t="inlineStr">
        <is>
          <t>GACATCACTT</t>
        </is>
      </c>
      <c r="F3" s="4">
        <f>LEN(SUBSTITUTE(SUBSTITUTE(D3,"A",""),"T",""))</f>
        <v/>
      </c>
      <c r="G3" s="4">
        <f>LEN(SUBSTITUTE(SUBSTITUTE(E3,"A",""),"T",""))</f>
        <v/>
      </c>
      <c r="H3" s="4" t="n">
        <v>-3</v>
      </c>
      <c r="I3" s="4" t="n">
        <v>-2.75</v>
      </c>
      <c r="J3" s="4" t="n">
        <v>-2.49</v>
      </c>
      <c r="K3" s="4" t="n">
        <v>-0.19</v>
      </c>
      <c r="M3">
        <f>MID($D3,1,1)</f>
        <v/>
      </c>
      <c r="N3">
        <f>MID($D3,2,1)</f>
        <v/>
      </c>
      <c r="O3">
        <f>MID($D3,3,1)</f>
        <v/>
      </c>
      <c r="P3">
        <f>MID($D3,4,1)</f>
        <v/>
      </c>
      <c r="Q3">
        <f>MID($D3,5,1)</f>
        <v/>
      </c>
      <c r="R3">
        <f>MID($D3,6,1)</f>
        <v/>
      </c>
      <c r="S3">
        <f>MID($D3,7,1)</f>
        <v/>
      </c>
      <c r="T3">
        <f>MID($D3,8,1)</f>
        <v/>
      </c>
      <c r="U3">
        <f>MID($D3,9,1)</f>
        <v/>
      </c>
      <c r="V3">
        <f>MID($D3,10,1)</f>
        <v/>
      </c>
      <c r="W3">
        <f>MID($E3,1,1)</f>
        <v/>
      </c>
      <c r="X3">
        <f>MID($E3,2,1)</f>
        <v/>
      </c>
      <c r="Y3">
        <f>MID($E3,3,1)</f>
        <v/>
      </c>
      <c r="Z3">
        <f>MID($E3,4,1)</f>
        <v/>
      </c>
      <c r="AA3">
        <f>MID($E3,5,1)</f>
        <v/>
      </c>
      <c r="AB3">
        <f>MID($E3,6,1)</f>
        <v/>
      </c>
      <c r="AC3">
        <f>MID($E3,7,1)</f>
        <v/>
      </c>
      <c r="AD3">
        <f>MID($E3,8,1)</f>
        <v/>
      </c>
      <c r="AE3">
        <f>MID($E3,9,1)</f>
        <v/>
      </c>
      <c r="AF3">
        <f>MID($E3,10,1)</f>
        <v/>
      </c>
    </row>
    <row r="4">
      <c r="A4" s="4" t="inlineStr">
        <is>
          <t>DN003</t>
        </is>
      </c>
      <c r="B4" s="4" t="n">
        <v>1</v>
      </c>
      <c r="C4" s="4" t="n">
        <v>1</v>
      </c>
      <c r="D4" s="5" t="inlineStr">
        <is>
          <t>CCTATTACCT</t>
        </is>
      </c>
      <c r="E4" s="5" t="inlineStr">
        <is>
          <t>CTCCTGAATA</t>
        </is>
      </c>
      <c r="F4" s="4">
        <f>LEN(SUBSTITUTE(SUBSTITUTE(D4,"A",""),"T",""))</f>
        <v/>
      </c>
      <c r="G4" s="4">
        <f>LEN(SUBSTITUTE(SUBSTITUTE(E4,"A",""),"T",""))</f>
        <v/>
      </c>
      <c r="H4" s="4" t="n">
        <v>-1.89</v>
      </c>
      <c r="I4" s="4" t="n">
        <v>0</v>
      </c>
      <c r="J4" s="4" t="n">
        <v>-2.89</v>
      </c>
      <c r="K4" s="4" t="n">
        <v>-0.26</v>
      </c>
      <c r="M4">
        <f>MID($D4,1,1)</f>
        <v/>
      </c>
      <c r="N4">
        <f>MID($D4,2,1)</f>
        <v/>
      </c>
      <c r="O4">
        <f>MID($D4,3,1)</f>
        <v/>
      </c>
      <c r="P4">
        <f>MID($D4,4,1)</f>
        <v/>
      </c>
      <c r="Q4">
        <f>MID($D4,5,1)</f>
        <v/>
      </c>
      <c r="R4">
        <f>MID($D4,6,1)</f>
        <v/>
      </c>
      <c r="S4">
        <f>MID($D4,7,1)</f>
        <v/>
      </c>
      <c r="T4">
        <f>MID($D4,8,1)</f>
        <v/>
      </c>
      <c r="U4">
        <f>MID($D4,9,1)</f>
        <v/>
      </c>
      <c r="V4">
        <f>MID($D4,10,1)</f>
        <v/>
      </c>
      <c r="W4">
        <f>MID($E4,1,1)</f>
        <v/>
      </c>
      <c r="X4">
        <f>MID($E4,2,1)</f>
        <v/>
      </c>
      <c r="Y4">
        <f>MID($E4,3,1)</f>
        <v/>
      </c>
      <c r="Z4">
        <f>MID($E4,4,1)</f>
        <v/>
      </c>
      <c r="AA4">
        <f>MID($E4,5,1)</f>
        <v/>
      </c>
      <c r="AB4">
        <f>MID($E4,6,1)</f>
        <v/>
      </c>
      <c r="AC4">
        <f>MID($E4,7,1)</f>
        <v/>
      </c>
      <c r="AD4">
        <f>MID($E4,8,1)</f>
        <v/>
      </c>
      <c r="AE4">
        <f>MID($E4,9,1)</f>
        <v/>
      </c>
      <c r="AF4">
        <f>MID($E4,10,1)</f>
        <v/>
      </c>
    </row>
    <row r="5">
      <c r="A5" s="4" t="inlineStr">
        <is>
          <t>DN004</t>
        </is>
      </c>
      <c r="B5" s="4" t="n">
        <v>1</v>
      </c>
      <c r="C5" s="4" t="n">
        <v>1</v>
      </c>
      <c r="D5" s="5" t="inlineStr">
        <is>
          <t>GCACTCAGGA</t>
        </is>
      </c>
      <c r="E5" s="5" t="inlineStr">
        <is>
          <t>TGAGGAACGC</t>
        </is>
      </c>
      <c r="F5" s="4">
        <f>LEN(SUBSTITUTE(SUBSTITUTE(D5,"A",""),"T",""))</f>
        <v/>
      </c>
      <c r="G5" s="4">
        <f>LEN(SUBSTITUTE(SUBSTITUTE(E5,"A",""),"T",""))</f>
        <v/>
      </c>
      <c r="H5" s="4" t="n">
        <v>-2.29</v>
      </c>
      <c r="I5" s="4" t="n">
        <v>-1.32</v>
      </c>
      <c r="J5" s="4" t="n">
        <v>-3.32</v>
      </c>
      <c r="K5" s="4" t="n">
        <v>-1.89</v>
      </c>
      <c r="M5">
        <f>MID($D5,1,1)</f>
        <v/>
      </c>
      <c r="N5">
        <f>MID($D5,2,1)</f>
        <v/>
      </c>
      <c r="O5">
        <f>MID($D5,3,1)</f>
        <v/>
      </c>
      <c r="P5">
        <f>MID($D5,4,1)</f>
        <v/>
      </c>
      <c r="Q5">
        <f>MID($D5,5,1)</f>
        <v/>
      </c>
      <c r="R5">
        <f>MID($D5,6,1)</f>
        <v/>
      </c>
      <c r="S5">
        <f>MID($D5,7,1)</f>
        <v/>
      </c>
      <c r="T5">
        <f>MID($D5,8,1)</f>
        <v/>
      </c>
      <c r="U5">
        <f>MID($D5,9,1)</f>
        <v/>
      </c>
      <c r="V5">
        <f>MID($D5,10,1)</f>
        <v/>
      </c>
      <c r="W5">
        <f>MID($E5,1,1)</f>
        <v/>
      </c>
      <c r="X5">
        <f>MID($E5,2,1)</f>
        <v/>
      </c>
      <c r="Y5">
        <f>MID($E5,3,1)</f>
        <v/>
      </c>
      <c r="Z5">
        <f>MID($E5,4,1)</f>
        <v/>
      </c>
      <c r="AA5">
        <f>MID($E5,5,1)</f>
        <v/>
      </c>
      <c r="AB5">
        <f>MID($E5,6,1)</f>
        <v/>
      </c>
      <c r="AC5">
        <f>MID($E5,7,1)</f>
        <v/>
      </c>
      <c r="AD5">
        <f>MID($E5,8,1)</f>
        <v/>
      </c>
      <c r="AE5">
        <f>MID($E5,9,1)</f>
        <v/>
      </c>
      <c r="AF5">
        <f>MID($E5,10,1)</f>
        <v/>
      </c>
    </row>
    <row r="6">
      <c r="A6" s="4" t="inlineStr">
        <is>
          <t>DN005</t>
        </is>
      </c>
      <c r="B6" s="4" t="n">
        <v>1</v>
      </c>
      <c r="C6" s="4" t="n">
        <v>1</v>
      </c>
      <c r="D6" s="5" t="inlineStr">
        <is>
          <t>CGACAGGTTG</t>
        </is>
      </c>
      <c r="E6" s="5" t="inlineStr">
        <is>
          <t>GACAGAGATT</t>
        </is>
      </c>
      <c r="F6" s="4">
        <f>LEN(SUBSTITUTE(SUBSTITUTE(D6,"A",""),"T",""))</f>
        <v/>
      </c>
      <c r="G6" s="4">
        <f>LEN(SUBSTITUTE(SUBSTITUTE(E6,"A",""),"T",""))</f>
        <v/>
      </c>
      <c r="H6" s="4" t="n">
        <v>-2.39</v>
      </c>
      <c r="I6" s="4" t="n">
        <v>-1.59</v>
      </c>
      <c r="J6" s="4" t="n">
        <v>-2.25</v>
      </c>
      <c r="K6" s="4" t="n">
        <v>-1.06</v>
      </c>
      <c r="M6">
        <f>MID($D6,1,1)</f>
        <v/>
      </c>
      <c r="N6">
        <f>MID($D6,2,1)</f>
        <v/>
      </c>
      <c r="O6">
        <f>MID($D6,3,1)</f>
        <v/>
      </c>
      <c r="P6">
        <f>MID($D6,4,1)</f>
        <v/>
      </c>
      <c r="Q6">
        <f>MID($D6,5,1)</f>
        <v/>
      </c>
      <c r="R6">
        <f>MID($D6,6,1)</f>
        <v/>
      </c>
      <c r="S6">
        <f>MID($D6,7,1)</f>
        <v/>
      </c>
      <c r="T6">
        <f>MID($D6,8,1)</f>
        <v/>
      </c>
      <c r="U6">
        <f>MID($D6,9,1)</f>
        <v/>
      </c>
      <c r="V6">
        <f>MID($D6,10,1)</f>
        <v/>
      </c>
      <c r="W6">
        <f>MID($E6,1,1)</f>
        <v/>
      </c>
      <c r="X6">
        <f>MID($E6,2,1)</f>
        <v/>
      </c>
      <c r="Y6">
        <f>MID($E6,3,1)</f>
        <v/>
      </c>
      <c r="Z6">
        <f>MID($E6,4,1)</f>
        <v/>
      </c>
      <c r="AA6">
        <f>MID($E6,5,1)</f>
        <v/>
      </c>
      <c r="AB6">
        <f>MID($E6,6,1)</f>
        <v/>
      </c>
      <c r="AC6">
        <f>MID($E6,7,1)</f>
        <v/>
      </c>
      <c r="AD6">
        <f>MID($E6,8,1)</f>
        <v/>
      </c>
      <c r="AE6">
        <f>MID($E6,9,1)</f>
        <v/>
      </c>
      <c r="AF6">
        <f>MID($E6,10,1)</f>
        <v/>
      </c>
    </row>
    <row r="7">
      <c r="A7" s="4" t="inlineStr">
        <is>
          <t>DN006</t>
        </is>
      </c>
      <c r="B7" s="4" t="n">
        <v>1</v>
      </c>
      <c r="C7" s="4" t="n">
        <v>1</v>
      </c>
      <c r="D7" s="5" t="inlineStr">
        <is>
          <t>GCCTTGCCTT</t>
        </is>
      </c>
      <c r="E7" s="5" t="inlineStr">
        <is>
          <t>TACGATGCCT</t>
        </is>
      </c>
      <c r="F7" s="4">
        <f>LEN(SUBSTITUTE(SUBSTITUTE(D7,"A",""),"T",""))</f>
        <v/>
      </c>
      <c r="G7" s="4">
        <f>LEN(SUBSTITUTE(SUBSTITUTE(E7,"A",""),"T",""))</f>
        <v/>
      </c>
      <c r="H7" s="4" t="n">
        <v>-3.17</v>
      </c>
      <c r="I7" s="4" t="n">
        <v>-2.09</v>
      </c>
      <c r="J7" s="4" t="n">
        <v>-4.54</v>
      </c>
      <c r="K7" s="4" t="n">
        <v>-2.3</v>
      </c>
      <c r="M7">
        <f>MID($D7,1,1)</f>
        <v/>
      </c>
      <c r="N7">
        <f>MID($D7,2,1)</f>
        <v/>
      </c>
      <c r="O7">
        <f>MID($D7,3,1)</f>
        <v/>
      </c>
      <c r="P7">
        <f>MID($D7,4,1)</f>
        <v/>
      </c>
      <c r="Q7">
        <f>MID($D7,5,1)</f>
        <v/>
      </c>
      <c r="R7">
        <f>MID($D7,6,1)</f>
        <v/>
      </c>
      <c r="S7">
        <f>MID($D7,7,1)</f>
        <v/>
      </c>
      <c r="T7">
        <f>MID($D7,8,1)</f>
        <v/>
      </c>
      <c r="U7">
        <f>MID($D7,9,1)</f>
        <v/>
      </c>
      <c r="V7">
        <f>MID($D7,10,1)</f>
        <v/>
      </c>
      <c r="W7">
        <f>MID($E7,1,1)</f>
        <v/>
      </c>
      <c r="X7">
        <f>MID($E7,2,1)</f>
        <v/>
      </c>
      <c r="Y7">
        <f>MID($E7,3,1)</f>
        <v/>
      </c>
      <c r="Z7">
        <f>MID($E7,4,1)</f>
        <v/>
      </c>
      <c r="AA7">
        <f>MID($E7,5,1)</f>
        <v/>
      </c>
      <c r="AB7">
        <f>MID($E7,6,1)</f>
        <v/>
      </c>
      <c r="AC7">
        <f>MID($E7,7,1)</f>
        <v/>
      </c>
      <c r="AD7">
        <f>MID($E7,8,1)</f>
        <v/>
      </c>
      <c r="AE7">
        <f>MID($E7,9,1)</f>
        <v/>
      </c>
      <c r="AF7">
        <f>MID($E7,10,1)</f>
        <v/>
      </c>
    </row>
    <row r="8">
      <c r="A8" s="4" t="inlineStr">
        <is>
          <t>DN007</t>
        </is>
      </c>
      <c r="B8" s="4" t="n">
        <v>1</v>
      </c>
      <c r="C8" s="4" t="n">
        <v>1</v>
      </c>
      <c r="D8" s="5" t="inlineStr">
        <is>
          <t>GCACCAAGCT</t>
        </is>
      </c>
      <c r="E8" s="5" t="inlineStr">
        <is>
          <t>AATAACGCTC</t>
        </is>
      </c>
      <c r="F8" s="4">
        <f>LEN(SUBSTITUTE(SUBSTITUTE(D8,"A",""),"T",""))</f>
        <v/>
      </c>
      <c r="G8" s="4">
        <f>LEN(SUBSTITUTE(SUBSTITUTE(E8,"A",""),"T",""))</f>
        <v/>
      </c>
      <c r="H8" s="4" t="n">
        <v>-1.83</v>
      </c>
      <c r="I8" s="4" t="n">
        <v>-1.2</v>
      </c>
      <c r="J8" s="4" t="n">
        <v>-3.66</v>
      </c>
      <c r="K8" s="4" t="n">
        <v>-1</v>
      </c>
      <c r="M8">
        <f>MID($D8,1,1)</f>
        <v/>
      </c>
      <c r="N8">
        <f>MID($D8,2,1)</f>
        <v/>
      </c>
      <c r="O8">
        <f>MID($D8,3,1)</f>
        <v/>
      </c>
      <c r="P8">
        <f>MID($D8,4,1)</f>
        <v/>
      </c>
      <c r="Q8">
        <f>MID($D8,5,1)</f>
        <v/>
      </c>
      <c r="R8">
        <f>MID($D8,6,1)</f>
        <v/>
      </c>
      <c r="S8">
        <f>MID($D8,7,1)</f>
        <v/>
      </c>
      <c r="T8">
        <f>MID($D8,8,1)</f>
        <v/>
      </c>
      <c r="U8">
        <f>MID($D8,9,1)</f>
        <v/>
      </c>
      <c r="V8">
        <f>MID($D8,10,1)</f>
        <v/>
      </c>
      <c r="W8">
        <f>MID($E8,1,1)</f>
        <v/>
      </c>
      <c r="X8">
        <f>MID($E8,2,1)</f>
        <v/>
      </c>
      <c r="Y8">
        <f>MID($E8,3,1)</f>
        <v/>
      </c>
      <c r="Z8">
        <f>MID($E8,4,1)</f>
        <v/>
      </c>
      <c r="AA8">
        <f>MID($E8,5,1)</f>
        <v/>
      </c>
      <c r="AB8">
        <f>MID($E8,6,1)</f>
        <v/>
      </c>
      <c r="AC8">
        <f>MID($E8,7,1)</f>
        <v/>
      </c>
      <c r="AD8">
        <f>MID($E8,8,1)</f>
        <v/>
      </c>
      <c r="AE8">
        <f>MID($E8,9,1)</f>
        <v/>
      </c>
      <c r="AF8">
        <f>MID($E8,10,1)</f>
        <v/>
      </c>
    </row>
    <row r="9">
      <c r="A9" s="4" t="inlineStr">
        <is>
          <t>DN008</t>
        </is>
      </c>
      <c r="B9" s="4" t="n">
        <v>1</v>
      </c>
      <c r="C9" s="4" t="n">
        <v>1</v>
      </c>
      <c r="D9" s="5" t="inlineStr">
        <is>
          <t>GTGGCTGTAC</t>
        </is>
      </c>
      <c r="E9" s="5" t="inlineStr">
        <is>
          <t>GCATTCTCCG</t>
        </is>
      </c>
      <c r="F9" s="4">
        <f>LEN(SUBSTITUTE(SUBSTITUTE(D9,"A",""),"T",""))</f>
        <v/>
      </c>
      <c r="G9" s="4">
        <f>LEN(SUBSTITUTE(SUBSTITUTE(E9,"A",""),"T",""))</f>
        <v/>
      </c>
      <c r="H9" s="4" t="n">
        <v>-3.21</v>
      </c>
      <c r="I9" s="4" t="n">
        <v>-2.97</v>
      </c>
      <c r="J9" s="4" t="n">
        <v>-2.94</v>
      </c>
      <c r="K9" s="4" t="n">
        <v>-0.27</v>
      </c>
      <c r="M9">
        <f>MID($D9,1,1)</f>
        <v/>
      </c>
      <c r="N9">
        <f>MID($D9,2,1)</f>
        <v/>
      </c>
      <c r="O9">
        <f>MID($D9,3,1)</f>
        <v/>
      </c>
      <c r="P9">
        <f>MID($D9,4,1)</f>
        <v/>
      </c>
      <c r="Q9">
        <f>MID($D9,5,1)</f>
        <v/>
      </c>
      <c r="R9">
        <f>MID($D9,6,1)</f>
        <v/>
      </c>
      <c r="S9">
        <f>MID($D9,7,1)</f>
        <v/>
      </c>
      <c r="T9">
        <f>MID($D9,8,1)</f>
        <v/>
      </c>
      <c r="U9">
        <f>MID($D9,9,1)</f>
        <v/>
      </c>
      <c r="V9">
        <f>MID($D9,10,1)</f>
        <v/>
      </c>
      <c r="W9">
        <f>MID($E9,1,1)</f>
        <v/>
      </c>
      <c r="X9">
        <f>MID($E9,2,1)</f>
        <v/>
      </c>
      <c r="Y9">
        <f>MID($E9,3,1)</f>
        <v/>
      </c>
      <c r="Z9">
        <f>MID($E9,4,1)</f>
        <v/>
      </c>
      <c r="AA9">
        <f>MID($E9,5,1)</f>
        <v/>
      </c>
      <c r="AB9">
        <f>MID($E9,6,1)</f>
        <v/>
      </c>
      <c r="AC9">
        <f>MID($E9,7,1)</f>
        <v/>
      </c>
      <c r="AD9">
        <f>MID($E9,8,1)</f>
        <v/>
      </c>
      <c r="AE9">
        <f>MID($E9,9,1)</f>
        <v/>
      </c>
      <c r="AF9">
        <f>MID($E9,10,1)</f>
        <v/>
      </c>
    </row>
    <row r="10">
      <c r="A10" s="4" t="inlineStr">
        <is>
          <t>DN009</t>
        </is>
      </c>
      <c r="B10" s="4" t="n">
        <v>1</v>
      </c>
      <c r="C10" s="4" t="n">
        <v>1</v>
      </c>
      <c r="D10" s="5" t="inlineStr">
        <is>
          <t>AGCCTTCACC</t>
        </is>
      </c>
      <c r="E10" s="5" t="inlineStr">
        <is>
          <t>AGGCGCCATT</t>
        </is>
      </c>
      <c r="F10" s="4">
        <f>LEN(SUBSTITUTE(SUBSTITUTE(D10,"A",""),"T",""))</f>
        <v/>
      </c>
      <c r="G10" s="4">
        <f>LEN(SUBSTITUTE(SUBSTITUTE(E10,"A",""),"T",""))</f>
        <v/>
      </c>
      <c r="H10" s="4" t="n">
        <v>-2.36</v>
      </c>
      <c r="I10" s="4" t="n">
        <v>-1.93</v>
      </c>
      <c r="J10" s="4" t="n">
        <v>-4.02</v>
      </c>
      <c r="K10" s="4" t="n">
        <v>-1.49</v>
      </c>
      <c r="M10">
        <f>MID($D10,1,1)</f>
        <v/>
      </c>
      <c r="N10">
        <f>MID($D10,2,1)</f>
        <v/>
      </c>
      <c r="O10">
        <f>MID($D10,3,1)</f>
        <v/>
      </c>
      <c r="P10">
        <f>MID($D10,4,1)</f>
        <v/>
      </c>
      <c r="Q10">
        <f>MID($D10,5,1)</f>
        <v/>
      </c>
      <c r="R10">
        <f>MID($D10,6,1)</f>
        <v/>
      </c>
      <c r="S10">
        <f>MID($D10,7,1)</f>
        <v/>
      </c>
      <c r="T10">
        <f>MID($D10,8,1)</f>
        <v/>
      </c>
      <c r="U10">
        <f>MID($D10,9,1)</f>
        <v/>
      </c>
      <c r="V10">
        <f>MID($D10,10,1)</f>
        <v/>
      </c>
      <c r="W10">
        <f>MID($E10,1,1)</f>
        <v/>
      </c>
      <c r="X10">
        <f>MID($E10,2,1)</f>
        <v/>
      </c>
      <c r="Y10">
        <f>MID($E10,3,1)</f>
        <v/>
      </c>
      <c r="Z10">
        <f>MID($E10,4,1)</f>
        <v/>
      </c>
      <c r="AA10">
        <f>MID($E10,5,1)</f>
        <v/>
      </c>
      <c r="AB10">
        <f>MID($E10,6,1)</f>
        <v/>
      </c>
      <c r="AC10">
        <f>MID($E10,7,1)</f>
        <v/>
      </c>
      <c r="AD10">
        <f>MID($E10,8,1)</f>
        <v/>
      </c>
      <c r="AE10">
        <f>MID($E10,9,1)</f>
        <v/>
      </c>
      <c r="AF10">
        <f>MID($E10,10,1)</f>
        <v/>
      </c>
    </row>
    <row r="11">
      <c r="A11" s="4" t="inlineStr">
        <is>
          <t>DN010</t>
        </is>
      </c>
      <c r="B11" s="4" t="n">
        <v>1</v>
      </c>
      <c r="C11" s="4" t="n">
        <v>1</v>
      </c>
      <c r="D11" s="5" t="inlineStr">
        <is>
          <t>ACCTTCGCTG</t>
        </is>
      </c>
      <c r="E11" s="5" t="inlineStr">
        <is>
          <t>AACTTGAGCT</t>
        </is>
      </c>
      <c r="F11" s="4">
        <f>LEN(SUBSTITUTE(SUBSTITUTE(D11,"A",""),"T",""))</f>
        <v/>
      </c>
      <c r="G11" s="4">
        <f>LEN(SUBSTITUTE(SUBSTITUTE(E11,"A",""),"T",""))</f>
        <v/>
      </c>
      <c r="H11" s="4" t="n">
        <v>-3.85</v>
      </c>
      <c r="I11" s="4" t="n">
        <v>-0.72</v>
      </c>
      <c r="J11" s="4" t="n">
        <v>-1.97</v>
      </c>
      <c r="K11" s="4" t="n">
        <v>-1.77</v>
      </c>
      <c r="M11">
        <f>MID($D11,1,1)</f>
        <v/>
      </c>
      <c r="N11">
        <f>MID($D11,2,1)</f>
        <v/>
      </c>
      <c r="O11">
        <f>MID($D11,3,1)</f>
        <v/>
      </c>
      <c r="P11">
        <f>MID($D11,4,1)</f>
        <v/>
      </c>
      <c r="Q11">
        <f>MID($D11,5,1)</f>
        <v/>
      </c>
      <c r="R11">
        <f>MID($D11,6,1)</f>
        <v/>
      </c>
      <c r="S11">
        <f>MID($D11,7,1)</f>
        <v/>
      </c>
      <c r="T11">
        <f>MID($D11,8,1)</f>
        <v/>
      </c>
      <c r="U11">
        <f>MID($D11,9,1)</f>
        <v/>
      </c>
      <c r="V11">
        <f>MID($D11,10,1)</f>
        <v/>
      </c>
      <c r="W11">
        <f>MID($E11,1,1)</f>
        <v/>
      </c>
      <c r="X11">
        <f>MID($E11,2,1)</f>
        <v/>
      </c>
      <c r="Y11">
        <f>MID($E11,3,1)</f>
        <v/>
      </c>
      <c r="Z11">
        <f>MID($E11,4,1)</f>
        <v/>
      </c>
      <c r="AA11">
        <f>MID($E11,5,1)</f>
        <v/>
      </c>
      <c r="AB11">
        <f>MID($E11,6,1)</f>
        <v/>
      </c>
      <c r="AC11">
        <f>MID($E11,7,1)</f>
        <v/>
      </c>
      <c r="AD11">
        <f>MID($E11,8,1)</f>
        <v/>
      </c>
      <c r="AE11">
        <f>MID($E11,9,1)</f>
        <v/>
      </c>
      <c r="AF11">
        <f>MID($E11,10,1)</f>
        <v/>
      </c>
    </row>
    <row r="12">
      <c r="A12" s="4" t="inlineStr">
        <is>
          <t>DN011</t>
        </is>
      </c>
      <c r="B12" s="4" t="n">
        <v>1</v>
      </c>
      <c r="C12" s="4" t="n">
        <v>1</v>
      </c>
      <c r="D12" s="5" t="inlineStr">
        <is>
          <t>AGAGGAGCCT</t>
        </is>
      </c>
      <c r="E12" s="5" t="inlineStr">
        <is>
          <t>TGGATGTCCG</t>
        </is>
      </c>
      <c r="F12" s="4">
        <f>LEN(SUBSTITUTE(SUBSTITUTE(D12,"A",""),"T",""))</f>
        <v/>
      </c>
      <c r="G12" s="4">
        <f>LEN(SUBSTITUTE(SUBSTITUTE(E12,"A",""),"T",""))</f>
        <v/>
      </c>
      <c r="H12" s="4" t="n">
        <v>-3.27</v>
      </c>
      <c r="I12" s="4" t="n">
        <v>-2.36</v>
      </c>
      <c r="J12" s="4" t="n">
        <v>-2.36</v>
      </c>
      <c r="K12" s="4" t="n">
        <v>-1.61</v>
      </c>
      <c r="M12">
        <f>MID($D12,1,1)</f>
        <v/>
      </c>
      <c r="N12">
        <f>MID($D12,2,1)</f>
        <v/>
      </c>
      <c r="O12">
        <f>MID($D12,3,1)</f>
        <v/>
      </c>
      <c r="P12">
        <f>MID($D12,4,1)</f>
        <v/>
      </c>
      <c r="Q12">
        <f>MID($D12,5,1)</f>
        <v/>
      </c>
      <c r="R12">
        <f>MID($D12,6,1)</f>
        <v/>
      </c>
      <c r="S12">
        <f>MID($D12,7,1)</f>
        <v/>
      </c>
      <c r="T12">
        <f>MID($D12,8,1)</f>
        <v/>
      </c>
      <c r="U12">
        <f>MID($D12,9,1)</f>
        <v/>
      </c>
      <c r="V12">
        <f>MID($D12,10,1)</f>
        <v/>
      </c>
      <c r="W12">
        <f>MID($E12,1,1)</f>
        <v/>
      </c>
      <c r="X12">
        <f>MID($E12,2,1)</f>
        <v/>
      </c>
      <c r="Y12">
        <f>MID($E12,3,1)</f>
        <v/>
      </c>
      <c r="Z12">
        <f>MID($E12,4,1)</f>
        <v/>
      </c>
      <c r="AA12">
        <f>MID($E12,5,1)</f>
        <v/>
      </c>
      <c r="AB12">
        <f>MID($E12,6,1)</f>
        <v/>
      </c>
      <c r="AC12">
        <f>MID($E12,7,1)</f>
        <v/>
      </c>
      <c r="AD12">
        <f>MID($E12,8,1)</f>
        <v/>
      </c>
      <c r="AE12">
        <f>MID($E12,9,1)</f>
        <v/>
      </c>
      <c r="AF12">
        <f>MID($E12,10,1)</f>
        <v/>
      </c>
    </row>
    <row r="13">
      <c r="A13" s="4" t="inlineStr">
        <is>
          <t>DN012</t>
        </is>
      </c>
      <c r="B13" s="4" t="n">
        <v>1</v>
      </c>
      <c r="C13" s="4" t="n">
        <v>1</v>
      </c>
      <c r="D13" s="5" t="inlineStr">
        <is>
          <t>GCGAGGAACT</t>
        </is>
      </c>
      <c r="E13" s="5" t="inlineStr">
        <is>
          <t>CATAAGCCGC</t>
        </is>
      </c>
      <c r="F13" s="4">
        <f>LEN(SUBSTITUTE(SUBSTITUTE(D13,"A",""),"T",""))</f>
        <v/>
      </c>
      <c r="G13" s="4">
        <f>LEN(SUBSTITUTE(SUBSTITUTE(E13,"A",""),"T",""))</f>
        <v/>
      </c>
      <c r="H13" s="4" t="n">
        <v>-3.16</v>
      </c>
      <c r="I13" s="4" t="n">
        <v>-3.16</v>
      </c>
      <c r="J13" s="4" t="n">
        <v>-2.65</v>
      </c>
      <c r="K13" s="4" t="n">
        <v>-1.05</v>
      </c>
      <c r="M13">
        <f>MID($D13,1,1)</f>
        <v/>
      </c>
      <c r="N13">
        <f>MID($D13,2,1)</f>
        <v/>
      </c>
      <c r="O13">
        <f>MID($D13,3,1)</f>
        <v/>
      </c>
      <c r="P13">
        <f>MID($D13,4,1)</f>
        <v/>
      </c>
      <c r="Q13">
        <f>MID($D13,5,1)</f>
        <v/>
      </c>
      <c r="R13">
        <f>MID($D13,6,1)</f>
        <v/>
      </c>
      <c r="S13">
        <f>MID($D13,7,1)</f>
        <v/>
      </c>
      <c r="T13">
        <f>MID($D13,8,1)</f>
        <v/>
      </c>
      <c r="U13">
        <f>MID($D13,9,1)</f>
        <v/>
      </c>
      <c r="V13">
        <f>MID($D13,10,1)</f>
        <v/>
      </c>
      <c r="W13">
        <f>MID($E13,1,1)</f>
        <v/>
      </c>
      <c r="X13">
        <f>MID($E13,2,1)</f>
        <v/>
      </c>
      <c r="Y13">
        <f>MID($E13,3,1)</f>
        <v/>
      </c>
      <c r="Z13">
        <f>MID($E13,4,1)</f>
        <v/>
      </c>
      <c r="AA13">
        <f>MID($E13,5,1)</f>
        <v/>
      </c>
      <c r="AB13">
        <f>MID($E13,6,1)</f>
        <v/>
      </c>
      <c r="AC13">
        <f>MID($E13,7,1)</f>
        <v/>
      </c>
      <c r="AD13">
        <f>MID($E13,8,1)</f>
        <v/>
      </c>
      <c r="AE13">
        <f>MID($E13,9,1)</f>
        <v/>
      </c>
      <c r="AF13">
        <f>MID($E13,10,1)</f>
        <v/>
      </c>
    </row>
    <row r="14">
      <c r="A14" s="4" t="inlineStr">
        <is>
          <t>DN013</t>
        </is>
      </c>
      <c r="B14" s="4" t="n">
        <v>1</v>
      </c>
      <c r="C14" s="4" t="n">
        <v>1</v>
      </c>
      <c r="D14" s="5" t="inlineStr">
        <is>
          <t>CCATACCAAT</t>
        </is>
      </c>
      <c r="E14" s="5" t="inlineStr">
        <is>
          <t>TGTGAGTGTC</t>
        </is>
      </c>
      <c r="F14" s="4">
        <f>LEN(SUBSTITUTE(SUBSTITUTE(D14,"A",""),"T",""))</f>
        <v/>
      </c>
      <c r="G14" s="4">
        <f>LEN(SUBSTITUTE(SUBSTITUTE(E14,"A",""),"T",""))</f>
        <v/>
      </c>
      <c r="H14" s="4" t="n">
        <v>-1.56</v>
      </c>
      <c r="I14" s="4" t="n">
        <v>0</v>
      </c>
      <c r="J14" s="4" t="n">
        <v>-2.01</v>
      </c>
      <c r="K14" s="4" t="n">
        <v>-1.15</v>
      </c>
      <c r="M14">
        <f>MID($D14,1,1)</f>
        <v/>
      </c>
      <c r="N14">
        <f>MID($D14,2,1)</f>
        <v/>
      </c>
      <c r="O14">
        <f>MID($D14,3,1)</f>
        <v/>
      </c>
      <c r="P14">
        <f>MID($D14,4,1)</f>
        <v/>
      </c>
      <c r="Q14">
        <f>MID($D14,5,1)</f>
        <v/>
      </c>
      <c r="R14">
        <f>MID($D14,6,1)</f>
        <v/>
      </c>
      <c r="S14">
        <f>MID($D14,7,1)</f>
        <v/>
      </c>
      <c r="T14">
        <f>MID($D14,8,1)</f>
        <v/>
      </c>
      <c r="U14">
        <f>MID($D14,9,1)</f>
        <v/>
      </c>
      <c r="V14">
        <f>MID($D14,10,1)</f>
        <v/>
      </c>
      <c r="W14">
        <f>MID($E14,1,1)</f>
        <v/>
      </c>
      <c r="X14">
        <f>MID($E14,2,1)</f>
        <v/>
      </c>
      <c r="Y14">
        <f>MID($E14,3,1)</f>
        <v/>
      </c>
      <c r="Z14">
        <f>MID($E14,4,1)</f>
        <v/>
      </c>
      <c r="AA14">
        <f>MID($E14,5,1)</f>
        <v/>
      </c>
      <c r="AB14">
        <f>MID($E14,6,1)</f>
        <v/>
      </c>
      <c r="AC14">
        <f>MID($E14,7,1)</f>
        <v/>
      </c>
      <c r="AD14">
        <f>MID($E14,8,1)</f>
        <v/>
      </c>
      <c r="AE14">
        <f>MID($E14,9,1)</f>
        <v/>
      </c>
      <c r="AF14">
        <f>MID($E14,10,1)</f>
        <v/>
      </c>
    </row>
    <row r="15">
      <c r="A15" s="4" t="inlineStr">
        <is>
          <t>DN014</t>
        </is>
      </c>
      <c r="B15" s="4" t="n">
        <v>1</v>
      </c>
      <c r="C15" s="4" t="n">
        <v>1</v>
      </c>
      <c r="D15" s="5" t="inlineStr">
        <is>
          <t>GCGGACAAGT</t>
        </is>
      </c>
      <c r="E15" s="5" t="inlineStr">
        <is>
          <t>ATCGAGCAAC</t>
        </is>
      </c>
      <c r="F15" s="4">
        <f>LEN(SUBSTITUTE(SUBSTITUTE(D15,"A",""),"T",""))</f>
        <v/>
      </c>
      <c r="G15" s="4">
        <f>LEN(SUBSTITUTE(SUBSTITUTE(E15,"A",""),"T",""))</f>
        <v/>
      </c>
      <c r="H15" s="4" t="n">
        <v>-3.34</v>
      </c>
      <c r="I15" s="4" t="n">
        <v>-2.27</v>
      </c>
      <c r="J15" s="4" t="n">
        <v>-2.56</v>
      </c>
      <c r="K15" s="4" t="n">
        <v>-1.58</v>
      </c>
      <c r="M15">
        <f>MID($D15,1,1)</f>
        <v/>
      </c>
      <c r="N15">
        <f>MID($D15,2,1)</f>
        <v/>
      </c>
      <c r="O15">
        <f>MID($D15,3,1)</f>
        <v/>
      </c>
      <c r="P15">
        <f>MID($D15,4,1)</f>
        <v/>
      </c>
      <c r="Q15">
        <f>MID($D15,5,1)</f>
        <v/>
      </c>
      <c r="R15">
        <f>MID($D15,6,1)</f>
        <v/>
      </c>
      <c r="S15">
        <f>MID($D15,7,1)</f>
        <v/>
      </c>
      <c r="T15">
        <f>MID($D15,8,1)</f>
        <v/>
      </c>
      <c r="U15">
        <f>MID($D15,9,1)</f>
        <v/>
      </c>
      <c r="V15">
        <f>MID($D15,10,1)</f>
        <v/>
      </c>
      <c r="W15">
        <f>MID($E15,1,1)</f>
        <v/>
      </c>
      <c r="X15">
        <f>MID($E15,2,1)</f>
        <v/>
      </c>
      <c r="Y15">
        <f>MID($E15,3,1)</f>
        <v/>
      </c>
      <c r="Z15">
        <f>MID($E15,4,1)</f>
        <v/>
      </c>
      <c r="AA15">
        <f>MID($E15,5,1)</f>
        <v/>
      </c>
      <c r="AB15">
        <f>MID($E15,6,1)</f>
        <v/>
      </c>
      <c r="AC15">
        <f>MID($E15,7,1)</f>
        <v/>
      </c>
      <c r="AD15">
        <f>MID($E15,8,1)</f>
        <v/>
      </c>
      <c r="AE15">
        <f>MID($E15,9,1)</f>
        <v/>
      </c>
      <c r="AF15">
        <f>MID($E15,10,1)</f>
        <v/>
      </c>
    </row>
    <row r="16">
      <c r="A16" s="4" t="inlineStr">
        <is>
          <t>DN015</t>
        </is>
      </c>
      <c r="B16" s="4" t="n">
        <v>1</v>
      </c>
      <c r="C16" s="4" t="n">
        <v>1</v>
      </c>
      <c r="D16" s="5" t="inlineStr">
        <is>
          <t>TAGGAAGTGT</t>
        </is>
      </c>
      <c r="E16" s="5" t="inlineStr">
        <is>
          <t>GCGTCGAGAA</t>
        </is>
      </c>
      <c r="F16" s="4">
        <f>LEN(SUBSTITUTE(SUBSTITUTE(D16,"A",""),"T",""))</f>
        <v/>
      </c>
      <c r="G16" s="4">
        <f>LEN(SUBSTITUTE(SUBSTITUTE(E16,"A",""),"T",""))</f>
        <v/>
      </c>
      <c r="H16" s="4" t="n">
        <v>-2.17</v>
      </c>
      <c r="I16" s="4" t="n">
        <v>-1.9</v>
      </c>
      <c r="J16" s="4" t="n">
        <v>-2.98</v>
      </c>
      <c r="K16" s="4" t="n">
        <v>-0.74</v>
      </c>
      <c r="M16">
        <f>MID($D16,1,1)</f>
        <v/>
      </c>
      <c r="N16">
        <f>MID($D16,2,1)</f>
        <v/>
      </c>
      <c r="O16">
        <f>MID($D16,3,1)</f>
        <v/>
      </c>
      <c r="P16">
        <f>MID($D16,4,1)</f>
        <v/>
      </c>
      <c r="Q16">
        <f>MID($D16,5,1)</f>
        <v/>
      </c>
      <c r="R16">
        <f>MID($D16,6,1)</f>
        <v/>
      </c>
      <c r="S16">
        <f>MID($D16,7,1)</f>
        <v/>
      </c>
      <c r="T16">
        <f>MID($D16,8,1)</f>
        <v/>
      </c>
      <c r="U16">
        <f>MID($D16,9,1)</f>
        <v/>
      </c>
      <c r="V16">
        <f>MID($D16,10,1)</f>
        <v/>
      </c>
      <c r="W16">
        <f>MID($E16,1,1)</f>
        <v/>
      </c>
      <c r="X16">
        <f>MID($E16,2,1)</f>
        <v/>
      </c>
      <c r="Y16">
        <f>MID($E16,3,1)</f>
        <v/>
      </c>
      <c r="Z16">
        <f>MID($E16,4,1)</f>
        <v/>
      </c>
      <c r="AA16">
        <f>MID($E16,5,1)</f>
        <v/>
      </c>
      <c r="AB16">
        <f>MID($E16,6,1)</f>
        <v/>
      </c>
      <c r="AC16">
        <f>MID($E16,7,1)</f>
        <v/>
      </c>
      <c r="AD16">
        <f>MID($E16,8,1)</f>
        <v/>
      </c>
      <c r="AE16">
        <f>MID($E16,9,1)</f>
        <v/>
      </c>
      <c r="AF16">
        <f>MID($E16,10,1)</f>
        <v/>
      </c>
    </row>
    <row r="17">
      <c r="A17" s="4" t="inlineStr">
        <is>
          <t>DN016</t>
        </is>
      </c>
      <c r="B17" s="4" t="n">
        <v>1</v>
      </c>
      <c r="C17" s="4" t="n">
        <v>1</v>
      </c>
      <c r="D17" s="5" t="inlineStr">
        <is>
          <t>AGCCGAGGTT</t>
        </is>
      </c>
      <c r="E17" s="5" t="inlineStr">
        <is>
          <t>CGCATAAGGT</t>
        </is>
      </c>
      <c r="F17" s="4">
        <f>LEN(SUBSTITUTE(SUBSTITUTE(D17,"A",""),"T",""))</f>
        <v/>
      </c>
      <c r="G17" s="4">
        <f>LEN(SUBSTITUTE(SUBSTITUTE(E17,"A",""),"T",""))</f>
        <v/>
      </c>
      <c r="H17" s="4" t="n">
        <v>-3.25</v>
      </c>
      <c r="I17" s="4" t="n">
        <v>-2.14</v>
      </c>
      <c r="J17" s="4" t="n">
        <v>-2.38</v>
      </c>
      <c r="K17" s="4" t="n">
        <v>-1.03</v>
      </c>
      <c r="M17">
        <f>MID($D17,1,1)</f>
        <v/>
      </c>
      <c r="N17">
        <f>MID($D17,2,1)</f>
        <v/>
      </c>
      <c r="O17">
        <f>MID($D17,3,1)</f>
        <v/>
      </c>
      <c r="P17">
        <f>MID($D17,4,1)</f>
        <v/>
      </c>
      <c r="Q17">
        <f>MID($D17,5,1)</f>
        <v/>
      </c>
      <c r="R17">
        <f>MID($D17,6,1)</f>
        <v/>
      </c>
      <c r="S17">
        <f>MID($D17,7,1)</f>
        <v/>
      </c>
      <c r="T17">
        <f>MID($D17,8,1)</f>
        <v/>
      </c>
      <c r="U17">
        <f>MID($D17,9,1)</f>
        <v/>
      </c>
      <c r="V17">
        <f>MID($D17,10,1)</f>
        <v/>
      </c>
      <c r="W17">
        <f>MID($E17,1,1)</f>
        <v/>
      </c>
      <c r="X17">
        <f>MID($E17,2,1)</f>
        <v/>
      </c>
      <c r="Y17">
        <f>MID($E17,3,1)</f>
        <v/>
      </c>
      <c r="Z17">
        <f>MID($E17,4,1)</f>
        <v/>
      </c>
      <c r="AA17">
        <f>MID($E17,5,1)</f>
        <v/>
      </c>
      <c r="AB17">
        <f>MID($E17,6,1)</f>
        <v/>
      </c>
      <c r="AC17">
        <f>MID($E17,7,1)</f>
        <v/>
      </c>
      <c r="AD17">
        <f>MID($E17,8,1)</f>
        <v/>
      </c>
      <c r="AE17">
        <f>MID($E17,9,1)</f>
        <v/>
      </c>
      <c r="AF17">
        <f>MID($E17,10,1)</f>
        <v/>
      </c>
    </row>
    <row r="18">
      <c r="A18" s="4" t="inlineStr">
        <is>
          <t>DN017</t>
        </is>
      </c>
      <c r="B18" s="4" t="n">
        <v>1</v>
      </c>
      <c r="C18" s="4" t="n">
        <v>1</v>
      </c>
      <c r="D18" s="5" t="inlineStr">
        <is>
          <t>ATACGCATCA</t>
        </is>
      </c>
      <c r="E18" s="5" t="inlineStr">
        <is>
          <t>CGGACCTATA</t>
        </is>
      </c>
      <c r="F18" s="4">
        <f>LEN(SUBSTITUTE(SUBSTITUTE(D18,"A",""),"T",""))</f>
        <v/>
      </c>
      <c r="G18" s="4">
        <f>LEN(SUBSTITUTE(SUBSTITUTE(E18,"A",""),"T",""))</f>
        <v/>
      </c>
      <c r="H18" s="4" t="n">
        <v>-3.66</v>
      </c>
      <c r="I18" s="4" t="n">
        <v>-1.27</v>
      </c>
      <c r="J18" s="4" t="n">
        <v>-2.62</v>
      </c>
      <c r="K18" s="4" t="n">
        <v>-1.81</v>
      </c>
      <c r="M18">
        <f>MID($D18,1,1)</f>
        <v/>
      </c>
      <c r="N18">
        <f>MID($D18,2,1)</f>
        <v/>
      </c>
      <c r="O18">
        <f>MID($D18,3,1)</f>
        <v/>
      </c>
      <c r="P18">
        <f>MID($D18,4,1)</f>
        <v/>
      </c>
      <c r="Q18">
        <f>MID($D18,5,1)</f>
        <v/>
      </c>
      <c r="R18">
        <f>MID($D18,6,1)</f>
        <v/>
      </c>
      <c r="S18">
        <f>MID($D18,7,1)</f>
        <v/>
      </c>
      <c r="T18">
        <f>MID($D18,8,1)</f>
        <v/>
      </c>
      <c r="U18">
        <f>MID($D18,9,1)</f>
        <v/>
      </c>
      <c r="V18">
        <f>MID($D18,10,1)</f>
        <v/>
      </c>
      <c r="W18">
        <f>MID($E18,1,1)</f>
        <v/>
      </c>
      <c r="X18">
        <f>MID($E18,2,1)</f>
        <v/>
      </c>
      <c r="Y18">
        <f>MID($E18,3,1)</f>
        <v/>
      </c>
      <c r="Z18">
        <f>MID($E18,4,1)</f>
        <v/>
      </c>
      <c r="AA18">
        <f>MID($E18,5,1)</f>
        <v/>
      </c>
      <c r="AB18">
        <f>MID($E18,6,1)</f>
        <v/>
      </c>
      <c r="AC18">
        <f>MID($E18,7,1)</f>
        <v/>
      </c>
      <c r="AD18">
        <f>MID($E18,8,1)</f>
        <v/>
      </c>
      <c r="AE18">
        <f>MID($E18,9,1)</f>
        <v/>
      </c>
      <c r="AF18">
        <f>MID($E18,10,1)</f>
        <v/>
      </c>
    </row>
    <row r="19">
      <c r="A19" s="4" t="inlineStr">
        <is>
          <t>DN018</t>
        </is>
      </c>
      <c r="B19" s="4" t="n">
        <v>1</v>
      </c>
      <c r="C19" s="4" t="n">
        <v>1</v>
      </c>
      <c r="D19" s="5" t="inlineStr">
        <is>
          <t>CCGTTGGTAC</t>
        </is>
      </c>
      <c r="E19" s="5" t="inlineStr">
        <is>
          <t>ACTAAGGCGT</t>
        </is>
      </c>
      <c r="F19" s="4">
        <f>LEN(SUBSTITUTE(SUBSTITUTE(D19,"A",""),"T",""))</f>
        <v/>
      </c>
      <c r="G19" s="4">
        <f>LEN(SUBSTITUTE(SUBSTITUTE(E19,"A",""),"T",""))</f>
        <v/>
      </c>
      <c r="H19" s="4" t="n">
        <v>-2.85</v>
      </c>
      <c r="I19" s="4" t="n">
        <v>-0.6899999999999999</v>
      </c>
      <c r="J19" s="4" t="n">
        <v>-4.16</v>
      </c>
      <c r="K19" s="4" t="n">
        <v>-1.49</v>
      </c>
      <c r="M19">
        <f>MID($D19,1,1)</f>
        <v/>
      </c>
      <c r="N19">
        <f>MID($D19,2,1)</f>
        <v/>
      </c>
      <c r="O19">
        <f>MID($D19,3,1)</f>
        <v/>
      </c>
      <c r="P19">
        <f>MID($D19,4,1)</f>
        <v/>
      </c>
      <c r="Q19">
        <f>MID($D19,5,1)</f>
        <v/>
      </c>
      <c r="R19">
        <f>MID($D19,6,1)</f>
        <v/>
      </c>
      <c r="S19">
        <f>MID($D19,7,1)</f>
        <v/>
      </c>
      <c r="T19">
        <f>MID($D19,8,1)</f>
        <v/>
      </c>
      <c r="U19">
        <f>MID($D19,9,1)</f>
        <v/>
      </c>
      <c r="V19">
        <f>MID($D19,10,1)</f>
        <v/>
      </c>
      <c r="W19">
        <f>MID($E19,1,1)</f>
        <v/>
      </c>
      <c r="X19">
        <f>MID($E19,2,1)</f>
        <v/>
      </c>
      <c r="Y19">
        <f>MID($E19,3,1)</f>
        <v/>
      </c>
      <c r="Z19">
        <f>MID($E19,4,1)</f>
        <v/>
      </c>
      <c r="AA19">
        <f>MID($E19,5,1)</f>
        <v/>
      </c>
      <c r="AB19">
        <f>MID($E19,6,1)</f>
        <v/>
      </c>
      <c r="AC19">
        <f>MID($E19,7,1)</f>
        <v/>
      </c>
      <c r="AD19">
        <f>MID($E19,8,1)</f>
        <v/>
      </c>
      <c r="AE19">
        <f>MID($E19,9,1)</f>
        <v/>
      </c>
      <c r="AF19">
        <f>MID($E19,10,1)</f>
        <v/>
      </c>
    </row>
    <row r="20">
      <c r="A20" s="4" t="inlineStr">
        <is>
          <t>DN019</t>
        </is>
      </c>
      <c r="B20" s="4" t="n">
        <v>1</v>
      </c>
      <c r="C20" s="4" t="n">
        <v>1</v>
      </c>
      <c r="D20" s="5" t="inlineStr">
        <is>
          <t>GCGGTTGAAG</t>
        </is>
      </c>
      <c r="E20" s="5" t="inlineStr">
        <is>
          <t>GACCGCTATG</t>
        </is>
      </c>
      <c r="F20" s="4">
        <f>LEN(SUBSTITUTE(SUBSTITUTE(D20,"A",""),"T",""))</f>
        <v/>
      </c>
      <c r="G20" s="4">
        <f>LEN(SUBSTITUTE(SUBSTITUTE(E20,"A",""),"T",""))</f>
        <v/>
      </c>
      <c r="H20" s="4" t="n">
        <v>-3.57</v>
      </c>
      <c r="I20" s="4" t="n">
        <v>-1.53</v>
      </c>
      <c r="J20" s="4" t="n">
        <v>-3.68</v>
      </c>
      <c r="K20" s="4" t="n">
        <v>-0.66</v>
      </c>
      <c r="M20">
        <f>MID($D20,1,1)</f>
        <v/>
      </c>
      <c r="N20">
        <f>MID($D20,2,1)</f>
        <v/>
      </c>
      <c r="O20">
        <f>MID($D20,3,1)</f>
        <v/>
      </c>
      <c r="P20">
        <f>MID($D20,4,1)</f>
        <v/>
      </c>
      <c r="Q20">
        <f>MID($D20,5,1)</f>
        <v/>
      </c>
      <c r="R20">
        <f>MID($D20,6,1)</f>
        <v/>
      </c>
      <c r="S20">
        <f>MID($D20,7,1)</f>
        <v/>
      </c>
      <c r="T20">
        <f>MID($D20,8,1)</f>
        <v/>
      </c>
      <c r="U20">
        <f>MID($D20,9,1)</f>
        <v/>
      </c>
      <c r="V20">
        <f>MID($D20,10,1)</f>
        <v/>
      </c>
      <c r="W20">
        <f>MID($E20,1,1)</f>
        <v/>
      </c>
      <c r="X20">
        <f>MID($E20,2,1)</f>
        <v/>
      </c>
      <c r="Y20">
        <f>MID($E20,3,1)</f>
        <v/>
      </c>
      <c r="Z20">
        <f>MID($E20,4,1)</f>
        <v/>
      </c>
      <c r="AA20">
        <f>MID($E20,5,1)</f>
        <v/>
      </c>
      <c r="AB20">
        <f>MID($E20,6,1)</f>
        <v/>
      </c>
      <c r="AC20">
        <f>MID($E20,7,1)</f>
        <v/>
      </c>
      <c r="AD20">
        <f>MID($E20,8,1)</f>
        <v/>
      </c>
      <c r="AE20">
        <f>MID($E20,9,1)</f>
        <v/>
      </c>
      <c r="AF20">
        <f>MID($E20,10,1)</f>
        <v/>
      </c>
    </row>
    <row r="21">
      <c r="A21" s="4" t="inlineStr">
        <is>
          <t>DN020</t>
        </is>
      </c>
      <c r="B21" s="4" t="n">
        <v>1</v>
      </c>
      <c r="C21" s="4" t="n">
        <v>1</v>
      </c>
      <c r="D21" s="5" t="inlineStr">
        <is>
          <t>TCCGTTCTTC</t>
        </is>
      </c>
      <c r="E21" s="5" t="inlineStr">
        <is>
          <t>TGACTACAGA</t>
        </is>
      </c>
      <c r="F21" s="4">
        <f>LEN(SUBSTITUTE(SUBSTITUTE(D21,"A",""),"T",""))</f>
        <v/>
      </c>
      <c r="G21" s="4">
        <f>LEN(SUBSTITUTE(SUBSTITUTE(E21,"A",""),"T",""))</f>
        <v/>
      </c>
      <c r="H21" s="4" t="n">
        <v>-2.82</v>
      </c>
      <c r="I21" s="4" t="n">
        <v>0</v>
      </c>
      <c r="J21" s="4" t="n">
        <v>-2.25</v>
      </c>
      <c r="K21" s="4" t="n">
        <v>-1.27</v>
      </c>
      <c r="M21">
        <f>MID($D21,1,1)</f>
        <v/>
      </c>
      <c r="N21">
        <f>MID($D21,2,1)</f>
        <v/>
      </c>
      <c r="O21">
        <f>MID($D21,3,1)</f>
        <v/>
      </c>
      <c r="P21">
        <f>MID($D21,4,1)</f>
        <v/>
      </c>
      <c r="Q21">
        <f>MID($D21,5,1)</f>
        <v/>
      </c>
      <c r="R21">
        <f>MID($D21,6,1)</f>
        <v/>
      </c>
      <c r="S21">
        <f>MID($D21,7,1)</f>
        <v/>
      </c>
      <c r="T21">
        <f>MID($D21,8,1)</f>
        <v/>
      </c>
      <c r="U21">
        <f>MID($D21,9,1)</f>
        <v/>
      </c>
      <c r="V21">
        <f>MID($D21,10,1)</f>
        <v/>
      </c>
      <c r="W21">
        <f>MID($E21,1,1)</f>
        <v/>
      </c>
      <c r="X21">
        <f>MID($E21,2,1)</f>
        <v/>
      </c>
      <c r="Y21">
        <f>MID($E21,3,1)</f>
        <v/>
      </c>
      <c r="Z21">
        <f>MID($E21,4,1)</f>
        <v/>
      </c>
      <c r="AA21">
        <f>MID($E21,5,1)</f>
        <v/>
      </c>
      <c r="AB21">
        <f>MID($E21,6,1)</f>
        <v/>
      </c>
      <c r="AC21">
        <f>MID($E21,7,1)</f>
        <v/>
      </c>
      <c r="AD21">
        <f>MID($E21,8,1)</f>
        <v/>
      </c>
      <c r="AE21">
        <f>MID($E21,9,1)</f>
        <v/>
      </c>
      <c r="AF21">
        <f>MID($E21,10,1)</f>
        <v/>
      </c>
    </row>
    <row r="22">
      <c r="A22" s="4" t="inlineStr">
        <is>
          <t>DN021</t>
        </is>
      </c>
      <c r="B22" s="4" t="n">
        <v>1</v>
      </c>
      <c r="C22" s="4" t="n">
        <v>1</v>
      </c>
      <c r="D22" s="5" t="inlineStr">
        <is>
          <t>CTTCAGTTCA</t>
        </is>
      </c>
      <c r="E22" s="5" t="inlineStr">
        <is>
          <t>TACCGGTACC</t>
        </is>
      </c>
      <c r="F22" s="4">
        <f>LEN(SUBSTITUTE(SUBSTITUTE(D22,"A",""),"T",""))</f>
        <v/>
      </c>
      <c r="G22" s="4">
        <f>LEN(SUBSTITUTE(SUBSTITUTE(E22,"A",""),"T",""))</f>
        <v/>
      </c>
      <c r="H22" s="4" t="n">
        <v>-2.14</v>
      </c>
      <c r="I22" s="4" t="n">
        <v>-0.7</v>
      </c>
      <c r="J22" s="4" t="n">
        <v>-2.88</v>
      </c>
      <c r="K22" s="4" t="n">
        <v>-1.29</v>
      </c>
      <c r="M22">
        <f>MID($D22,1,1)</f>
        <v/>
      </c>
      <c r="N22">
        <f>MID($D22,2,1)</f>
        <v/>
      </c>
      <c r="O22">
        <f>MID($D22,3,1)</f>
        <v/>
      </c>
      <c r="P22">
        <f>MID($D22,4,1)</f>
        <v/>
      </c>
      <c r="Q22">
        <f>MID($D22,5,1)</f>
        <v/>
      </c>
      <c r="R22">
        <f>MID($D22,6,1)</f>
        <v/>
      </c>
      <c r="S22">
        <f>MID($D22,7,1)</f>
        <v/>
      </c>
      <c r="T22">
        <f>MID($D22,8,1)</f>
        <v/>
      </c>
      <c r="U22">
        <f>MID($D22,9,1)</f>
        <v/>
      </c>
      <c r="V22">
        <f>MID($D22,10,1)</f>
        <v/>
      </c>
      <c r="W22">
        <f>MID($E22,1,1)</f>
        <v/>
      </c>
      <c r="X22">
        <f>MID($E22,2,1)</f>
        <v/>
      </c>
      <c r="Y22">
        <f>MID($E22,3,1)</f>
        <v/>
      </c>
      <c r="Z22">
        <f>MID($E22,4,1)</f>
        <v/>
      </c>
      <c r="AA22">
        <f>MID($E22,5,1)</f>
        <v/>
      </c>
      <c r="AB22">
        <f>MID($E22,6,1)</f>
        <v/>
      </c>
      <c r="AC22">
        <f>MID($E22,7,1)</f>
        <v/>
      </c>
      <c r="AD22">
        <f>MID($E22,8,1)</f>
        <v/>
      </c>
      <c r="AE22">
        <f>MID($E22,9,1)</f>
        <v/>
      </c>
      <c r="AF22">
        <f>MID($E22,10,1)</f>
        <v/>
      </c>
    </row>
    <row r="23">
      <c r="A23" s="4" t="inlineStr">
        <is>
          <t>DN022</t>
        </is>
      </c>
      <c r="B23" s="4" t="n">
        <v>1</v>
      </c>
      <c r="C23" s="4" t="n">
        <v>1</v>
      </c>
      <c r="D23" s="5" t="inlineStr">
        <is>
          <t>GCCTTACGCA</t>
        </is>
      </c>
      <c r="E23" s="5" t="inlineStr">
        <is>
          <t>GATCACGTCG</t>
        </is>
      </c>
      <c r="F23" s="4">
        <f>LEN(SUBSTITUTE(SUBSTITUTE(D23,"A",""),"T",""))</f>
        <v/>
      </c>
      <c r="G23" s="4">
        <f>LEN(SUBSTITUTE(SUBSTITUTE(E23,"A",""),"T",""))</f>
        <v/>
      </c>
      <c r="H23" s="4" t="n">
        <v>-3.41</v>
      </c>
      <c r="I23" s="4" t="n">
        <v>-1.27</v>
      </c>
      <c r="J23" s="4" t="n">
        <v>-3.49</v>
      </c>
      <c r="K23" s="4" t="n">
        <v>-1.79</v>
      </c>
      <c r="M23">
        <f>MID($D23,1,1)</f>
        <v/>
      </c>
      <c r="N23">
        <f>MID($D23,2,1)</f>
        <v/>
      </c>
      <c r="O23">
        <f>MID($D23,3,1)</f>
        <v/>
      </c>
      <c r="P23">
        <f>MID($D23,4,1)</f>
        <v/>
      </c>
      <c r="Q23">
        <f>MID($D23,5,1)</f>
        <v/>
      </c>
      <c r="R23">
        <f>MID($D23,6,1)</f>
        <v/>
      </c>
      <c r="S23">
        <f>MID($D23,7,1)</f>
        <v/>
      </c>
      <c r="T23">
        <f>MID($D23,8,1)</f>
        <v/>
      </c>
      <c r="U23">
        <f>MID($D23,9,1)</f>
        <v/>
      </c>
      <c r="V23">
        <f>MID($D23,10,1)</f>
        <v/>
      </c>
      <c r="W23">
        <f>MID($E23,1,1)</f>
        <v/>
      </c>
      <c r="X23">
        <f>MID($E23,2,1)</f>
        <v/>
      </c>
      <c r="Y23">
        <f>MID($E23,3,1)</f>
        <v/>
      </c>
      <c r="Z23">
        <f>MID($E23,4,1)</f>
        <v/>
      </c>
      <c r="AA23">
        <f>MID($E23,5,1)</f>
        <v/>
      </c>
      <c r="AB23">
        <f>MID($E23,6,1)</f>
        <v/>
      </c>
      <c r="AC23">
        <f>MID($E23,7,1)</f>
        <v/>
      </c>
      <c r="AD23">
        <f>MID($E23,8,1)</f>
        <v/>
      </c>
      <c r="AE23">
        <f>MID($E23,9,1)</f>
        <v/>
      </c>
      <c r="AF23">
        <f>MID($E23,10,1)</f>
        <v/>
      </c>
    </row>
    <row r="24">
      <c r="A24" s="4" t="inlineStr">
        <is>
          <t>DN023</t>
        </is>
      </c>
      <c r="B24" s="4" t="n">
        <v>1</v>
      </c>
      <c r="C24" s="4" t="n">
        <v>1</v>
      </c>
      <c r="D24" s="5" t="inlineStr">
        <is>
          <t>AGTTCAGTGA</t>
        </is>
      </c>
      <c r="E24" s="5" t="inlineStr">
        <is>
          <t>TGTGTCCAAT</t>
        </is>
      </c>
      <c r="F24" s="4">
        <f>LEN(SUBSTITUTE(SUBSTITUTE(D24,"A",""),"T",""))</f>
        <v/>
      </c>
      <c r="G24" s="4">
        <f>LEN(SUBSTITUTE(SUBSTITUTE(E24,"A",""),"T",""))</f>
        <v/>
      </c>
      <c r="H24" s="4" t="n">
        <v>-2.01</v>
      </c>
      <c r="I24" s="4" t="n">
        <v>-1.33</v>
      </c>
      <c r="J24" s="4" t="n">
        <v>-2.07</v>
      </c>
      <c r="K24" s="4" t="n">
        <v>-1.09</v>
      </c>
      <c r="M24">
        <f>MID($D24,1,1)</f>
        <v/>
      </c>
      <c r="N24">
        <f>MID($D24,2,1)</f>
        <v/>
      </c>
      <c r="O24">
        <f>MID($D24,3,1)</f>
        <v/>
      </c>
      <c r="P24">
        <f>MID($D24,4,1)</f>
        <v/>
      </c>
      <c r="Q24">
        <f>MID($D24,5,1)</f>
        <v/>
      </c>
      <c r="R24">
        <f>MID($D24,6,1)</f>
        <v/>
      </c>
      <c r="S24">
        <f>MID($D24,7,1)</f>
        <v/>
      </c>
      <c r="T24">
        <f>MID($D24,8,1)</f>
        <v/>
      </c>
      <c r="U24">
        <f>MID($D24,9,1)</f>
        <v/>
      </c>
      <c r="V24">
        <f>MID($D24,10,1)</f>
        <v/>
      </c>
      <c r="W24">
        <f>MID($E24,1,1)</f>
        <v/>
      </c>
      <c r="X24">
        <f>MID($E24,2,1)</f>
        <v/>
      </c>
      <c r="Y24">
        <f>MID($E24,3,1)</f>
        <v/>
      </c>
      <c r="Z24">
        <f>MID($E24,4,1)</f>
        <v/>
      </c>
      <c r="AA24">
        <f>MID($E24,5,1)</f>
        <v/>
      </c>
      <c r="AB24">
        <f>MID($E24,6,1)</f>
        <v/>
      </c>
      <c r="AC24">
        <f>MID($E24,7,1)</f>
        <v/>
      </c>
      <c r="AD24">
        <f>MID($E24,8,1)</f>
        <v/>
      </c>
      <c r="AE24">
        <f>MID($E24,9,1)</f>
        <v/>
      </c>
      <c r="AF24">
        <f>MID($E24,10,1)</f>
        <v/>
      </c>
    </row>
    <row r="25">
      <c r="A25" s="4" t="inlineStr">
        <is>
          <t>DN024</t>
        </is>
      </c>
      <c r="B25" s="4" t="n">
        <v>1</v>
      </c>
      <c r="C25" s="4" t="n">
        <v>1</v>
      </c>
      <c r="D25" s="5" t="inlineStr">
        <is>
          <t>AGTGTTGGCG</t>
        </is>
      </c>
      <c r="E25" s="5" t="inlineStr">
        <is>
          <t>GCCAACCAGA</t>
        </is>
      </c>
      <c r="F25" s="4">
        <f>LEN(SUBSTITUTE(SUBSTITUTE(D25,"A",""),"T",""))</f>
        <v/>
      </c>
      <c r="G25" s="4">
        <f>LEN(SUBSTITUTE(SUBSTITUTE(E25,"A",""),"T",""))</f>
        <v/>
      </c>
      <c r="H25" s="4" t="n">
        <v>-5.56</v>
      </c>
      <c r="I25" s="4" t="n">
        <v>-2.57</v>
      </c>
      <c r="J25" s="4" t="n">
        <v>-2.91</v>
      </c>
      <c r="K25" s="4" t="n">
        <v>-0.86</v>
      </c>
      <c r="M25">
        <f>MID($D25,1,1)</f>
        <v/>
      </c>
      <c r="N25">
        <f>MID($D25,2,1)</f>
        <v/>
      </c>
      <c r="O25">
        <f>MID($D25,3,1)</f>
        <v/>
      </c>
      <c r="P25">
        <f>MID($D25,4,1)</f>
        <v/>
      </c>
      <c r="Q25">
        <f>MID($D25,5,1)</f>
        <v/>
      </c>
      <c r="R25">
        <f>MID($D25,6,1)</f>
        <v/>
      </c>
      <c r="S25">
        <f>MID($D25,7,1)</f>
        <v/>
      </c>
      <c r="T25">
        <f>MID($D25,8,1)</f>
        <v/>
      </c>
      <c r="U25">
        <f>MID($D25,9,1)</f>
        <v/>
      </c>
      <c r="V25">
        <f>MID($D25,10,1)</f>
        <v/>
      </c>
      <c r="W25">
        <f>MID($E25,1,1)</f>
        <v/>
      </c>
      <c r="X25">
        <f>MID($E25,2,1)</f>
        <v/>
      </c>
      <c r="Y25">
        <f>MID($E25,3,1)</f>
        <v/>
      </c>
      <c r="Z25">
        <f>MID($E25,4,1)</f>
        <v/>
      </c>
      <c r="AA25">
        <f>MID($E25,5,1)</f>
        <v/>
      </c>
      <c r="AB25">
        <f>MID($E25,6,1)</f>
        <v/>
      </c>
      <c r="AC25">
        <f>MID($E25,7,1)</f>
        <v/>
      </c>
      <c r="AD25">
        <f>MID($E25,8,1)</f>
        <v/>
      </c>
      <c r="AE25">
        <f>MID($E25,9,1)</f>
        <v/>
      </c>
      <c r="AF25">
        <f>MID($E25,10,1)</f>
        <v/>
      </c>
    </row>
    <row r="26">
      <c r="A26" s="4" t="inlineStr">
        <is>
          <t>DN025</t>
        </is>
      </c>
      <c r="B26" s="4" t="n">
        <v>1</v>
      </c>
      <c r="C26" s="4" t="n">
        <v>1</v>
      </c>
      <c r="D26" s="5" t="inlineStr">
        <is>
          <t>CGTAGAGTCG</t>
        </is>
      </c>
      <c r="E26" s="5" t="inlineStr">
        <is>
          <t>GAAGGACGTC</t>
        </is>
      </c>
      <c r="F26" s="4">
        <f>LEN(SUBSTITUTE(SUBSTITUTE(D26,"A",""),"T",""))</f>
        <v/>
      </c>
      <c r="G26" s="4">
        <f>LEN(SUBSTITUTE(SUBSTITUTE(E26,"A",""),"T",""))</f>
        <v/>
      </c>
      <c r="H26" s="4" t="n">
        <v>-2.5</v>
      </c>
      <c r="I26" s="4" t="n">
        <v>-0.88</v>
      </c>
      <c r="J26" s="4" t="n">
        <v>-3.18</v>
      </c>
      <c r="K26" s="4" t="n">
        <v>-3.18</v>
      </c>
      <c r="M26">
        <f>MID($D26,1,1)</f>
        <v/>
      </c>
      <c r="N26">
        <f>MID($D26,2,1)</f>
        <v/>
      </c>
      <c r="O26">
        <f>MID($D26,3,1)</f>
        <v/>
      </c>
      <c r="P26">
        <f>MID($D26,4,1)</f>
        <v/>
      </c>
      <c r="Q26">
        <f>MID($D26,5,1)</f>
        <v/>
      </c>
      <c r="R26">
        <f>MID($D26,6,1)</f>
        <v/>
      </c>
      <c r="S26">
        <f>MID($D26,7,1)</f>
        <v/>
      </c>
      <c r="T26">
        <f>MID($D26,8,1)</f>
        <v/>
      </c>
      <c r="U26">
        <f>MID($D26,9,1)</f>
        <v/>
      </c>
      <c r="V26">
        <f>MID($D26,10,1)</f>
        <v/>
      </c>
      <c r="W26">
        <f>MID($E26,1,1)</f>
        <v/>
      </c>
      <c r="X26">
        <f>MID($E26,2,1)</f>
        <v/>
      </c>
      <c r="Y26">
        <f>MID($E26,3,1)</f>
        <v/>
      </c>
      <c r="Z26">
        <f>MID($E26,4,1)</f>
        <v/>
      </c>
      <c r="AA26">
        <f>MID($E26,5,1)</f>
        <v/>
      </c>
      <c r="AB26">
        <f>MID($E26,6,1)</f>
        <v/>
      </c>
      <c r="AC26">
        <f>MID($E26,7,1)</f>
        <v/>
      </c>
      <c r="AD26">
        <f>MID($E26,8,1)</f>
        <v/>
      </c>
      <c r="AE26">
        <f>MID($E26,9,1)</f>
        <v/>
      </c>
      <c r="AF26">
        <f>MID($E26,10,1)</f>
        <v/>
      </c>
    </row>
    <row r="27">
      <c r="A27" s="4" t="inlineStr">
        <is>
          <t>DN026</t>
        </is>
      </c>
      <c r="B27" s="4" t="n">
        <v>1</v>
      </c>
      <c r="C27" s="4" t="n">
        <v>1</v>
      </c>
      <c r="D27" s="5" t="inlineStr">
        <is>
          <t>GCATCACACC</t>
        </is>
      </c>
      <c r="E27" s="5" t="inlineStr">
        <is>
          <t>TTCAAGCTCC</t>
        </is>
      </c>
      <c r="F27" s="4">
        <f>LEN(SUBSTITUTE(SUBSTITUTE(D27,"A",""),"T",""))</f>
        <v/>
      </c>
      <c r="G27" s="4">
        <f>LEN(SUBSTITUTE(SUBSTITUTE(E27,"A",""),"T",""))</f>
        <v/>
      </c>
      <c r="H27" s="4" t="n">
        <v>-2.31</v>
      </c>
      <c r="I27" s="4" t="n">
        <v>-0.59</v>
      </c>
      <c r="J27" s="4" t="n">
        <v>-2.36</v>
      </c>
      <c r="K27" s="4" t="n">
        <v>-1.74</v>
      </c>
      <c r="M27">
        <f>MID($D27,1,1)</f>
        <v/>
      </c>
      <c r="N27">
        <f>MID($D27,2,1)</f>
        <v/>
      </c>
      <c r="O27">
        <f>MID($D27,3,1)</f>
        <v/>
      </c>
      <c r="P27">
        <f>MID($D27,4,1)</f>
        <v/>
      </c>
      <c r="Q27">
        <f>MID($D27,5,1)</f>
        <v/>
      </c>
      <c r="R27">
        <f>MID($D27,6,1)</f>
        <v/>
      </c>
      <c r="S27">
        <f>MID($D27,7,1)</f>
        <v/>
      </c>
      <c r="T27">
        <f>MID($D27,8,1)</f>
        <v/>
      </c>
      <c r="U27">
        <f>MID($D27,9,1)</f>
        <v/>
      </c>
      <c r="V27">
        <f>MID($D27,10,1)</f>
        <v/>
      </c>
      <c r="W27">
        <f>MID($E27,1,1)</f>
        <v/>
      </c>
      <c r="X27">
        <f>MID($E27,2,1)</f>
        <v/>
      </c>
      <c r="Y27">
        <f>MID($E27,3,1)</f>
        <v/>
      </c>
      <c r="Z27">
        <f>MID($E27,4,1)</f>
        <v/>
      </c>
      <c r="AA27">
        <f>MID($E27,5,1)</f>
        <v/>
      </c>
      <c r="AB27">
        <f>MID($E27,6,1)</f>
        <v/>
      </c>
      <c r="AC27">
        <f>MID($E27,7,1)</f>
        <v/>
      </c>
      <c r="AD27">
        <f>MID($E27,8,1)</f>
        <v/>
      </c>
      <c r="AE27">
        <f>MID($E27,9,1)</f>
        <v/>
      </c>
      <c r="AF27">
        <f>MID($E27,10,1)</f>
        <v/>
      </c>
    </row>
    <row r="28">
      <c r="A28" s="4" t="inlineStr">
        <is>
          <t>DN027</t>
        </is>
      </c>
      <c r="B28" s="4" t="n">
        <v>1</v>
      </c>
      <c r="C28" s="4" t="n">
        <v>1</v>
      </c>
      <c r="D28" s="5" t="inlineStr">
        <is>
          <t>GTGTTCCTAC</t>
        </is>
      </c>
      <c r="E28" s="5" t="inlineStr">
        <is>
          <t>CACGGTCTGT</t>
        </is>
      </c>
      <c r="F28" s="4">
        <f>LEN(SUBSTITUTE(SUBSTITUTE(D28,"A",""),"T",""))</f>
        <v/>
      </c>
      <c r="G28" s="4">
        <f>LEN(SUBSTITUTE(SUBSTITUTE(E28,"A",""),"T",""))</f>
        <v/>
      </c>
      <c r="H28" s="4" t="n">
        <v>-2.61</v>
      </c>
      <c r="I28" s="4" t="n">
        <v>-1.55</v>
      </c>
      <c r="J28" s="4" t="n">
        <v>-2.54</v>
      </c>
      <c r="K28" s="4" t="n">
        <v>-1.7</v>
      </c>
      <c r="M28">
        <f>MID($D28,1,1)</f>
        <v/>
      </c>
      <c r="N28">
        <f>MID($D28,2,1)</f>
        <v/>
      </c>
      <c r="O28">
        <f>MID($D28,3,1)</f>
        <v/>
      </c>
      <c r="P28">
        <f>MID($D28,4,1)</f>
        <v/>
      </c>
      <c r="Q28">
        <f>MID($D28,5,1)</f>
        <v/>
      </c>
      <c r="R28">
        <f>MID($D28,6,1)</f>
        <v/>
      </c>
      <c r="S28">
        <f>MID($D28,7,1)</f>
        <v/>
      </c>
      <c r="T28">
        <f>MID($D28,8,1)</f>
        <v/>
      </c>
      <c r="U28">
        <f>MID($D28,9,1)</f>
        <v/>
      </c>
      <c r="V28">
        <f>MID($D28,10,1)</f>
        <v/>
      </c>
      <c r="W28">
        <f>MID($E28,1,1)</f>
        <v/>
      </c>
      <c r="X28">
        <f>MID($E28,2,1)</f>
        <v/>
      </c>
      <c r="Y28">
        <f>MID($E28,3,1)</f>
        <v/>
      </c>
      <c r="Z28">
        <f>MID($E28,4,1)</f>
        <v/>
      </c>
      <c r="AA28">
        <f>MID($E28,5,1)</f>
        <v/>
      </c>
      <c r="AB28">
        <f>MID($E28,6,1)</f>
        <v/>
      </c>
      <c r="AC28">
        <f>MID($E28,7,1)</f>
        <v/>
      </c>
      <c r="AD28">
        <f>MID($E28,8,1)</f>
        <v/>
      </c>
      <c r="AE28">
        <f>MID($E28,9,1)</f>
        <v/>
      </c>
      <c r="AF28">
        <f>MID($E28,10,1)</f>
        <v/>
      </c>
    </row>
    <row r="29">
      <c r="A29" s="4" t="inlineStr">
        <is>
          <t>DN028</t>
        </is>
      </c>
      <c r="B29" s="4" t="n">
        <v>1</v>
      </c>
      <c r="C29" s="4" t="n">
        <v>1</v>
      </c>
      <c r="D29" s="5" t="inlineStr">
        <is>
          <t>TAAGCGGCGT</t>
        </is>
      </c>
      <c r="E29" s="5" t="inlineStr">
        <is>
          <t>TGATGACTCT</t>
        </is>
      </c>
      <c r="F29" s="4">
        <f>LEN(SUBSTITUTE(SUBSTITUTE(D29,"A",""),"T",""))</f>
        <v/>
      </c>
      <c r="G29" s="4">
        <f>LEN(SUBSTITUTE(SUBSTITUTE(E29,"A",""),"T",""))</f>
        <v/>
      </c>
      <c r="H29" s="4" t="n">
        <v>-5.03</v>
      </c>
      <c r="I29" s="4" t="n">
        <v>-4.39</v>
      </c>
      <c r="J29" s="4" t="n">
        <v>-1.69</v>
      </c>
      <c r="K29" s="4" t="n">
        <v>-1.06</v>
      </c>
      <c r="M29">
        <f>MID($D29,1,1)</f>
        <v/>
      </c>
      <c r="N29">
        <f>MID($D29,2,1)</f>
        <v/>
      </c>
      <c r="O29">
        <f>MID($D29,3,1)</f>
        <v/>
      </c>
      <c r="P29">
        <f>MID($D29,4,1)</f>
        <v/>
      </c>
      <c r="Q29">
        <f>MID($D29,5,1)</f>
        <v/>
      </c>
      <c r="R29">
        <f>MID($D29,6,1)</f>
        <v/>
      </c>
      <c r="S29">
        <f>MID($D29,7,1)</f>
        <v/>
      </c>
      <c r="T29">
        <f>MID($D29,8,1)</f>
        <v/>
      </c>
      <c r="U29">
        <f>MID($D29,9,1)</f>
        <v/>
      </c>
      <c r="V29">
        <f>MID($D29,10,1)</f>
        <v/>
      </c>
      <c r="W29">
        <f>MID($E29,1,1)</f>
        <v/>
      </c>
      <c r="X29">
        <f>MID($E29,2,1)</f>
        <v/>
      </c>
      <c r="Y29">
        <f>MID($E29,3,1)</f>
        <v/>
      </c>
      <c r="Z29">
        <f>MID($E29,4,1)</f>
        <v/>
      </c>
      <c r="AA29">
        <f>MID($E29,5,1)</f>
        <v/>
      </c>
      <c r="AB29">
        <f>MID($E29,6,1)</f>
        <v/>
      </c>
      <c r="AC29">
        <f>MID($E29,7,1)</f>
        <v/>
      </c>
      <c r="AD29">
        <f>MID($E29,8,1)</f>
        <v/>
      </c>
      <c r="AE29">
        <f>MID($E29,9,1)</f>
        <v/>
      </c>
      <c r="AF29">
        <f>MID($E29,10,1)</f>
        <v/>
      </c>
    </row>
    <row r="30">
      <c r="A30" s="4" t="inlineStr">
        <is>
          <t>DN029</t>
        </is>
      </c>
      <c r="B30" s="4" t="n">
        <v>1</v>
      </c>
      <c r="C30" s="4" t="n">
        <v>1</v>
      </c>
      <c r="D30" s="5" t="inlineStr">
        <is>
          <t>GCCTATTGCG</t>
        </is>
      </c>
      <c r="E30" s="5" t="inlineStr">
        <is>
          <t>GCTATATCAC</t>
        </is>
      </c>
      <c r="F30" s="4">
        <f>LEN(SUBSTITUTE(SUBSTITUTE(D30,"A",""),"T",""))</f>
        <v/>
      </c>
      <c r="G30" s="4">
        <f>LEN(SUBSTITUTE(SUBSTITUTE(E30,"A",""),"T",""))</f>
        <v/>
      </c>
      <c r="H30" s="4" t="n">
        <v>-1.96</v>
      </c>
      <c r="I30" s="4" t="n">
        <v>-1.85</v>
      </c>
      <c r="J30" s="4" t="n">
        <v>-1.05</v>
      </c>
      <c r="K30" s="4" t="n">
        <v>-0.6</v>
      </c>
      <c r="M30">
        <f>MID($D30,1,1)</f>
        <v/>
      </c>
      <c r="N30">
        <f>MID($D30,2,1)</f>
        <v/>
      </c>
      <c r="O30">
        <f>MID($D30,3,1)</f>
        <v/>
      </c>
      <c r="P30">
        <f>MID($D30,4,1)</f>
        <v/>
      </c>
      <c r="Q30">
        <f>MID($D30,5,1)</f>
        <v/>
      </c>
      <c r="R30">
        <f>MID($D30,6,1)</f>
        <v/>
      </c>
      <c r="S30">
        <f>MID($D30,7,1)</f>
        <v/>
      </c>
      <c r="T30">
        <f>MID($D30,8,1)</f>
        <v/>
      </c>
      <c r="U30">
        <f>MID($D30,9,1)</f>
        <v/>
      </c>
      <c r="V30">
        <f>MID($D30,10,1)</f>
        <v/>
      </c>
      <c r="W30">
        <f>MID($E30,1,1)</f>
        <v/>
      </c>
      <c r="X30">
        <f>MID($E30,2,1)</f>
        <v/>
      </c>
      <c r="Y30">
        <f>MID($E30,3,1)</f>
        <v/>
      </c>
      <c r="Z30">
        <f>MID($E30,4,1)</f>
        <v/>
      </c>
      <c r="AA30">
        <f>MID($E30,5,1)</f>
        <v/>
      </c>
      <c r="AB30">
        <f>MID($E30,6,1)</f>
        <v/>
      </c>
      <c r="AC30">
        <f>MID($E30,7,1)</f>
        <v/>
      </c>
      <c r="AD30">
        <f>MID($E30,8,1)</f>
        <v/>
      </c>
      <c r="AE30">
        <f>MID($E30,9,1)</f>
        <v/>
      </c>
      <c r="AF30">
        <f>MID($E30,10,1)</f>
        <v/>
      </c>
    </row>
    <row r="31">
      <c r="A31" s="4" t="inlineStr">
        <is>
          <t>DN030</t>
        </is>
      </c>
      <c r="B31" s="4" t="n">
        <v>1</v>
      </c>
      <c r="C31" s="4" t="n">
        <v>1</v>
      </c>
      <c r="D31" s="5" t="inlineStr">
        <is>
          <t>AAGGTCCGGT</t>
        </is>
      </c>
      <c r="E31" s="5" t="inlineStr">
        <is>
          <t>AGAGGTGATA</t>
        </is>
      </c>
      <c r="F31" s="4">
        <f>LEN(SUBSTITUTE(SUBSTITUTE(D31,"A",""),"T",""))</f>
        <v/>
      </c>
      <c r="G31" s="4">
        <f>LEN(SUBSTITUTE(SUBSTITUTE(E31,"A",""),"T",""))</f>
        <v/>
      </c>
      <c r="H31" s="4" t="n">
        <v>-2.55</v>
      </c>
      <c r="I31" s="4" t="n">
        <v>-1.56</v>
      </c>
      <c r="J31" s="4" t="n">
        <v>-3.35</v>
      </c>
      <c r="K31" s="4" t="n">
        <v>-2.55</v>
      </c>
      <c r="M31">
        <f>MID($D31,1,1)</f>
        <v/>
      </c>
      <c r="N31">
        <f>MID($D31,2,1)</f>
        <v/>
      </c>
      <c r="O31">
        <f>MID($D31,3,1)</f>
        <v/>
      </c>
      <c r="P31">
        <f>MID($D31,4,1)</f>
        <v/>
      </c>
      <c r="Q31">
        <f>MID($D31,5,1)</f>
        <v/>
      </c>
      <c r="R31">
        <f>MID($D31,6,1)</f>
        <v/>
      </c>
      <c r="S31">
        <f>MID($D31,7,1)</f>
        <v/>
      </c>
      <c r="T31">
        <f>MID($D31,8,1)</f>
        <v/>
      </c>
      <c r="U31">
        <f>MID($D31,9,1)</f>
        <v/>
      </c>
      <c r="V31">
        <f>MID($D31,10,1)</f>
        <v/>
      </c>
      <c r="W31">
        <f>MID($E31,1,1)</f>
        <v/>
      </c>
      <c r="X31">
        <f>MID($E31,2,1)</f>
        <v/>
      </c>
      <c r="Y31">
        <f>MID($E31,3,1)</f>
        <v/>
      </c>
      <c r="Z31">
        <f>MID($E31,4,1)</f>
        <v/>
      </c>
      <c r="AA31">
        <f>MID($E31,5,1)</f>
        <v/>
      </c>
      <c r="AB31">
        <f>MID($E31,6,1)</f>
        <v/>
      </c>
      <c r="AC31">
        <f>MID($E31,7,1)</f>
        <v/>
      </c>
      <c r="AD31">
        <f>MID($E31,8,1)</f>
        <v/>
      </c>
      <c r="AE31">
        <f>MID($E31,9,1)</f>
        <v/>
      </c>
      <c r="AF31">
        <f>MID($E31,10,1)</f>
        <v/>
      </c>
    </row>
    <row r="32">
      <c r="A32" s="4" t="inlineStr">
        <is>
          <t>DN031</t>
        </is>
      </c>
      <c r="B32" s="4" t="n">
        <v>1</v>
      </c>
      <c r="C32" s="4" t="n">
        <v>1</v>
      </c>
      <c r="D32" s="5" t="inlineStr">
        <is>
          <t>ATCGTTCGGC</t>
        </is>
      </c>
      <c r="E32" s="5" t="inlineStr">
        <is>
          <t>GCAGAGTTCC</t>
        </is>
      </c>
      <c r="F32" s="4">
        <f>LEN(SUBSTITUTE(SUBSTITUTE(D32,"A",""),"T",""))</f>
        <v/>
      </c>
      <c r="G32" s="4">
        <f>LEN(SUBSTITUTE(SUBSTITUTE(E32,"A",""),"T",""))</f>
        <v/>
      </c>
      <c r="H32" s="4" t="n">
        <v>-3.21</v>
      </c>
      <c r="I32" s="4" t="n">
        <v>-2.85</v>
      </c>
      <c r="J32" s="4" t="n">
        <v>-2.6</v>
      </c>
      <c r="K32" s="4" t="n">
        <v>-1.66</v>
      </c>
      <c r="M32">
        <f>MID($D32,1,1)</f>
        <v/>
      </c>
      <c r="N32">
        <f>MID($D32,2,1)</f>
        <v/>
      </c>
      <c r="O32">
        <f>MID($D32,3,1)</f>
        <v/>
      </c>
      <c r="P32">
        <f>MID($D32,4,1)</f>
        <v/>
      </c>
      <c r="Q32">
        <f>MID($D32,5,1)</f>
        <v/>
      </c>
      <c r="R32">
        <f>MID($D32,6,1)</f>
        <v/>
      </c>
      <c r="S32">
        <f>MID($D32,7,1)</f>
        <v/>
      </c>
      <c r="T32">
        <f>MID($D32,8,1)</f>
        <v/>
      </c>
      <c r="U32">
        <f>MID($D32,9,1)</f>
        <v/>
      </c>
      <c r="V32">
        <f>MID($D32,10,1)</f>
        <v/>
      </c>
      <c r="W32">
        <f>MID($E32,1,1)</f>
        <v/>
      </c>
      <c r="X32">
        <f>MID($E32,2,1)</f>
        <v/>
      </c>
      <c r="Y32">
        <f>MID($E32,3,1)</f>
        <v/>
      </c>
      <c r="Z32">
        <f>MID($E32,4,1)</f>
        <v/>
      </c>
      <c r="AA32">
        <f>MID($E32,5,1)</f>
        <v/>
      </c>
      <c r="AB32">
        <f>MID($E32,6,1)</f>
        <v/>
      </c>
      <c r="AC32">
        <f>MID($E32,7,1)</f>
        <v/>
      </c>
      <c r="AD32">
        <f>MID($E32,8,1)</f>
        <v/>
      </c>
      <c r="AE32">
        <f>MID($E32,9,1)</f>
        <v/>
      </c>
      <c r="AF32">
        <f>MID($E32,10,1)</f>
        <v/>
      </c>
    </row>
    <row r="33">
      <c r="A33" s="4" t="inlineStr">
        <is>
          <t>DN032</t>
        </is>
      </c>
      <c r="B33" s="4" t="n">
        <v>1</v>
      </c>
      <c r="C33" s="4" t="n">
        <v>1</v>
      </c>
      <c r="D33" s="5" t="inlineStr">
        <is>
          <t>GATGCGTCTC</t>
        </is>
      </c>
      <c r="E33" s="5" t="inlineStr">
        <is>
          <t>GTGTCTTGGC</t>
        </is>
      </c>
      <c r="F33" s="4">
        <f>LEN(SUBSTITUTE(SUBSTITUTE(D33,"A",""),"T",""))</f>
        <v/>
      </c>
      <c r="G33" s="4">
        <f>LEN(SUBSTITUTE(SUBSTITUTE(E33,"A",""),"T",""))</f>
        <v/>
      </c>
      <c r="H33" s="4" t="n">
        <v>-2.85</v>
      </c>
      <c r="I33" s="4" t="n">
        <v>-1.03</v>
      </c>
      <c r="J33" s="4" t="n">
        <v>-2.14</v>
      </c>
      <c r="K33" s="4" t="n">
        <v>-1.93</v>
      </c>
      <c r="M33">
        <f>MID($D33,1,1)</f>
        <v/>
      </c>
      <c r="N33">
        <f>MID($D33,2,1)</f>
        <v/>
      </c>
      <c r="O33">
        <f>MID($D33,3,1)</f>
        <v/>
      </c>
      <c r="P33">
        <f>MID($D33,4,1)</f>
        <v/>
      </c>
      <c r="Q33">
        <f>MID($D33,5,1)</f>
        <v/>
      </c>
      <c r="R33">
        <f>MID($D33,6,1)</f>
        <v/>
      </c>
      <c r="S33">
        <f>MID($D33,7,1)</f>
        <v/>
      </c>
      <c r="T33">
        <f>MID($D33,8,1)</f>
        <v/>
      </c>
      <c r="U33">
        <f>MID($D33,9,1)</f>
        <v/>
      </c>
      <c r="V33">
        <f>MID($D33,10,1)</f>
        <v/>
      </c>
      <c r="W33">
        <f>MID($E33,1,1)</f>
        <v/>
      </c>
      <c r="X33">
        <f>MID($E33,2,1)</f>
        <v/>
      </c>
      <c r="Y33">
        <f>MID($E33,3,1)</f>
        <v/>
      </c>
      <c r="Z33">
        <f>MID($E33,4,1)</f>
        <v/>
      </c>
      <c r="AA33">
        <f>MID($E33,5,1)</f>
        <v/>
      </c>
      <c r="AB33">
        <f>MID($E33,6,1)</f>
        <v/>
      </c>
      <c r="AC33">
        <f>MID($E33,7,1)</f>
        <v/>
      </c>
      <c r="AD33">
        <f>MID($E33,8,1)</f>
        <v/>
      </c>
      <c r="AE33">
        <f>MID($E33,9,1)</f>
        <v/>
      </c>
      <c r="AF33">
        <f>MID($E33,10,1)</f>
        <v/>
      </c>
    </row>
    <row r="34">
      <c r="A34" s="4" t="inlineStr">
        <is>
          <t>DN033</t>
        </is>
      </c>
      <c r="B34" s="4" t="n">
        <v>1</v>
      </c>
      <c r="C34" s="4" t="n">
        <v>1</v>
      </c>
      <c r="D34" s="5" t="inlineStr">
        <is>
          <t>GTATGGTAGC</t>
        </is>
      </c>
      <c r="E34" s="5" t="inlineStr">
        <is>
          <t>CCTCCTGTCA</t>
        </is>
      </c>
      <c r="F34" s="4">
        <f>LEN(SUBSTITUTE(SUBSTITUTE(D34,"A",""),"T",""))</f>
        <v/>
      </c>
      <c r="G34" s="4">
        <f>LEN(SUBSTITUTE(SUBSTITUTE(E34,"A",""),"T",""))</f>
        <v/>
      </c>
      <c r="H34" s="4" t="n">
        <v>-3.02</v>
      </c>
      <c r="I34" s="4" t="n">
        <v>-2.73</v>
      </c>
      <c r="J34" s="4" t="n">
        <v>-3.71</v>
      </c>
      <c r="K34" s="4" t="n">
        <v>-0.52</v>
      </c>
      <c r="M34">
        <f>MID($D34,1,1)</f>
        <v/>
      </c>
      <c r="N34">
        <f>MID($D34,2,1)</f>
        <v/>
      </c>
      <c r="O34">
        <f>MID($D34,3,1)</f>
        <v/>
      </c>
      <c r="P34">
        <f>MID($D34,4,1)</f>
        <v/>
      </c>
      <c r="Q34">
        <f>MID($D34,5,1)</f>
        <v/>
      </c>
      <c r="R34">
        <f>MID($D34,6,1)</f>
        <v/>
      </c>
      <c r="S34">
        <f>MID($D34,7,1)</f>
        <v/>
      </c>
      <c r="T34">
        <f>MID($D34,8,1)</f>
        <v/>
      </c>
      <c r="U34">
        <f>MID($D34,9,1)</f>
        <v/>
      </c>
      <c r="V34">
        <f>MID($D34,10,1)</f>
        <v/>
      </c>
      <c r="W34">
        <f>MID($E34,1,1)</f>
        <v/>
      </c>
      <c r="X34">
        <f>MID($E34,2,1)</f>
        <v/>
      </c>
      <c r="Y34">
        <f>MID($E34,3,1)</f>
        <v/>
      </c>
      <c r="Z34">
        <f>MID($E34,4,1)</f>
        <v/>
      </c>
      <c r="AA34">
        <f>MID($E34,5,1)</f>
        <v/>
      </c>
      <c r="AB34">
        <f>MID($E34,6,1)</f>
        <v/>
      </c>
      <c r="AC34">
        <f>MID($E34,7,1)</f>
        <v/>
      </c>
      <c r="AD34">
        <f>MID($E34,8,1)</f>
        <v/>
      </c>
      <c r="AE34">
        <f>MID($E34,9,1)</f>
        <v/>
      </c>
      <c r="AF34">
        <f>MID($E34,10,1)</f>
        <v/>
      </c>
    </row>
    <row r="35">
      <c r="A35" s="4" t="inlineStr">
        <is>
          <t>DN034</t>
        </is>
      </c>
      <c r="B35" s="4" t="n">
        <v>1</v>
      </c>
      <c r="C35" s="4" t="n">
        <v>1</v>
      </c>
      <c r="D35" s="5" t="inlineStr">
        <is>
          <t>CTCCTAACGG</t>
        </is>
      </c>
      <c r="E35" s="5" t="inlineStr">
        <is>
          <t>AAGGCTGAGC</t>
        </is>
      </c>
      <c r="F35" s="4">
        <f>LEN(SUBSTITUTE(SUBSTITUTE(D35,"A",""),"T",""))</f>
        <v/>
      </c>
      <c r="G35" s="4">
        <f>LEN(SUBSTITUTE(SUBSTITUTE(E35,"A",""),"T",""))</f>
        <v/>
      </c>
      <c r="H35" s="4" t="n">
        <v>-2.82</v>
      </c>
      <c r="I35" s="4" t="n">
        <v>-1.64</v>
      </c>
      <c r="J35" s="4" t="n">
        <v>-3.53</v>
      </c>
      <c r="K35" s="4" t="n">
        <v>-2.96</v>
      </c>
      <c r="M35">
        <f>MID($D35,1,1)</f>
        <v/>
      </c>
      <c r="N35">
        <f>MID($D35,2,1)</f>
        <v/>
      </c>
      <c r="O35">
        <f>MID($D35,3,1)</f>
        <v/>
      </c>
      <c r="P35">
        <f>MID($D35,4,1)</f>
        <v/>
      </c>
      <c r="Q35">
        <f>MID($D35,5,1)</f>
        <v/>
      </c>
      <c r="R35">
        <f>MID($D35,6,1)</f>
        <v/>
      </c>
      <c r="S35">
        <f>MID($D35,7,1)</f>
        <v/>
      </c>
      <c r="T35">
        <f>MID($D35,8,1)</f>
        <v/>
      </c>
      <c r="U35">
        <f>MID($D35,9,1)</f>
        <v/>
      </c>
      <c r="V35">
        <f>MID($D35,10,1)</f>
        <v/>
      </c>
      <c r="W35">
        <f>MID($E35,1,1)</f>
        <v/>
      </c>
      <c r="X35">
        <f>MID($E35,2,1)</f>
        <v/>
      </c>
      <c r="Y35">
        <f>MID($E35,3,1)</f>
        <v/>
      </c>
      <c r="Z35">
        <f>MID($E35,4,1)</f>
        <v/>
      </c>
      <c r="AA35">
        <f>MID($E35,5,1)</f>
        <v/>
      </c>
      <c r="AB35">
        <f>MID($E35,6,1)</f>
        <v/>
      </c>
      <c r="AC35">
        <f>MID($E35,7,1)</f>
        <v/>
      </c>
      <c r="AD35">
        <f>MID($E35,8,1)</f>
        <v/>
      </c>
      <c r="AE35">
        <f>MID($E35,9,1)</f>
        <v/>
      </c>
      <c r="AF35">
        <f>MID($E35,10,1)</f>
        <v/>
      </c>
    </row>
    <row r="36">
      <c r="A36" s="4" t="inlineStr">
        <is>
          <t>DN035</t>
        </is>
      </c>
      <c r="B36" s="4" t="n">
        <v>1</v>
      </c>
      <c r="C36" s="4" t="n">
        <v>1</v>
      </c>
      <c r="D36" s="5" t="inlineStr">
        <is>
          <t>AATGCGGTCA</t>
        </is>
      </c>
      <c r="E36" s="5" t="inlineStr">
        <is>
          <t>GAGAGGAGAG</t>
        </is>
      </c>
      <c r="F36" s="4">
        <f>LEN(SUBSTITUTE(SUBSTITUTE(D36,"A",""),"T",""))</f>
        <v/>
      </c>
      <c r="G36" s="4">
        <f>LEN(SUBSTITUTE(SUBSTITUTE(E36,"A",""),"T",""))</f>
        <v/>
      </c>
      <c r="H36" s="4" t="n">
        <v>-2.84</v>
      </c>
      <c r="I36" s="4" t="n">
        <v>-1.53</v>
      </c>
      <c r="J36" s="4" t="n">
        <v>-3.08</v>
      </c>
      <c r="K36" s="4" t="n">
        <v>-2.28</v>
      </c>
      <c r="M36">
        <f>MID($D36,1,1)</f>
        <v/>
      </c>
      <c r="N36">
        <f>MID($D36,2,1)</f>
        <v/>
      </c>
      <c r="O36">
        <f>MID($D36,3,1)</f>
        <v/>
      </c>
      <c r="P36">
        <f>MID($D36,4,1)</f>
        <v/>
      </c>
      <c r="Q36">
        <f>MID($D36,5,1)</f>
        <v/>
      </c>
      <c r="R36">
        <f>MID($D36,6,1)</f>
        <v/>
      </c>
      <c r="S36">
        <f>MID($D36,7,1)</f>
        <v/>
      </c>
      <c r="T36">
        <f>MID($D36,8,1)</f>
        <v/>
      </c>
      <c r="U36">
        <f>MID($D36,9,1)</f>
        <v/>
      </c>
      <c r="V36">
        <f>MID($D36,10,1)</f>
        <v/>
      </c>
      <c r="W36">
        <f>MID($E36,1,1)</f>
        <v/>
      </c>
      <c r="X36">
        <f>MID($E36,2,1)</f>
        <v/>
      </c>
      <c r="Y36">
        <f>MID($E36,3,1)</f>
        <v/>
      </c>
      <c r="Z36">
        <f>MID($E36,4,1)</f>
        <v/>
      </c>
      <c r="AA36">
        <f>MID($E36,5,1)</f>
        <v/>
      </c>
      <c r="AB36">
        <f>MID($E36,6,1)</f>
        <v/>
      </c>
      <c r="AC36">
        <f>MID($E36,7,1)</f>
        <v/>
      </c>
      <c r="AD36">
        <f>MID($E36,8,1)</f>
        <v/>
      </c>
      <c r="AE36">
        <f>MID($E36,9,1)</f>
        <v/>
      </c>
      <c r="AF36">
        <f>MID($E36,10,1)</f>
        <v/>
      </c>
    </row>
    <row r="37">
      <c r="A37" s="4" t="inlineStr">
        <is>
          <t>DN036</t>
        </is>
      </c>
      <c r="B37" s="4" t="n">
        <v>1</v>
      </c>
      <c r="C37" s="4" t="n">
        <v>1</v>
      </c>
      <c r="D37" s="5" t="inlineStr">
        <is>
          <t>CACAATTCGT</t>
        </is>
      </c>
      <c r="E37" s="5" t="inlineStr">
        <is>
          <t>AGAGTGCCAG</t>
        </is>
      </c>
      <c r="F37" s="4">
        <f>LEN(SUBSTITUTE(SUBSTITUTE(D37,"A",""),"T",""))</f>
        <v/>
      </c>
      <c r="G37" s="4">
        <f>LEN(SUBSTITUTE(SUBSTITUTE(E37,"A",""),"T",""))</f>
        <v/>
      </c>
      <c r="H37" s="4" t="n">
        <v>-1.84</v>
      </c>
      <c r="I37" s="4" t="n">
        <v>-0.17</v>
      </c>
      <c r="J37" s="4" t="n">
        <v>-4.99</v>
      </c>
      <c r="K37" s="4" t="n">
        <v>-1.82</v>
      </c>
      <c r="M37">
        <f>MID($D37,1,1)</f>
        <v/>
      </c>
      <c r="N37">
        <f>MID($D37,2,1)</f>
        <v/>
      </c>
      <c r="O37">
        <f>MID($D37,3,1)</f>
        <v/>
      </c>
      <c r="P37">
        <f>MID($D37,4,1)</f>
        <v/>
      </c>
      <c r="Q37">
        <f>MID($D37,5,1)</f>
        <v/>
      </c>
      <c r="R37">
        <f>MID($D37,6,1)</f>
        <v/>
      </c>
      <c r="S37">
        <f>MID($D37,7,1)</f>
        <v/>
      </c>
      <c r="T37">
        <f>MID($D37,8,1)</f>
        <v/>
      </c>
      <c r="U37">
        <f>MID($D37,9,1)</f>
        <v/>
      </c>
      <c r="V37">
        <f>MID($D37,10,1)</f>
        <v/>
      </c>
      <c r="W37">
        <f>MID($E37,1,1)</f>
        <v/>
      </c>
      <c r="X37">
        <f>MID($E37,2,1)</f>
        <v/>
      </c>
      <c r="Y37">
        <f>MID($E37,3,1)</f>
        <v/>
      </c>
      <c r="Z37">
        <f>MID($E37,4,1)</f>
        <v/>
      </c>
      <c r="AA37">
        <f>MID($E37,5,1)</f>
        <v/>
      </c>
      <c r="AB37">
        <f>MID($E37,6,1)</f>
        <v/>
      </c>
      <c r="AC37">
        <f>MID($E37,7,1)</f>
        <v/>
      </c>
      <c r="AD37">
        <f>MID($E37,8,1)</f>
        <v/>
      </c>
      <c r="AE37">
        <f>MID($E37,9,1)</f>
        <v/>
      </c>
      <c r="AF37">
        <f>MID($E37,10,1)</f>
        <v/>
      </c>
    </row>
    <row r="38">
      <c r="A38" s="4" t="inlineStr">
        <is>
          <t>DN037</t>
        </is>
      </c>
      <c r="B38" s="4" t="n">
        <v>1</v>
      </c>
      <c r="C38" s="4" t="n">
        <v>1</v>
      </c>
      <c r="D38" s="5" t="inlineStr">
        <is>
          <t>ATGATCGTAG</t>
        </is>
      </c>
      <c r="E38" s="5" t="inlineStr">
        <is>
          <t>CTACCAGACG</t>
        </is>
      </c>
      <c r="F38" s="4">
        <f>LEN(SUBSTITUTE(SUBSTITUTE(D38,"A",""),"T",""))</f>
        <v/>
      </c>
      <c r="G38" s="4">
        <f>LEN(SUBSTITUTE(SUBSTITUTE(E38,"A",""),"T",""))</f>
        <v/>
      </c>
      <c r="H38" s="4" t="n">
        <v>-1.8</v>
      </c>
      <c r="I38" s="4" t="n">
        <v>-0.49</v>
      </c>
      <c r="J38" s="4" t="n">
        <v>-3.09</v>
      </c>
      <c r="K38" s="4" t="n">
        <v>-1.4</v>
      </c>
      <c r="M38">
        <f>MID($D38,1,1)</f>
        <v/>
      </c>
      <c r="N38">
        <f>MID($D38,2,1)</f>
        <v/>
      </c>
      <c r="O38">
        <f>MID($D38,3,1)</f>
        <v/>
      </c>
      <c r="P38">
        <f>MID($D38,4,1)</f>
        <v/>
      </c>
      <c r="Q38">
        <f>MID($D38,5,1)</f>
        <v/>
      </c>
      <c r="R38">
        <f>MID($D38,6,1)</f>
        <v/>
      </c>
      <c r="S38">
        <f>MID($D38,7,1)</f>
        <v/>
      </c>
      <c r="T38">
        <f>MID($D38,8,1)</f>
        <v/>
      </c>
      <c r="U38">
        <f>MID($D38,9,1)</f>
        <v/>
      </c>
      <c r="V38">
        <f>MID($D38,10,1)</f>
        <v/>
      </c>
      <c r="W38">
        <f>MID($E38,1,1)</f>
        <v/>
      </c>
      <c r="X38">
        <f>MID($E38,2,1)</f>
        <v/>
      </c>
      <c r="Y38">
        <f>MID($E38,3,1)</f>
        <v/>
      </c>
      <c r="Z38">
        <f>MID($E38,4,1)</f>
        <v/>
      </c>
      <c r="AA38">
        <f>MID($E38,5,1)</f>
        <v/>
      </c>
      <c r="AB38">
        <f>MID($E38,6,1)</f>
        <v/>
      </c>
      <c r="AC38">
        <f>MID($E38,7,1)</f>
        <v/>
      </c>
      <c r="AD38">
        <f>MID($E38,8,1)</f>
        <v/>
      </c>
      <c r="AE38">
        <f>MID($E38,9,1)</f>
        <v/>
      </c>
      <c r="AF38">
        <f>MID($E38,10,1)</f>
        <v/>
      </c>
    </row>
    <row r="39">
      <c r="A39" s="4" t="inlineStr">
        <is>
          <t>DN038</t>
        </is>
      </c>
      <c r="B39" s="4" t="n">
        <v>1</v>
      </c>
      <c r="C39" s="4" t="n">
        <v>1</v>
      </c>
      <c r="D39" s="5" t="inlineStr">
        <is>
          <t>CTGCCTTCAG</t>
        </is>
      </c>
      <c r="E39" s="5" t="inlineStr">
        <is>
          <t>GAGACTGCGT</t>
        </is>
      </c>
      <c r="F39" s="4">
        <f>LEN(SUBSTITUTE(SUBSTITUTE(D39,"A",""),"T",""))</f>
        <v/>
      </c>
      <c r="G39" s="4">
        <f>LEN(SUBSTITUTE(SUBSTITUTE(E39,"A",""),"T",""))</f>
        <v/>
      </c>
      <c r="H39" s="4" t="n">
        <v>-2.28</v>
      </c>
      <c r="I39" s="4" t="n">
        <v>-1.88</v>
      </c>
      <c r="J39" s="4" t="n">
        <v>-2.64</v>
      </c>
      <c r="K39" s="4" t="n">
        <v>-2.1</v>
      </c>
      <c r="M39">
        <f>MID($D39,1,1)</f>
        <v/>
      </c>
      <c r="N39">
        <f>MID($D39,2,1)</f>
        <v/>
      </c>
      <c r="O39">
        <f>MID($D39,3,1)</f>
        <v/>
      </c>
      <c r="P39">
        <f>MID($D39,4,1)</f>
        <v/>
      </c>
      <c r="Q39">
        <f>MID($D39,5,1)</f>
        <v/>
      </c>
      <c r="R39">
        <f>MID($D39,6,1)</f>
        <v/>
      </c>
      <c r="S39">
        <f>MID($D39,7,1)</f>
        <v/>
      </c>
      <c r="T39">
        <f>MID($D39,8,1)</f>
        <v/>
      </c>
      <c r="U39">
        <f>MID($D39,9,1)</f>
        <v/>
      </c>
      <c r="V39">
        <f>MID($D39,10,1)</f>
        <v/>
      </c>
      <c r="W39">
        <f>MID($E39,1,1)</f>
        <v/>
      </c>
      <c r="X39">
        <f>MID($E39,2,1)</f>
        <v/>
      </c>
      <c r="Y39">
        <f>MID($E39,3,1)</f>
        <v/>
      </c>
      <c r="Z39">
        <f>MID($E39,4,1)</f>
        <v/>
      </c>
      <c r="AA39">
        <f>MID($E39,5,1)</f>
        <v/>
      </c>
      <c r="AB39">
        <f>MID($E39,6,1)</f>
        <v/>
      </c>
      <c r="AC39">
        <f>MID($E39,7,1)</f>
        <v/>
      </c>
      <c r="AD39">
        <f>MID($E39,8,1)</f>
        <v/>
      </c>
      <c r="AE39">
        <f>MID($E39,9,1)</f>
        <v/>
      </c>
      <c r="AF39">
        <f>MID($E39,10,1)</f>
        <v/>
      </c>
    </row>
    <row r="40">
      <c r="A40" s="4" t="inlineStr">
        <is>
          <t>DN039</t>
        </is>
      </c>
      <c r="B40" s="4" t="n">
        <v>1</v>
      </c>
      <c r="C40" s="4" t="n">
        <v>1</v>
      </c>
      <c r="D40" s="5" t="inlineStr">
        <is>
          <t>GTCGATTCTC</t>
        </is>
      </c>
      <c r="E40" s="5" t="inlineStr">
        <is>
          <t>CGGTGATTCC</t>
        </is>
      </c>
      <c r="F40" s="4">
        <f>LEN(SUBSTITUTE(SUBSTITUTE(D40,"A",""),"T",""))</f>
        <v/>
      </c>
      <c r="G40" s="4">
        <f>LEN(SUBSTITUTE(SUBSTITUTE(E40,"A",""),"T",""))</f>
        <v/>
      </c>
      <c r="H40" s="4" t="n">
        <v>-2.48</v>
      </c>
      <c r="I40" s="4" t="n">
        <v>-0.84</v>
      </c>
      <c r="J40" s="4" t="n">
        <v>-2.74</v>
      </c>
      <c r="K40" s="4" t="n">
        <v>-2.22</v>
      </c>
      <c r="M40">
        <f>MID($D40,1,1)</f>
        <v/>
      </c>
      <c r="N40">
        <f>MID($D40,2,1)</f>
        <v/>
      </c>
      <c r="O40">
        <f>MID($D40,3,1)</f>
        <v/>
      </c>
      <c r="P40">
        <f>MID($D40,4,1)</f>
        <v/>
      </c>
      <c r="Q40">
        <f>MID($D40,5,1)</f>
        <v/>
      </c>
      <c r="R40">
        <f>MID($D40,6,1)</f>
        <v/>
      </c>
      <c r="S40">
        <f>MID($D40,7,1)</f>
        <v/>
      </c>
      <c r="T40">
        <f>MID($D40,8,1)</f>
        <v/>
      </c>
      <c r="U40">
        <f>MID($D40,9,1)</f>
        <v/>
      </c>
      <c r="V40">
        <f>MID($D40,10,1)</f>
        <v/>
      </c>
      <c r="W40">
        <f>MID($E40,1,1)</f>
        <v/>
      </c>
      <c r="X40">
        <f>MID($E40,2,1)</f>
        <v/>
      </c>
      <c r="Y40">
        <f>MID($E40,3,1)</f>
        <v/>
      </c>
      <c r="Z40">
        <f>MID($E40,4,1)</f>
        <v/>
      </c>
      <c r="AA40">
        <f>MID($E40,5,1)</f>
        <v/>
      </c>
      <c r="AB40">
        <f>MID($E40,6,1)</f>
        <v/>
      </c>
      <c r="AC40">
        <f>MID($E40,7,1)</f>
        <v/>
      </c>
      <c r="AD40">
        <f>MID($E40,8,1)</f>
        <v/>
      </c>
      <c r="AE40">
        <f>MID($E40,9,1)</f>
        <v/>
      </c>
      <c r="AF40">
        <f>MID($E40,10,1)</f>
        <v/>
      </c>
    </row>
    <row r="41">
      <c r="A41" s="4" t="inlineStr">
        <is>
          <t>DN040</t>
        </is>
      </c>
      <c r="B41" s="4" t="n">
        <v>1</v>
      </c>
      <c r="C41" s="4" t="n">
        <v>1</v>
      </c>
      <c r="D41" s="5" t="inlineStr">
        <is>
          <t>TACGCCTGTT</t>
        </is>
      </c>
      <c r="E41" s="5" t="inlineStr">
        <is>
          <t>CGACCTGAGT</t>
        </is>
      </c>
      <c r="F41" s="4">
        <f>LEN(SUBSTITUTE(SUBSTITUTE(D41,"A",""),"T",""))</f>
        <v/>
      </c>
      <c r="G41" s="4">
        <f>LEN(SUBSTITUTE(SUBSTITUTE(E41,"A",""),"T",""))</f>
        <v/>
      </c>
      <c r="H41" s="4" t="n">
        <v>-3.74</v>
      </c>
      <c r="I41" s="4" t="n">
        <v>-2.44</v>
      </c>
      <c r="J41" s="4" t="n">
        <v>-2.3</v>
      </c>
      <c r="K41" s="4" t="n">
        <v>-1.43</v>
      </c>
      <c r="M41">
        <f>MID($D41,1,1)</f>
        <v/>
      </c>
      <c r="N41">
        <f>MID($D41,2,1)</f>
        <v/>
      </c>
      <c r="O41">
        <f>MID($D41,3,1)</f>
        <v/>
      </c>
      <c r="P41">
        <f>MID($D41,4,1)</f>
        <v/>
      </c>
      <c r="Q41">
        <f>MID($D41,5,1)</f>
        <v/>
      </c>
      <c r="R41">
        <f>MID($D41,6,1)</f>
        <v/>
      </c>
      <c r="S41">
        <f>MID($D41,7,1)</f>
        <v/>
      </c>
      <c r="T41">
        <f>MID($D41,8,1)</f>
        <v/>
      </c>
      <c r="U41">
        <f>MID($D41,9,1)</f>
        <v/>
      </c>
      <c r="V41">
        <f>MID($D41,10,1)</f>
        <v/>
      </c>
      <c r="W41">
        <f>MID($E41,1,1)</f>
        <v/>
      </c>
      <c r="X41">
        <f>MID($E41,2,1)</f>
        <v/>
      </c>
      <c r="Y41">
        <f>MID($E41,3,1)</f>
        <v/>
      </c>
      <c r="Z41">
        <f>MID($E41,4,1)</f>
        <v/>
      </c>
      <c r="AA41">
        <f>MID($E41,5,1)</f>
        <v/>
      </c>
      <c r="AB41">
        <f>MID($E41,6,1)</f>
        <v/>
      </c>
      <c r="AC41">
        <f>MID($E41,7,1)</f>
        <v/>
      </c>
      <c r="AD41">
        <f>MID($E41,8,1)</f>
        <v/>
      </c>
      <c r="AE41">
        <f>MID($E41,9,1)</f>
        <v/>
      </c>
      <c r="AF41">
        <f>MID($E41,10,1)</f>
        <v/>
      </c>
    </row>
    <row r="42">
      <c r="A42" s="4" t="inlineStr">
        <is>
          <t>DN041</t>
        </is>
      </c>
      <c r="B42" s="4" t="n">
        <v>1</v>
      </c>
      <c r="C42" s="4" t="n">
        <v>1</v>
      </c>
      <c r="D42" s="5" t="inlineStr">
        <is>
          <t>CGTTGCTCTG</t>
        </is>
      </c>
      <c r="E42" s="5" t="inlineStr">
        <is>
          <t>GCGTTATGAT</t>
        </is>
      </c>
      <c r="F42" s="4">
        <f>LEN(SUBSTITUTE(SUBSTITUTE(D42,"A",""),"T",""))</f>
        <v/>
      </c>
      <c r="G42" s="4">
        <f>LEN(SUBSTITUTE(SUBSTITUTE(E42,"A",""),"T",""))</f>
        <v/>
      </c>
      <c r="H42" s="4" t="n">
        <v>-2.35</v>
      </c>
      <c r="I42" s="4" t="n">
        <v>-0.9</v>
      </c>
      <c r="J42" s="4" t="n">
        <v>-2.54</v>
      </c>
      <c r="K42" s="4" t="n">
        <v>-0.77</v>
      </c>
      <c r="M42">
        <f>MID($D42,1,1)</f>
        <v/>
      </c>
      <c r="N42">
        <f>MID($D42,2,1)</f>
        <v/>
      </c>
      <c r="O42">
        <f>MID($D42,3,1)</f>
        <v/>
      </c>
      <c r="P42">
        <f>MID($D42,4,1)</f>
        <v/>
      </c>
      <c r="Q42">
        <f>MID($D42,5,1)</f>
        <v/>
      </c>
      <c r="R42">
        <f>MID($D42,6,1)</f>
        <v/>
      </c>
      <c r="S42">
        <f>MID($D42,7,1)</f>
        <v/>
      </c>
      <c r="T42">
        <f>MID($D42,8,1)</f>
        <v/>
      </c>
      <c r="U42">
        <f>MID($D42,9,1)</f>
        <v/>
      </c>
      <c r="V42">
        <f>MID($D42,10,1)</f>
        <v/>
      </c>
      <c r="W42">
        <f>MID($E42,1,1)</f>
        <v/>
      </c>
      <c r="X42">
        <f>MID($E42,2,1)</f>
        <v/>
      </c>
      <c r="Y42">
        <f>MID($E42,3,1)</f>
        <v/>
      </c>
      <c r="Z42">
        <f>MID($E42,4,1)</f>
        <v/>
      </c>
      <c r="AA42">
        <f>MID($E42,5,1)</f>
        <v/>
      </c>
      <c r="AB42">
        <f>MID($E42,6,1)</f>
        <v/>
      </c>
      <c r="AC42">
        <f>MID($E42,7,1)</f>
        <v/>
      </c>
      <c r="AD42">
        <f>MID($E42,8,1)</f>
        <v/>
      </c>
      <c r="AE42">
        <f>MID($E42,9,1)</f>
        <v/>
      </c>
      <c r="AF42">
        <f>MID($E42,10,1)</f>
        <v/>
      </c>
    </row>
    <row r="43">
      <c r="A43" s="4" t="inlineStr">
        <is>
          <t>DN042</t>
        </is>
      </c>
      <c r="B43" s="4" t="n">
        <v>1</v>
      </c>
      <c r="C43" s="4" t="n">
        <v>1</v>
      </c>
      <c r="D43" s="5" t="inlineStr">
        <is>
          <t>CTGTCATGAA</t>
        </is>
      </c>
      <c r="E43" s="5" t="inlineStr">
        <is>
          <t>ATGGAGAGCC</t>
        </is>
      </c>
      <c r="F43" s="4">
        <f>LEN(SUBSTITUTE(SUBSTITUTE(D43,"A",""),"T",""))</f>
        <v/>
      </c>
      <c r="G43" s="4">
        <f>LEN(SUBSTITUTE(SUBSTITUTE(E43,"A",""),"T",""))</f>
        <v/>
      </c>
      <c r="H43" s="4" t="n">
        <v>-2.16</v>
      </c>
      <c r="I43" s="4" t="n">
        <v>-0.52</v>
      </c>
      <c r="J43" s="4" t="n">
        <v>-3.13</v>
      </c>
      <c r="K43" s="4" t="n">
        <v>-2.22</v>
      </c>
      <c r="M43">
        <f>MID($D43,1,1)</f>
        <v/>
      </c>
      <c r="N43">
        <f>MID($D43,2,1)</f>
        <v/>
      </c>
      <c r="O43">
        <f>MID($D43,3,1)</f>
        <v/>
      </c>
      <c r="P43">
        <f>MID($D43,4,1)</f>
        <v/>
      </c>
      <c r="Q43">
        <f>MID($D43,5,1)</f>
        <v/>
      </c>
      <c r="R43">
        <f>MID($D43,6,1)</f>
        <v/>
      </c>
      <c r="S43">
        <f>MID($D43,7,1)</f>
        <v/>
      </c>
      <c r="T43">
        <f>MID($D43,8,1)</f>
        <v/>
      </c>
      <c r="U43">
        <f>MID($D43,9,1)</f>
        <v/>
      </c>
      <c r="V43">
        <f>MID($D43,10,1)</f>
        <v/>
      </c>
      <c r="W43">
        <f>MID($E43,1,1)</f>
        <v/>
      </c>
      <c r="X43">
        <f>MID($E43,2,1)</f>
        <v/>
      </c>
      <c r="Y43">
        <f>MID($E43,3,1)</f>
        <v/>
      </c>
      <c r="Z43">
        <f>MID($E43,4,1)</f>
        <v/>
      </c>
      <c r="AA43">
        <f>MID($E43,5,1)</f>
        <v/>
      </c>
      <c r="AB43">
        <f>MID($E43,6,1)</f>
        <v/>
      </c>
      <c r="AC43">
        <f>MID($E43,7,1)</f>
        <v/>
      </c>
      <c r="AD43">
        <f>MID($E43,8,1)</f>
        <v/>
      </c>
      <c r="AE43">
        <f>MID($E43,9,1)</f>
        <v/>
      </c>
      <c r="AF43">
        <f>MID($E43,10,1)</f>
        <v/>
      </c>
    </row>
    <row r="44">
      <c r="A44" s="4" t="inlineStr">
        <is>
          <t>DN043</t>
        </is>
      </c>
      <c r="B44" s="4" t="n">
        <v>1</v>
      </c>
      <c r="C44" s="4" t="n">
        <v>1</v>
      </c>
      <c r="D44" s="5" t="inlineStr">
        <is>
          <t>TCCATCATAG</t>
        </is>
      </c>
      <c r="E44" s="5" t="inlineStr">
        <is>
          <t>TCCGACAATC</t>
        </is>
      </c>
      <c r="F44" s="4">
        <f>LEN(SUBSTITUTE(SUBSTITUTE(D44,"A",""),"T",""))</f>
        <v/>
      </c>
      <c r="G44" s="4">
        <f>LEN(SUBSTITUTE(SUBSTITUTE(E44,"A",""),"T",""))</f>
        <v/>
      </c>
      <c r="H44" s="4" t="n">
        <v>-2.13</v>
      </c>
      <c r="I44" s="4" t="n">
        <v>0.43</v>
      </c>
      <c r="J44" s="4" t="n">
        <v>-4.11</v>
      </c>
      <c r="K44" s="4" t="n">
        <v>-1.82</v>
      </c>
      <c r="M44">
        <f>MID($D44,1,1)</f>
        <v/>
      </c>
      <c r="N44">
        <f>MID($D44,2,1)</f>
        <v/>
      </c>
      <c r="O44">
        <f>MID($D44,3,1)</f>
        <v/>
      </c>
      <c r="P44">
        <f>MID($D44,4,1)</f>
        <v/>
      </c>
      <c r="Q44">
        <f>MID($D44,5,1)</f>
        <v/>
      </c>
      <c r="R44">
        <f>MID($D44,6,1)</f>
        <v/>
      </c>
      <c r="S44">
        <f>MID($D44,7,1)</f>
        <v/>
      </c>
      <c r="T44">
        <f>MID($D44,8,1)</f>
        <v/>
      </c>
      <c r="U44">
        <f>MID($D44,9,1)</f>
        <v/>
      </c>
      <c r="V44">
        <f>MID($D44,10,1)</f>
        <v/>
      </c>
      <c r="W44">
        <f>MID($E44,1,1)</f>
        <v/>
      </c>
      <c r="X44">
        <f>MID($E44,2,1)</f>
        <v/>
      </c>
      <c r="Y44">
        <f>MID($E44,3,1)</f>
        <v/>
      </c>
      <c r="Z44">
        <f>MID($E44,4,1)</f>
        <v/>
      </c>
      <c r="AA44">
        <f>MID($E44,5,1)</f>
        <v/>
      </c>
      <c r="AB44">
        <f>MID($E44,6,1)</f>
        <v/>
      </c>
      <c r="AC44">
        <f>MID($E44,7,1)</f>
        <v/>
      </c>
      <c r="AD44">
        <f>MID($E44,8,1)</f>
        <v/>
      </c>
      <c r="AE44">
        <f>MID($E44,9,1)</f>
        <v/>
      </c>
      <c r="AF44">
        <f>MID($E44,10,1)</f>
        <v/>
      </c>
    </row>
    <row r="45">
      <c r="A45" s="4" t="inlineStr">
        <is>
          <t>DN044</t>
        </is>
      </c>
      <c r="B45" s="4" t="n">
        <v>1</v>
      </c>
      <c r="C45" s="4" t="n">
        <v>1</v>
      </c>
      <c r="D45" s="5" t="inlineStr">
        <is>
          <t>AACGGACCAG</t>
        </is>
      </c>
      <c r="E45" s="5" t="inlineStr">
        <is>
          <t>GAATGTCTAG</t>
        </is>
      </c>
      <c r="F45" s="4">
        <f>LEN(SUBSTITUTE(SUBSTITUTE(D45,"A",""),"T",""))</f>
        <v/>
      </c>
      <c r="G45" s="4">
        <f>LEN(SUBSTITUTE(SUBSTITUTE(E45,"A",""),"T",""))</f>
        <v/>
      </c>
      <c r="H45" s="4" t="n">
        <v>-3.25</v>
      </c>
      <c r="I45" s="4" t="n">
        <v>-2.45</v>
      </c>
      <c r="J45" s="4" t="n">
        <v>-2.4</v>
      </c>
      <c r="K45" s="4" t="n">
        <v>-2.4</v>
      </c>
      <c r="M45">
        <f>MID($D45,1,1)</f>
        <v/>
      </c>
      <c r="N45">
        <f>MID($D45,2,1)</f>
        <v/>
      </c>
      <c r="O45">
        <f>MID($D45,3,1)</f>
        <v/>
      </c>
      <c r="P45">
        <f>MID($D45,4,1)</f>
        <v/>
      </c>
      <c r="Q45">
        <f>MID($D45,5,1)</f>
        <v/>
      </c>
      <c r="R45">
        <f>MID($D45,6,1)</f>
        <v/>
      </c>
      <c r="S45">
        <f>MID($D45,7,1)</f>
        <v/>
      </c>
      <c r="T45">
        <f>MID($D45,8,1)</f>
        <v/>
      </c>
      <c r="U45">
        <f>MID($D45,9,1)</f>
        <v/>
      </c>
      <c r="V45">
        <f>MID($D45,10,1)</f>
        <v/>
      </c>
      <c r="W45">
        <f>MID($E45,1,1)</f>
        <v/>
      </c>
      <c r="X45">
        <f>MID($E45,2,1)</f>
        <v/>
      </c>
      <c r="Y45">
        <f>MID($E45,3,1)</f>
        <v/>
      </c>
      <c r="Z45">
        <f>MID($E45,4,1)</f>
        <v/>
      </c>
      <c r="AA45">
        <f>MID($E45,5,1)</f>
        <v/>
      </c>
      <c r="AB45">
        <f>MID($E45,6,1)</f>
        <v/>
      </c>
      <c r="AC45">
        <f>MID($E45,7,1)</f>
        <v/>
      </c>
      <c r="AD45">
        <f>MID($E45,8,1)</f>
        <v/>
      </c>
      <c r="AE45">
        <f>MID($E45,9,1)</f>
        <v/>
      </c>
      <c r="AF45">
        <f>MID($E45,10,1)</f>
        <v/>
      </c>
    </row>
    <row r="46">
      <c r="A46" s="4" t="inlineStr">
        <is>
          <t>DN045</t>
        </is>
      </c>
      <c r="B46" s="4" t="n">
        <v>1</v>
      </c>
      <c r="C46" s="4" t="n">
        <v>1</v>
      </c>
      <c r="D46" s="5" t="inlineStr">
        <is>
          <t>TGCCTCGACA</t>
        </is>
      </c>
      <c r="E46" s="5" t="inlineStr">
        <is>
          <t>CTACCGATAA</t>
        </is>
      </c>
      <c r="F46" s="4">
        <f>LEN(SUBSTITUTE(SUBSTITUTE(D46,"A",""),"T",""))</f>
        <v/>
      </c>
      <c r="G46" s="4">
        <f>LEN(SUBSTITUTE(SUBSTITUTE(E46,"A",""),"T",""))</f>
        <v/>
      </c>
      <c r="H46" s="4" t="n">
        <v>-4.4</v>
      </c>
      <c r="I46" s="4" t="n">
        <v>-2.36</v>
      </c>
      <c r="J46" s="4" t="n">
        <v>-3.43</v>
      </c>
      <c r="K46" s="4" t="n">
        <v>-0.67</v>
      </c>
      <c r="M46">
        <f>MID($D46,1,1)</f>
        <v/>
      </c>
      <c r="N46">
        <f>MID($D46,2,1)</f>
        <v/>
      </c>
      <c r="O46">
        <f>MID($D46,3,1)</f>
        <v/>
      </c>
      <c r="P46">
        <f>MID($D46,4,1)</f>
        <v/>
      </c>
      <c r="Q46">
        <f>MID($D46,5,1)</f>
        <v/>
      </c>
      <c r="R46">
        <f>MID($D46,6,1)</f>
        <v/>
      </c>
      <c r="S46">
        <f>MID($D46,7,1)</f>
        <v/>
      </c>
      <c r="T46">
        <f>MID($D46,8,1)</f>
        <v/>
      </c>
      <c r="U46">
        <f>MID($D46,9,1)</f>
        <v/>
      </c>
      <c r="V46">
        <f>MID($D46,10,1)</f>
        <v/>
      </c>
      <c r="W46">
        <f>MID($E46,1,1)</f>
        <v/>
      </c>
      <c r="X46">
        <f>MID($E46,2,1)</f>
        <v/>
      </c>
      <c r="Y46">
        <f>MID($E46,3,1)</f>
        <v/>
      </c>
      <c r="Z46">
        <f>MID($E46,4,1)</f>
        <v/>
      </c>
      <c r="AA46">
        <f>MID($E46,5,1)</f>
        <v/>
      </c>
      <c r="AB46">
        <f>MID($E46,6,1)</f>
        <v/>
      </c>
      <c r="AC46">
        <f>MID($E46,7,1)</f>
        <v/>
      </c>
      <c r="AD46">
        <f>MID($E46,8,1)</f>
        <v/>
      </c>
      <c r="AE46">
        <f>MID($E46,9,1)</f>
        <v/>
      </c>
      <c r="AF46">
        <f>MID($E46,10,1)</f>
        <v/>
      </c>
    </row>
    <row r="47">
      <c r="A47" s="4" t="inlineStr">
        <is>
          <t>DN046</t>
        </is>
      </c>
      <c r="B47" s="4" t="n">
        <v>1</v>
      </c>
      <c r="C47" s="4" t="n">
        <v>1</v>
      </c>
      <c r="D47" s="5" t="inlineStr">
        <is>
          <t>TAAGCAAGGA</t>
        </is>
      </c>
      <c r="E47" s="5" t="inlineStr">
        <is>
          <t>CGGCAATCCT</t>
        </is>
      </c>
      <c r="F47" s="4">
        <f>LEN(SUBSTITUTE(SUBSTITUTE(D47,"A",""),"T",""))</f>
        <v/>
      </c>
      <c r="G47" s="4">
        <f>LEN(SUBSTITUTE(SUBSTITUTE(E47,"A",""),"T",""))</f>
        <v/>
      </c>
      <c r="H47" s="4" t="n">
        <v>-3.38</v>
      </c>
      <c r="I47" s="4" t="n">
        <v>-1.32</v>
      </c>
      <c r="J47" s="4" t="n">
        <v>-3.37</v>
      </c>
      <c r="K47" s="4" t="n">
        <v>-2.89</v>
      </c>
      <c r="M47">
        <f>MID($D47,1,1)</f>
        <v/>
      </c>
      <c r="N47">
        <f>MID($D47,2,1)</f>
        <v/>
      </c>
      <c r="O47">
        <f>MID($D47,3,1)</f>
        <v/>
      </c>
      <c r="P47">
        <f>MID($D47,4,1)</f>
        <v/>
      </c>
      <c r="Q47">
        <f>MID($D47,5,1)</f>
        <v/>
      </c>
      <c r="R47">
        <f>MID($D47,6,1)</f>
        <v/>
      </c>
      <c r="S47">
        <f>MID($D47,7,1)</f>
        <v/>
      </c>
      <c r="T47">
        <f>MID($D47,8,1)</f>
        <v/>
      </c>
      <c r="U47">
        <f>MID($D47,9,1)</f>
        <v/>
      </c>
      <c r="V47">
        <f>MID($D47,10,1)</f>
        <v/>
      </c>
      <c r="W47">
        <f>MID($E47,1,1)</f>
        <v/>
      </c>
      <c r="X47">
        <f>MID($E47,2,1)</f>
        <v/>
      </c>
      <c r="Y47">
        <f>MID($E47,3,1)</f>
        <v/>
      </c>
      <c r="Z47">
        <f>MID($E47,4,1)</f>
        <v/>
      </c>
      <c r="AA47">
        <f>MID($E47,5,1)</f>
        <v/>
      </c>
      <c r="AB47">
        <f>MID($E47,6,1)</f>
        <v/>
      </c>
      <c r="AC47">
        <f>MID($E47,7,1)</f>
        <v/>
      </c>
      <c r="AD47">
        <f>MID($E47,8,1)</f>
        <v/>
      </c>
      <c r="AE47">
        <f>MID($E47,9,1)</f>
        <v/>
      </c>
      <c r="AF47">
        <f>MID($E47,10,1)</f>
        <v/>
      </c>
    </row>
    <row r="48">
      <c r="A48" s="4" t="inlineStr">
        <is>
          <t>DN047</t>
        </is>
      </c>
      <c r="B48" s="4" t="n">
        <v>1</v>
      </c>
      <c r="C48" s="4" t="n">
        <v>1</v>
      </c>
      <c r="D48" s="5" t="inlineStr">
        <is>
          <t>TGGCGGACAT</t>
        </is>
      </c>
      <c r="E48" s="5" t="inlineStr">
        <is>
          <t>AGGAAGGTCC</t>
        </is>
      </c>
      <c r="F48" s="4">
        <f>LEN(SUBSTITUTE(SUBSTITUTE(D48,"A",""),"T",""))</f>
        <v/>
      </c>
      <c r="G48" s="4">
        <f>LEN(SUBSTITUTE(SUBSTITUTE(E48,"A",""),"T",""))</f>
        <v/>
      </c>
      <c r="H48" s="4" t="n">
        <v>-5.34</v>
      </c>
      <c r="I48" s="4" t="n">
        <v>-2.27</v>
      </c>
      <c r="J48" s="4" t="n">
        <v>-3.22</v>
      </c>
      <c r="K48" s="4" t="n">
        <v>-1.56</v>
      </c>
      <c r="M48">
        <f>MID($D48,1,1)</f>
        <v/>
      </c>
      <c r="N48">
        <f>MID($D48,2,1)</f>
        <v/>
      </c>
      <c r="O48">
        <f>MID($D48,3,1)</f>
        <v/>
      </c>
      <c r="P48">
        <f>MID($D48,4,1)</f>
        <v/>
      </c>
      <c r="Q48">
        <f>MID($D48,5,1)</f>
        <v/>
      </c>
      <c r="R48">
        <f>MID($D48,6,1)</f>
        <v/>
      </c>
      <c r="S48">
        <f>MID($D48,7,1)</f>
        <v/>
      </c>
      <c r="T48">
        <f>MID($D48,8,1)</f>
        <v/>
      </c>
      <c r="U48">
        <f>MID($D48,9,1)</f>
        <v/>
      </c>
      <c r="V48">
        <f>MID($D48,10,1)</f>
        <v/>
      </c>
      <c r="W48">
        <f>MID($E48,1,1)</f>
        <v/>
      </c>
      <c r="X48">
        <f>MID($E48,2,1)</f>
        <v/>
      </c>
      <c r="Y48">
        <f>MID($E48,3,1)</f>
        <v/>
      </c>
      <c r="Z48">
        <f>MID($E48,4,1)</f>
        <v/>
      </c>
      <c r="AA48">
        <f>MID($E48,5,1)</f>
        <v/>
      </c>
      <c r="AB48">
        <f>MID($E48,6,1)</f>
        <v/>
      </c>
      <c r="AC48">
        <f>MID($E48,7,1)</f>
        <v/>
      </c>
      <c r="AD48">
        <f>MID($E48,8,1)</f>
        <v/>
      </c>
      <c r="AE48">
        <f>MID($E48,9,1)</f>
        <v/>
      </c>
      <c r="AF48">
        <f>MID($E48,10,1)</f>
        <v/>
      </c>
    </row>
    <row r="49">
      <c r="A49" s="4" t="inlineStr">
        <is>
          <t>DN048</t>
        </is>
      </c>
      <c r="B49" s="4" t="n">
        <v>1</v>
      </c>
      <c r="C49" s="4" t="n">
        <v>1</v>
      </c>
      <c r="D49" s="5" t="inlineStr">
        <is>
          <t>CATCTTAGCA</t>
        </is>
      </c>
      <c r="E49" s="5" t="inlineStr">
        <is>
          <t>GCGACATGGA</t>
        </is>
      </c>
      <c r="F49" s="4">
        <f>LEN(SUBSTITUTE(SUBSTITUTE(D49,"A",""),"T",""))</f>
        <v/>
      </c>
      <c r="G49" s="4">
        <f>LEN(SUBSTITUTE(SUBSTITUTE(E49,"A",""),"T",""))</f>
        <v/>
      </c>
      <c r="H49" s="4" t="n">
        <v>-2.13</v>
      </c>
      <c r="I49" s="4" t="n">
        <v>-1.29</v>
      </c>
      <c r="J49" s="4" t="n">
        <v>-3.69</v>
      </c>
      <c r="K49" s="4" t="n">
        <v>-2.06</v>
      </c>
      <c r="M49">
        <f>MID($D49,1,1)</f>
        <v/>
      </c>
      <c r="N49">
        <f>MID($D49,2,1)</f>
        <v/>
      </c>
      <c r="O49">
        <f>MID($D49,3,1)</f>
        <v/>
      </c>
      <c r="P49">
        <f>MID($D49,4,1)</f>
        <v/>
      </c>
      <c r="Q49">
        <f>MID($D49,5,1)</f>
        <v/>
      </c>
      <c r="R49">
        <f>MID($D49,6,1)</f>
        <v/>
      </c>
      <c r="S49">
        <f>MID($D49,7,1)</f>
        <v/>
      </c>
      <c r="T49">
        <f>MID($D49,8,1)</f>
        <v/>
      </c>
      <c r="U49">
        <f>MID($D49,9,1)</f>
        <v/>
      </c>
      <c r="V49">
        <f>MID($D49,10,1)</f>
        <v/>
      </c>
      <c r="W49">
        <f>MID($E49,1,1)</f>
        <v/>
      </c>
      <c r="X49">
        <f>MID($E49,2,1)</f>
        <v/>
      </c>
      <c r="Y49">
        <f>MID($E49,3,1)</f>
        <v/>
      </c>
      <c r="Z49">
        <f>MID($E49,4,1)</f>
        <v/>
      </c>
      <c r="AA49">
        <f>MID($E49,5,1)</f>
        <v/>
      </c>
      <c r="AB49">
        <f>MID($E49,6,1)</f>
        <v/>
      </c>
      <c r="AC49">
        <f>MID($E49,7,1)</f>
        <v/>
      </c>
      <c r="AD49">
        <f>MID($E49,8,1)</f>
        <v/>
      </c>
      <c r="AE49">
        <f>MID($E49,9,1)</f>
        <v/>
      </c>
      <c r="AF49">
        <f>MID($E49,10,1)</f>
        <v/>
      </c>
    </row>
    <row r="50">
      <c r="A50" s="4" t="inlineStr">
        <is>
          <t>DN049</t>
        </is>
      </c>
      <c r="B50" s="4" t="n">
        <v>1</v>
      </c>
      <c r="C50" s="4" t="n">
        <v>2</v>
      </c>
      <c r="D50" s="5" t="inlineStr">
        <is>
          <t>CGGACTGTTC</t>
        </is>
      </c>
      <c r="E50" s="5" t="inlineStr">
        <is>
          <t>TGCACGGTCT</t>
        </is>
      </c>
      <c r="F50" s="4">
        <f>LEN(SUBSTITUTE(SUBSTITUTE(D50,"A",""),"T",""))</f>
        <v/>
      </c>
      <c r="G50" s="4">
        <f>LEN(SUBSTITUTE(SUBSTITUTE(E50,"A",""),"T",""))</f>
        <v/>
      </c>
      <c r="H50" s="4" t="n">
        <v>-2.62</v>
      </c>
      <c r="I50" s="4" t="n">
        <v>-2.07</v>
      </c>
      <c r="J50" s="4" t="n">
        <v>-3.82</v>
      </c>
      <c r="K50" s="4" t="n">
        <v>-1.7</v>
      </c>
      <c r="M50">
        <f>MID($D50,1,1)</f>
        <v/>
      </c>
      <c r="N50">
        <f>MID($D50,2,1)</f>
        <v/>
      </c>
      <c r="O50">
        <f>MID($D50,3,1)</f>
        <v/>
      </c>
      <c r="P50">
        <f>MID($D50,4,1)</f>
        <v/>
      </c>
      <c r="Q50">
        <f>MID($D50,5,1)</f>
        <v/>
      </c>
      <c r="R50">
        <f>MID($D50,6,1)</f>
        <v/>
      </c>
      <c r="S50">
        <f>MID($D50,7,1)</f>
        <v/>
      </c>
      <c r="T50">
        <f>MID($D50,8,1)</f>
        <v/>
      </c>
      <c r="U50">
        <f>MID($D50,9,1)</f>
        <v/>
      </c>
      <c r="V50">
        <f>MID($D50,10,1)</f>
        <v/>
      </c>
      <c r="W50">
        <f>MID($E50,1,1)</f>
        <v/>
      </c>
      <c r="X50">
        <f>MID($E50,2,1)</f>
        <v/>
      </c>
      <c r="Y50">
        <f>MID($E50,3,1)</f>
        <v/>
      </c>
      <c r="Z50">
        <f>MID($E50,4,1)</f>
        <v/>
      </c>
      <c r="AA50">
        <f>MID($E50,5,1)</f>
        <v/>
      </c>
      <c r="AB50">
        <f>MID($E50,6,1)</f>
        <v/>
      </c>
      <c r="AC50">
        <f>MID($E50,7,1)</f>
        <v/>
      </c>
      <c r="AD50">
        <f>MID($E50,8,1)</f>
        <v/>
      </c>
      <c r="AE50">
        <f>MID($E50,9,1)</f>
        <v/>
      </c>
      <c r="AF50">
        <f>MID($E50,10,1)</f>
        <v/>
      </c>
    </row>
    <row r="51">
      <c r="A51" s="4" t="inlineStr">
        <is>
          <t>DN050</t>
        </is>
      </c>
      <c r="B51" s="4" t="n">
        <v>1</v>
      </c>
      <c r="C51" s="4" t="n">
        <v>2</v>
      </c>
      <c r="D51" s="5" t="inlineStr">
        <is>
          <t>GAGTCAGTAT</t>
        </is>
      </c>
      <c r="E51" s="5" t="inlineStr">
        <is>
          <t>GCAGGTGCAT</t>
        </is>
      </c>
      <c r="F51" s="4">
        <f>LEN(SUBSTITUTE(SUBSTITUTE(D51,"A",""),"T",""))</f>
        <v/>
      </c>
      <c r="G51" s="4">
        <f>LEN(SUBSTITUTE(SUBSTITUTE(E51,"A",""),"T",""))</f>
        <v/>
      </c>
      <c r="H51" s="4" t="n">
        <v>-3.09</v>
      </c>
      <c r="I51" s="4" t="n">
        <v>-0.58</v>
      </c>
      <c r="J51" s="4" t="n">
        <v>-3.51</v>
      </c>
      <c r="K51" s="4" t="n">
        <v>-1.91</v>
      </c>
      <c r="M51">
        <f>MID($D51,1,1)</f>
        <v/>
      </c>
      <c r="N51">
        <f>MID($D51,2,1)</f>
        <v/>
      </c>
      <c r="O51">
        <f>MID($D51,3,1)</f>
        <v/>
      </c>
      <c r="P51">
        <f>MID($D51,4,1)</f>
        <v/>
      </c>
      <c r="Q51">
        <f>MID($D51,5,1)</f>
        <v/>
      </c>
      <c r="R51">
        <f>MID($D51,6,1)</f>
        <v/>
      </c>
      <c r="S51">
        <f>MID($D51,7,1)</f>
        <v/>
      </c>
      <c r="T51">
        <f>MID($D51,8,1)</f>
        <v/>
      </c>
      <c r="U51">
        <f>MID($D51,9,1)</f>
        <v/>
      </c>
      <c r="V51">
        <f>MID($D51,10,1)</f>
        <v/>
      </c>
      <c r="W51">
        <f>MID($E51,1,1)</f>
        <v/>
      </c>
      <c r="X51">
        <f>MID($E51,2,1)</f>
        <v/>
      </c>
      <c r="Y51">
        <f>MID($E51,3,1)</f>
        <v/>
      </c>
      <c r="Z51">
        <f>MID($E51,4,1)</f>
        <v/>
      </c>
      <c r="AA51">
        <f>MID($E51,5,1)</f>
        <v/>
      </c>
      <c r="AB51">
        <f>MID($E51,6,1)</f>
        <v/>
      </c>
      <c r="AC51">
        <f>MID($E51,7,1)</f>
        <v/>
      </c>
      <c r="AD51">
        <f>MID($E51,8,1)</f>
        <v/>
      </c>
      <c r="AE51">
        <f>MID($E51,9,1)</f>
        <v/>
      </c>
      <c r="AF51">
        <f>MID($E51,10,1)</f>
        <v/>
      </c>
    </row>
    <row r="52">
      <c r="A52" s="4" t="inlineStr">
        <is>
          <t>DN051</t>
        </is>
      </c>
      <c r="B52" s="4" t="n">
        <v>1</v>
      </c>
      <c r="C52" s="4" t="n">
        <v>2</v>
      </c>
      <c r="D52" s="5" t="inlineStr">
        <is>
          <t>AAGCGTAAGA</t>
        </is>
      </c>
      <c r="E52" s="5" t="inlineStr">
        <is>
          <t>CCTGTGGACA</t>
        </is>
      </c>
      <c r="F52" s="4">
        <f>LEN(SUBSTITUTE(SUBSTITUTE(D52,"A",""),"T",""))</f>
        <v/>
      </c>
      <c r="G52" s="4">
        <f>LEN(SUBSTITUTE(SUBSTITUTE(E52,"A",""),"T",""))</f>
        <v/>
      </c>
      <c r="H52" s="4" t="n">
        <v>-2.52</v>
      </c>
      <c r="I52" s="4" t="n">
        <v>-0.33</v>
      </c>
      <c r="J52" s="4" t="n">
        <v>-2.96</v>
      </c>
      <c r="K52" s="4" t="n">
        <v>-1.74</v>
      </c>
      <c r="M52">
        <f>MID($D52,1,1)</f>
        <v/>
      </c>
      <c r="N52">
        <f>MID($D52,2,1)</f>
        <v/>
      </c>
      <c r="O52">
        <f>MID($D52,3,1)</f>
        <v/>
      </c>
      <c r="P52">
        <f>MID($D52,4,1)</f>
        <v/>
      </c>
      <c r="Q52">
        <f>MID($D52,5,1)</f>
        <v/>
      </c>
      <c r="R52">
        <f>MID($D52,6,1)</f>
        <v/>
      </c>
      <c r="S52">
        <f>MID($D52,7,1)</f>
        <v/>
      </c>
      <c r="T52">
        <f>MID($D52,8,1)</f>
        <v/>
      </c>
      <c r="U52">
        <f>MID($D52,9,1)</f>
        <v/>
      </c>
      <c r="V52">
        <f>MID($D52,10,1)</f>
        <v/>
      </c>
      <c r="W52">
        <f>MID($E52,1,1)</f>
        <v/>
      </c>
      <c r="X52">
        <f>MID($E52,2,1)</f>
        <v/>
      </c>
      <c r="Y52">
        <f>MID($E52,3,1)</f>
        <v/>
      </c>
      <c r="Z52">
        <f>MID($E52,4,1)</f>
        <v/>
      </c>
      <c r="AA52">
        <f>MID($E52,5,1)</f>
        <v/>
      </c>
      <c r="AB52">
        <f>MID($E52,6,1)</f>
        <v/>
      </c>
      <c r="AC52">
        <f>MID($E52,7,1)</f>
        <v/>
      </c>
      <c r="AD52">
        <f>MID($E52,8,1)</f>
        <v/>
      </c>
      <c r="AE52">
        <f>MID($E52,9,1)</f>
        <v/>
      </c>
      <c r="AF52">
        <f>MID($E52,10,1)</f>
        <v/>
      </c>
    </row>
    <row r="53">
      <c r="A53" s="4" t="inlineStr">
        <is>
          <t>DN052</t>
        </is>
      </c>
      <c r="B53" s="4" t="n">
        <v>1</v>
      </c>
      <c r="C53" s="4" t="n">
        <v>2</v>
      </c>
      <c r="D53" s="5" t="inlineStr">
        <is>
          <t>GTTATTCCGT</t>
        </is>
      </c>
      <c r="E53" s="5" t="inlineStr">
        <is>
          <t>CGCTGGATCA</t>
        </is>
      </c>
      <c r="F53" s="4">
        <f>LEN(SUBSTITUTE(SUBSTITUTE(D53,"A",""),"T",""))</f>
        <v/>
      </c>
      <c r="G53" s="4">
        <f>LEN(SUBSTITUTE(SUBSTITUTE(E53,"A",""),"T",""))</f>
        <v/>
      </c>
      <c r="H53" s="4" t="n">
        <v>-3.59</v>
      </c>
      <c r="I53" s="4" t="n">
        <v>0</v>
      </c>
      <c r="J53" s="4" t="n">
        <v>-3.68</v>
      </c>
      <c r="K53" s="4" t="n">
        <v>-1.08</v>
      </c>
      <c r="M53">
        <f>MID($D53,1,1)</f>
        <v/>
      </c>
      <c r="N53">
        <f>MID($D53,2,1)</f>
        <v/>
      </c>
      <c r="O53">
        <f>MID($D53,3,1)</f>
        <v/>
      </c>
      <c r="P53">
        <f>MID($D53,4,1)</f>
        <v/>
      </c>
      <c r="Q53">
        <f>MID($D53,5,1)</f>
        <v/>
      </c>
      <c r="R53">
        <f>MID($D53,6,1)</f>
        <v/>
      </c>
      <c r="S53">
        <f>MID($D53,7,1)</f>
        <v/>
      </c>
      <c r="T53">
        <f>MID($D53,8,1)</f>
        <v/>
      </c>
      <c r="U53">
        <f>MID($D53,9,1)</f>
        <v/>
      </c>
      <c r="V53">
        <f>MID($D53,10,1)</f>
        <v/>
      </c>
      <c r="W53">
        <f>MID($E53,1,1)</f>
        <v/>
      </c>
      <c r="X53">
        <f>MID($E53,2,1)</f>
        <v/>
      </c>
      <c r="Y53">
        <f>MID($E53,3,1)</f>
        <v/>
      </c>
      <c r="Z53">
        <f>MID($E53,4,1)</f>
        <v/>
      </c>
      <c r="AA53">
        <f>MID($E53,5,1)</f>
        <v/>
      </c>
      <c r="AB53">
        <f>MID($E53,6,1)</f>
        <v/>
      </c>
      <c r="AC53">
        <f>MID($E53,7,1)</f>
        <v/>
      </c>
      <c r="AD53">
        <f>MID($E53,8,1)</f>
        <v/>
      </c>
      <c r="AE53">
        <f>MID($E53,9,1)</f>
        <v/>
      </c>
      <c r="AF53">
        <f>MID($E53,10,1)</f>
        <v/>
      </c>
    </row>
    <row r="54">
      <c r="A54" s="4" t="inlineStr">
        <is>
          <t>DN053</t>
        </is>
      </c>
      <c r="B54" s="4" t="n">
        <v>1</v>
      </c>
      <c r="C54" s="4" t="n">
        <v>2</v>
      </c>
      <c r="D54" s="5" t="inlineStr">
        <is>
          <t>ACTTGGACTT</t>
        </is>
      </c>
      <c r="E54" s="5" t="inlineStr">
        <is>
          <t>TTAGCCTATC</t>
        </is>
      </c>
      <c r="F54" s="4">
        <f>LEN(SUBSTITUTE(SUBSTITUTE(D54,"A",""),"T",""))</f>
        <v/>
      </c>
      <c r="G54" s="4">
        <f>LEN(SUBSTITUTE(SUBSTITUTE(E54,"A",""),"T",""))</f>
        <v/>
      </c>
      <c r="H54" s="4" t="n">
        <v>-2.48</v>
      </c>
      <c r="I54" s="4" t="n">
        <v>-2.48</v>
      </c>
      <c r="J54" s="4" t="n">
        <v>-2.78</v>
      </c>
      <c r="K54" s="4" t="n">
        <v>-2.24</v>
      </c>
      <c r="M54">
        <f>MID($D54,1,1)</f>
        <v/>
      </c>
      <c r="N54">
        <f>MID($D54,2,1)</f>
        <v/>
      </c>
      <c r="O54">
        <f>MID($D54,3,1)</f>
        <v/>
      </c>
      <c r="P54">
        <f>MID($D54,4,1)</f>
        <v/>
      </c>
      <c r="Q54">
        <f>MID($D54,5,1)</f>
        <v/>
      </c>
      <c r="R54">
        <f>MID($D54,6,1)</f>
        <v/>
      </c>
      <c r="S54">
        <f>MID($D54,7,1)</f>
        <v/>
      </c>
      <c r="T54">
        <f>MID($D54,8,1)</f>
        <v/>
      </c>
      <c r="U54">
        <f>MID($D54,9,1)</f>
        <v/>
      </c>
      <c r="V54">
        <f>MID($D54,10,1)</f>
        <v/>
      </c>
      <c r="W54">
        <f>MID($E54,1,1)</f>
        <v/>
      </c>
      <c r="X54">
        <f>MID($E54,2,1)</f>
        <v/>
      </c>
      <c r="Y54">
        <f>MID($E54,3,1)</f>
        <v/>
      </c>
      <c r="Z54">
        <f>MID($E54,4,1)</f>
        <v/>
      </c>
      <c r="AA54">
        <f>MID($E54,5,1)</f>
        <v/>
      </c>
      <c r="AB54">
        <f>MID($E54,6,1)</f>
        <v/>
      </c>
      <c r="AC54">
        <f>MID($E54,7,1)</f>
        <v/>
      </c>
      <c r="AD54">
        <f>MID($E54,8,1)</f>
        <v/>
      </c>
      <c r="AE54">
        <f>MID($E54,9,1)</f>
        <v/>
      </c>
      <c r="AF54">
        <f>MID($E54,10,1)</f>
        <v/>
      </c>
    </row>
    <row r="55">
      <c r="A55" s="4" t="inlineStr">
        <is>
          <t>DN054</t>
        </is>
      </c>
      <c r="B55" s="4" t="n">
        <v>1</v>
      </c>
      <c r="C55" s="4" t="n">
        <v>2</v>
      </c>
      <c r="D55" s="5" t="inlineStr">
        <is>
          <t>TGGCACAACC</t>
        </is>
      </c>
      <c r="E55" s="5" t="inlineStr">
        <is>
          <t>CGTCCAGGTA</t>
        </is>
      </c>
      <c r="F55" s="4">
        <f>LEN(SUBSTITUTE(SUBSTITUTE(D55,"A",""),"T",""))</f>
        <v/>
      </c>
      <c r="G55" s="4">
        <f>LEN(SUBSTITUTE(SUBSTITUTE(E55,"A",""),"T",""))</f>
        <v/>
      </c>
      <c r="H55" s="4" t="n">
        <v>-2.86</v>
      </c>
      <c r="I55" s="4" t="n">
        <v>-2.37</v>
      </c>
      <c r="J55" s="4" t="n">
        <v>-2.68</v>
      </c>
      <c r="K55" s="4" t="n">
        <v>-0.75</v>
      </c>
      <c r="M55">
        <f>MID($D55,1,1)</f>
        <v/>
      </c>
      <c r="N55">
        <f>MID($D55,2,1)</f>
        <v/>
      </c>
      <c r="O55">
        <f>MID($D55,3,1)</f>
        <v/>
      </c>
      <c r="P55">
        <f>MID($D55,4,1)</f>
        <v/>
      </c>
      <c r="Q55">
        <f>MID($D55,5,1)</f>
        <v/>
      </c>
      <c r="R55">
        <f>MID($D55,6,1)</f>
        <v/>
      </c>
      <c r="S55">
        <f>MID($D55,7,1)</f>
        <v/>
      </c>
      <c r="T55">
        <f>MID($D55,8,1)</f>
        <v/>
      </c>
      <c r="U55">
        <f>MID($D55,9,1)</f>
        <v/>
      </c>
      <c r="V55">
        <f>MID($D55,10,1)</f>
        <v/>
      </c>
      <c r="W55">
        <f>MID($E55,1,1)</f>
        <v/>
      </c>
      <c r="X55">
        <f>MID($E55,2,1)</f>
        <v/>
      </c>
      <c r="Y55">
        <f>MID($E55,3,1)</f>
        <v/>
      </c>
      <c r="Z55">
        <f>MID($E55,4,1)</f>
        <v/>
      </c>
      <c r="AA55">
        <f>MID($E55,5,1)</f>
        <v/>
      </c>
      <c r="AB55">
        <f>MID($E55,6,1)</f>
        <v/>
      </c>
      <c r="AC55">
        <f>MID($E55,7,1)</f>
        <v/>
      </c>
      <c r="AD55">
        <f>MID($E55,8,1)</f>
        <v/>
      </c>
      <c r="AE55">
        <f>MID($E55,9,1)</f>
        <v/>
      </c>
      <c r="AF55">
        <f>MID($E55,10,1)</f>
        <v/>
      </c>
    </row>
    <row r="56">
      <c r="A56" s="4" t="inlineStr">
        <is>
          <t>DN055</t>
        </is>
      </c>
      <c r="B56" s="4" t="n">
        <v>1</v>
      </c>
      <c r="C56" s="4" t="n">
        <v>2</v>
      </c>
      <c r="D56" s="5" t="inlineStr">
        <is>
          <t>GTGCTCTGAG</t>
        </is>
      </c>
      <c r="E56" s="5" t="inlineStr">
        <is>
          <t>GTTCTAGTAG</t>
        </is>
      </c>
      <c r="F56" s="4">
        <f>LEN(SUBSTITUTE(SUBSTITUTE(D56,"A",""),"T",""))</f>
        <v/>
      </c>
      <c r="G56" s="4">
        <f>LEN(SUBSTITUTE(SUBSTITUTE(E56,"A",""),"T",""))</f>
        <v/>
      </c>
      <c r="H56" s="4" t="n">
        <v>-2.65</v>
      </c>
      <c r="I56" s="4" t="n">
        <v>-1.53</v>
      </c>
      <c r="J56" s="4" t="n">
        <v>-1.58</v>
      </c>
      <c r="K56" s="4" t="n">
        <v>-0.22</v>
      </c>
      <c r="M56">
        <f>MID($D56,1,1)</f>
        <v/>
      </c>
      <c r="N56">
        <f>MID($D56,2,1)</f>
        <v/>
      </c>
      <c r="O56">
        <f>MID($D56,3,1)</f>
        <v/>
      </c>
      <c r="P56">
        <f>MID($D56,4,1)</f>
        <v/>
      </c>
      <c r="Q56">
        <f>MID($D56,5,1)</f>
        <v/>
      </c>
      <c r="R56">
        <f>MID($D56,6,1)</f>
        <v/>
      </c>
      <c r="S56">
        <f>MID($D56,7,1)</f>
        <v/>
      </c>
      <c r="T56">
        <f>MID($D56,8,1)</f>
        <v/>
      </c>
      <c r="U56">
        <f>MID($D56,9,1)</f>
        <v/>
      </c>
      <c r="V56">
        <f>MID($D56,10,1)</f>
        <v/>
      </c>
      <c r="W56">
        <f>MID($E56,1,1)</f>
        <v/>
      </c>
      <c r="X56">
        <f>MID($E56,2,1)</f>
        <v/>
      </c>
      <c r="Y56">
        <f>MID($E56,3,1)</f>
        <v/>
      </c>
      <c r="Z56">
        <f>MID($E56,4,1)</f>
        <v/>
      </c>
      <c r="AA56">
        <f>MID($E56,5,1)</f>
        <v/>
      </c>
      <c r="AB56">
        <f>MID($E56,6,1)</f>
        <v/>
      </c>
      <c r="AC56">
        <f>MID($E56,7,1)</f>
        <v/>
      </c>
      <c r="AD56">
        <f>MID($E56,8,1)</f>
        <v/>
      </c>
      <c r="AE56">
        <f>MID($E56,9,1)</f>
        <v/>
      </c>
      <c r="AF56">
        <f>MID($E56,10,1)</f>
        <v/>
      </c>
    </row>
    <row r="57">
      <c r="A57" s="4" t="inlineStr">
        <is>
          <t>DN056</t>
        </is>
      </c>
      <c r="B57" s="4" t="n">
        <v>1</v>
      </c>
      <c r="C57" s="4" t="n">
        <v>2</v>
      </c>
      <c r="D57" s="5" t="inlineStr">
        <is>
          <t>CCTGCTCCAT</t>
        </is>
      </c>
      <c r="E57" s="5" t="inlineStr">
        <is>
          <t>CGCATTGGAG</t>
        </is>
      </c>
      <c r="F57" s="4">
        <f>LEN(SUBSTITUTE(SUBSTITUTE(D57,"A",""),"T",""))</f>
        <v/>
      </c>
      <c r="G57" s="4">
        <f>LEN(SUBSTITUTE(SUBSTITUTE(E57,"A",""),"T",""))</f>
        <v/>
      </c>
      <c r="H57" s="4" t="n">
        <v>-2.45</v>
      </c>
      <c r="I57" s="4" t="n">
        <v>-0.9</v>
      </c>
      <c r="J57" s="4" t="n">
        <v>-2.38</v>
      </c>
      <c r="K57" s="4" t="n">
        <v>-1.42</v>
      </c>
      <c r="M57">
        <f>MID($D57,1,1)</f>
        <v/>
      </c>
      <c r="N57">
        <f>MID($D57,2,1)</f>
        <v/>
      </c>
      <c r="O57">
        <f>MID($D57,3,1)</f>
        <v/>
      </c>
      <c r="P57">
        <f>MID($D57,4,1)</f>
        <v/>
      </c>
      <c r="Q57">
        <f>MID($D57,5,1)</f>
        <v/>
      </c>
      <c r="R57">
        <f>MID($D57,6,1)</f>
        <v/>
      </c>
      <c r="S57">
        <f>MID($D57,7,1)</f>
        <v/>
      </c>
      <c r="T57">
        <f>MID($D57,8,1)</f>
        <v/>
      </c>
      <c r="U57">
        <f>MID($D57,9,1)</f>
        <v/>
      </c>
      <c r="V57">
        <f>MID($D57,10,1)</f>
        <v/>
      </c>
      <c r="W57">
        <f>MID($E57,1,1)</f>
        <v/>
      </c>
      <c r="X57">
        <f>MID($E57,2,1)</f>
        <v/>
      </c>
      <c r="Y57">
        <f>MID($E57,3,1)</f>
        <v/>
      </c>
      <c r="Z57">
        <f>MID($E57,4,1)</f>
        <v/>
      </c>
      <c r="AA57">
        <f>MID($E57,5,1)</f>
        <v/>
      </c>
      <c r="AB57">
        <f>MID($E57,6,1)</f>
        <v/>
      </c>
      <c r="AC57">
        <f>MID($E57,7,1)</f>
        <v/>
      </c>
      <c r="AD57">
        <f>MID($E57,8,1)</f>
        <v/>
      </c>
      <c r="AE57">
        <f>MID($E57,9,1)</f>
        <v/>
      </c>
      <c r="AF57">
        <f>MID($E57,10,1)</f>
        <v/>
      </c>
    </row>
    <row r="58">
      <c r="A58" s="4" t="inlineStr">
        <is>
          <t>DN057</t>
        </is>
      </c>
      <c r="B58" s="4" t="n">
        <v>1</v>
      </c>
      <c r="C58" s="4" t="n">
        <v>2</v>
      </c>
      <c r="D58" s="5" t="inlineStr">
        <is>
          <t>GTAGCGTGTG</t>
        </is>
      </c>
      <c r="E58" s="5" t="inlineStr">
        <is>
          <t>GCCAGCATCA</t>
        </is>
      </c>
      <c r="F58" s="4">
        <f>LEN(SUBSTITUTE(SUBSTITUTE(D58,"A",""),"T",""))</f>
        <v/>
      </c>
      <c r="G58" s="4">
        <f>LEN(SUBSTITUTE(SUBSTITUTE(E58,"A",""),"T",""))</f>
        <v/>
      </c>
      <c r="H58" s="4" t="n">
        <v>-4.53</v>
      </c>
      <c r="I58" s="4" t="n">
        <v>-2.39</v>
      </c>
      <c r="J58" s="4" t="n">
        <v>-4.96</v>
      </c>
      <c r="K58" s="4" t="n">
        <v>-1.62</v>
      </c>
      <c r="M58">
        <f>MID($D58,1,1)</f>
        <v/>
      </c>
      <c r="N58">
        <f>MID($D58,2,1)</f>
        <v/>
      </c>
      <c r="O58">
        <f>MID($D58,3,1)</f>
        <v/>
      </c>
      <c r="P58">
        <f>MID($D58,4,1)</f>
        <v/>
      </c>
      <c r="Q58">
        <f>MID($D58,5,1)</f>
        <v/>
      </c>
      <c r="R58">
        <f>MID($D58,6,1)</f>
        <v/>
      </c>
      <c r="S58">
        <f>MID($D58,7,1)</f>
        <v/>
      </c>
      <c r="T58">
        <f>MID($D58,8,1)</f>
        <v/>
      </c>
      <c r="U58">
        <f>MID($D58,9,1)</f>
        <v/>
      </c>
      <c r="V58">
        <f>MID($D58,10,1)</f>
        <v/>
      </c>
      <c r="W58">
        <f>MID($E58,1,1)</f>
        <v/>
      </c>
      <c r="X58">
        <f>MID($E58,2,1)</f>
        <v/>
      </c>
      <c r="Y58">
        <f>MID($E58,3,1)</f>
        <v/>
      </c>
      <c r="Z58">
        <f>MID($E58,4,1)</f>
        <v/>
      </c>
      <c r="AA58">
        <f>MID($E58,5,1)</f>
        <v/>
      </c>
      <c r="AB58">
        <f>MID($E58,6,1)</f>
        <v/>
      </c>
      <c r="AC58">
        <f>MID($E58,7,1)</f>
        <v/>
      </c>
      <c r="AD58">
        <f>MID($E58,8,1)</f>
        <v/>
      </c>
      <c r="AE58">
        <f>MID($E58,9,1)</f>
        <v/>
      </c>
      <c r="AF58">
        <f>MID($E58,10,1)</f>
        <v/>
      </c>
    </row>
    <row r="59">
      <c r="A59" s="4" t="inlineStr">
        <is>
          <t>DN058</t>
        </is>
      </c>
      <c r="B59" s="4" t="n">
        <v>1</v>
      </c>
      <c r="C59" s="4" t="n">
        <v>2</v>
      </c>
      <c r="D59" s="5" t="inlineStr">
        <is>
          <t>TCTTCAAGTG</t>
        </is>
      </c>
      <c r="E59" s="5" t="inlineStr">
        <is>
          <t>GTACAATAGG</t>
        </is>
      </c>
      <c r="F59" s="4">
        <f>LEN(SUBSTITUTE(SUBSTITUTE(D59,"A",""),"T",""))</f>
        <v/>
      </c>
      <c r="G59" s="4">
        <f>LEN(SUBSTITUTE(SUBSTITUTE(E59,"A",""),"T",""))</f>
        <v/>
      </c>
      <c r="H59" s="4" t="n">
        <v>-2.66</v>
      </c>
      <c r="I59" s="4" t="n">
        <v>-0.52</v>
      </c>
      <c r="J59" s="4" t="n">
        <v>-1.45</v>
      </c>
      <c r="K59" s="4" t="n">
        <v>-0.79</v>
      </c>
      <c r="M59">
        <f>MID($D59,1,1)</f>
        <v/>
      </c>
      <c r="N59">
        <f>MID($D59,2,1)</f>
        <v/>
      </c>
      <c r="O59">
        <f>MID($D59,3,1)</f>
        <v/>
      </c>
      <c r="P59">
        <f>MID($D59,4,1)</f>
        <v/>
      </c>
      <c r="Q59">
        <f>MID($D59,5,1)</f>
        <v/>
      </c>
      <c r="R59">
        <f>MID($D59,6,1)</f>
        <v/>
      </c>
      <c r="S59">
        <f>MID($D59,7,1)</f>
        <v/>
      </c>
      <c r="T59">
        <f>MID($D59,8,1)</f>
        <v/>
      </c>
      <c r="U59">
        <f>MID($D59,9,1)</f>
        <v/>
      </c>
      <c r="V59">
        <f>MID($D59,10,1)</f>
        <v/>
      </c>
      <c r="W59">
        <f>MID($E59,1,1)</f>
        <v/>
      </c>
      <c r="X59">
        <f>MID($E59,2,1)</f>
        <v/>
      </c>
      <c r="Y59">
        <f>MID($E59,3,1)</f>
        <v/>
      </c>
      <c r="Z59">
        <f>MID($E59,4,1)</f>
        <v/>
      </c>
      <c r="AA59">
        <f>MID($E59,5,1)</f>
        <v/>
      </c>
      <c r="AB59">
        <f>MID($E59,6,1)</f>
        <v/>
      </c>
      <c r="AC59">
        <f>MID($E59,7,1)</f>
        <v/>
      </c>
      <c r="AD59">
        <f>MID($E59,8,1)</f>
        <v/>
      </c>
      <c r="AE59">
        <f>MID($E59,9,1)</f>
        <v/>
      </c>
      <c r="AF59">
        <f>MID($E59,10,1)</f>
        <v/>
      </c>
    </row>
    <row r="60">
      <c r="A60" s="4" t="inlineStr">
        <is>
          <t>DN059</t>
        </is>
      </c>
      <c r="B60" s="4" t="n">
        <v>1</v>
      </c>
      <c r="C60" s="4" t="n">
        <v>2</v>
      </c>
      <c r="D60" s="5" t="inlineStr">
        <is>
          <t>GCATAGGCTC</t>
        </is>
      </c>
      <c r="E60" s="5" t="inlineStr">
        <is>
          <t>AATCAGTGTG</t>
        </is>
      </c>
      <c r="F60" s="4">
        <f>LEN(SUBSTITUTE(SUBSTITUTE(D60,"A",""),"T",""))</f>
        <v/>
      </c>
      <c r="G60" s="4">
        <f>LEN(SUBSTITUTE(SUBSTITUTE(E60,"A",""),"T",""))</f>
        <v/>
      </c>
      <c r="H60" s="4" t="n">
        <v>-3.04</v>
      </c>
      <c r="I60" s="4" t="n">
        <v>-2.24</v>
      </c>
      <c r="J60" s="4" t="n">
        <v>-2.55</v>
      </c>
      <c r="K60" s="4" t="n">
        <v>-1.24</v>
      </c>
      <c r="M60">
        <f>MID($D60,1,1)</f>
        <v/>
      </c>
      <c r="N60">
        <f>MID($D60,2,1)</f>
        <v/>
      </c>
      <c r="O60">
        <f>MID($D60,3,1)</f>
        <v/>
      </c>
      <c r="P60">
        <f>MID($D60,4,1)</f>
        <v/>
      </c>
      <c r="Q60">
        <f>MID($D60,5,1)</f>
        <v/>
      </c>
      <c r="R60">
        <f>MID($D60,6,1)</f>
        <v/>
      </c>
      <c r="S60">
        <f>MID($D60,7,1)</f>
        <v/>
      </c>
      <c r="T60">
        <f>MID($D60,8,1)</f>
        <v/>
      </c>
      <c r="U60">
        <f>MID($D60,9,1)</f>
        <v/>
      </c>
      <c r="V60">
        <f>MID($D60,10,1)</f>
        <v/>
      </c>
      <c r="W60">
        <f>MID($E60,1,1)</f>
        <v/>
      </c>
      <c r="X60">
        <f>MID($E60,2,1)</f>
        <v/>
      </c>
      <c r="Y60">
        <f>MID($E60,3,1)</f>
        <v/>
      </c>
      <c r="Z60">
        <f>MID($E60,4,1)</f>
        <v/>
      </c>
      <c r="AA60">
        <f>MID($E60,5,1)</f>
        <v/>
      </c>
      <c r="AB60">
        <f>MID($E60,6,1)</f>
        <v/>
      </c>
      <c r="AC60">
        <f>MID($E60,7,1)</f>
        <v/>
      </c>
      <c r="AD60">
        <f>MID($E60,8,1)</f>
        <v/>
      </c>
      <c r="AE60">
        <f>MID($E60,9,1)</f>
        <v/>
      </c>
      <c r="AF60">
        <f>MID($E60,10,1)</f>
        <v/>
      </c>
    </row>
    <row r="61">
      <c r="A61" s="4" t="inlineStr">
        <is>
          <t>DN060</t>
        </is>
      </c>
      <c r="B61" s="4" t="n">
        <v>1</v>
      </c>
      <c r="C61" s="4" t="n">
        <v>2</v>
      </c>
      <c r="D61" s="5" t="inlineStr">
        <is>
          <t>CCAACGTACT</t>
        </is>
      </c>
      <c r="E61" s="5" t="inlineStr">
        <is>
          <t>ATCATCGACT</t>
        </is>
      </c>
      <c r="F61" s="4">
        <f>LEN(SUBSTITUTE(SUBSTITUTE(D61,"A",""),"T",""))</f>
        <v/>
      </c>
      <c r="G61" s="4">
        <f>LEN(SUBSTITUTE(SUBSTITUTE(E61,"A",""),"T",""))</f>
        <v/>
      </c>
      <c r="H61" s="4" t="n">
        <v>-2.18</v>
      </c>
      <c r="I61" s="4" t="n">
        <v>-2.12</v>
      </c>
      <c r="J61" s="4" t="n">
        <v>-2.59</v>
      </c>
      <c r="K61" s="4" t="n">
        <v>-2.18</v>
      </c>
      <c r="M61">
        <f>MID($D61,1,1)</f>
        <v/>
      </c>
      <c r="N61">
        <f>MID($D61,2,1)</f>
        <v/>
      </c>
      <c r="O61">
        <f>MID($D61,3,1)</f>
        <v/>
      </c>
      <c r="P61">
        <f>MID($D61,4,1)</f>
        <v/>
      </c>
      <c r="Q61">
        <f>MID($D61,5,1)</f>
        <v/>
      </c>
      <c r="R61">
        <f>MID($D61,6,1)</f>
        <v/>
      </c>
      <c r="S61">
        <f>MID($D61,7,1)</f>
        <v/>
      </c>
      <c r="T61">
        <f>MID($D61,8,1)</f>
        <v/>
      </c>
      <c r="U61">
        <f>MID($D61,9,1)</f>
        <v/>
      </c>
      <c r="V61">
        <f>MID($D61,10,1)</f>
        <v/>
      </c>
      <c r="W61">
        <f>MID($E61,1,1)</f>
        <v/>
      </c>
      <c r="X61">
        <f>MID($E61,2,1)</f>
        <v/>
      </c>
      <c r="Y61">
        <f>MID($E61,3,1)</f>
        <v/>
      </c>
      <c r="Z61">
        <f>MID($E61,4,1)</f>
        <v/>
      </c>
      <c r="AA61">
        <f>MID($E61,5,1)</f>
        <v/>
      </c>
      <c r="AB61">
        <f>MID($E61,6,1)</f>
        <v/>
      </c>
      <c r="AC61">
        <f>MID($E61,7,1)</f>
        <v/>
      </c>
      <c r="AD61">
        <f>MID($E61,8,1)</f>
        <v/>
      </c>
      <c r="AE61">
        <f>MID($E61,9,1)</f>
        <v/>
      </c>
      <c r="AF61">
        <f>MID($E61,10,1)</f>
        <v/>
      </c>
    </row>
    <row r="62">
      <c r="A62" s="4" t="inlineStr">
        <is>
          <t>DN061</t>
        </is>
      </c>
      <c r="B62" s="4" t="n">
        <v>1</v>
      </c>
      <c r="C62" s="4" t="n">
        <v>2</v>
      </c>
      <c r="D62" s="5" t="inlineStr">
        <is>
          <t>ATACAGCGAA</t>
        </is>
      </c>
      <c r="E62" s="5" t="inlineStr">
        <is>
          <t>CCAGACACCT</t>
        </is>
      </c>
      <c r="F62" s="4">
        <f>LEN(SUBSTITUTE(SUBSTITUTE(D62,"A",""),"T",""))</f>
        <v/>
      </c>
      <c r="G62" s="4">
        <f>LEN(SUBSTITUTE(SUBSTITUTE(E62,"A",""),"T",""))</f>
        <v/>
      </c>
      <c r="H62" s="4" t="n">
        <v>-4.04</v>
      </c>
      <c r="I62" s="4" t="n">
        <v>-4.04</v>
      </c>
      <c r="J62" s="4" t="n">
        <v>-2.02</v>
      </c>
      <c r="K62" s="4" t="n">
        <v>-0.86</v>
      </c>
      <c r="M62">
        <f>MID($D62,1,1)</f>
        <v/>
      </c>
      <c r="N62">
        <f>MID($D62,2,1)</f>
        <v/>
      </c>
      <c r="O62">
        <f>MID($D62,3,1)</f>
        <v/>
      </c>
      <c r="P62">
        <f>MID($D62,4,1)</f>
        <v/>
      </c>
      <c r="Q62">
        <f>MID($D62,5,1)</f>
        <v/>
      </c>
      <c r="R62">
        <f>MID($D62,6,1)</f>
        <v/>
      </c>
      <c r="S62">
        <f>MID($D62,7,1)</f>
        <v/>
      </c>
      <c r="T62">
        <f>MID($D62,8,1)</f>
        <v/>
      </c>
      <c r="U62">
        <f>MID($D62,9,1)</f>
        <v/>
      </c>
      <c r="V62">
        <f>MID($D62,10,1)</f>
        <v/>
      </c>
      <c r="W62">
        <f>MID($E62,1,1)</f>
        <v/>
      </c>
      <c r="X62">
        <f>MID($E62,2,1)</f>
        <v/>
      </c>
      <c r="Y62">
        <f>MID($E62,3,1)</f>
        <v/>
      </c>
      <c r="Z62">
        <f>MID($E62,4,1)</f>
        <v/>
      </c>
      <c r="AA62">
        <f>MID($E62,5,1)</f>
        <v/>
      </c>
      <c r="AB62">
        <f>MID($E62,6,1)</f>
        <v/>
      </c>
      <c r="AC62">
        <f>MID($E62,7,1)</f>
        <v/>
      </c>
      <c r="AD62">
        <f>MID($E62,8,1)</f>
        <v/>
      </c>
      <c r="AE62">
        <f>MID($E62,9,1)</f>
        <v/>
      </c>
      <c r="AF62">
        <f>MID($E62,10,1)</f>
        <v/>
      </c>
    </row>
    <row r="63">
      <c r="A63" s="4" t="inlineStr">
        <is>
          <t>DN062</t>
        </is>
      </c>
      <c r="B63" s="4" t="n">
        <v>1</v>
      </c>
      <c r="C63" s="4" t="n">
        <v>2</v>
      </c>
      <c r="D63" s="5" t="inlineStr">
        <is>
          <t>GAGAATGTAG</t>
        </is>
      </c>
      <c r="E63" s="5" t="inlineStr">
        <is>
          <t>AGGAAGCCGA</t>
        </is>
      </c>
      <c r="F63" s="4">
        <f>LEN(SUBSTITUTE(SUBSTITUTE(D63,"A",""),"T",""))</f>
        <v/>
      </c>
      <c r="G63" s="4">
        <f>LEN(SUBSTITUTE(SUBSTITUTE(E63,"A",""),"T",""))</f>
        <v/>
      </c>
      <c r="H63" s="4" t="n">
        <v>-1.97</v>
      </c>
      <c r="I63" s="4" t="n">
        <v>-0.92</v>
      </c>
      <c r="J63" s="4" t="n">
        <v>-3.25</v>
      </c>
      <c r="K63" s="4" t="n">
        <v>-2.13</v>
      </c>
      <c r="M63">
        <f>MID($D63,1,1)</f>
        <v/>
      </c>
      <c r="N63">
        <f>MID($D63,2,1)</f>
        <v/>
      </c>
      <c r="O63">
        <f>MID($D63,3,1)</f>
        <v/>
      </c>
      <c r="P63">
        <f>MID($D63,4,1)</f>
        <v/>
      </c>
      <c r="Q63">
        <f>MID($D63,5,1)</f>
        <v/>
      </c>
      <c r="R63">
        <f>MID($D63,6,1)</f>
        <v/>
      </c>
      <c r="S63">
        <f>MID($D63,7,1)</f>
        <v/>
      </c>
      <c r="T63">
        <f>MID($D63,8,1)</f>
        <v/>
      </c>
      <c r="U63">
        <f>MID($D63,9,1)</f>
        <v/>
      </c>
      <c r="V63">
        <f>MID($D63,10,1)</f>
        <v/>
      </c>
      <c r="W63">
        <f>MID($E63,1,1)</f>
        <v/>
      </c>
      <c r="X63">
        <f>MID($E63,2,1)</f>
        <v/>
      </c>
      <c r="Y63">
        <f>MID($E63,3,1)</f>
        <v/>
      </c>
      <c r="Z63">
        <f>MID($E63,4,1)</f>
        <v/>
      </c>
      <c r="AA63">
        <f>MID($E63,5,1)</f>
        <v/>
      </c>
      <c r="AB63">
        <f>MID($E63,6,1)</f>
        <v/>
      </c>
      <c r="AC63">
        <f>MID($E63,7,1)</f>
        <v/>
      </c>
      <c r="AD63">
        <f>MID($E63,8,1)</f>
        <v/>
      </c>
      <c r="AE63">
        <f>MID($E63,9,1)</f>
        <v/>
      </c>
      <c r="AF63">
        <f>MID($E63,10,1)</f>
        <v/>
      </c>
    </row>
    <row r="64">
      <c r="A64" s="4" t="inlineStr">
        <is>
          <t>DN063</t>
        </is>
      </c>
      <c r="B64" s="4" t="n">
        <v>1</v>
      </c>
      <c r="C64" s="4" t="n">
        <v>2</v>
      </c>
      <c r="D64" s="5" t="inlineStr">
        <is>
          <t>TTGGTCAGGA</t>
        </is>
      </c>
      <c r="E64" s="5" t="inlineStr">
        <is>
          <t>ACGTTAGACA</t>
        </is>
      </c>
      <c r="F64" s="4">
        <f>LEN(SUBSTITUTE(SUBSTITUTE(D64,"A",""),"T",""))</f>
        <v/>
      </c>
      <c r="G64" s="4">
        <f>LEN(SUBSTITUTE(SUBSTITUTE(E64,"A",""),"T",""))</f>
        <v/>
      </c>
      <c r="H64" s="4" t="n">
        <v>-2.96</v>
      </c>
      <c r="I64" s="4" t="n">
        <v>-1.65</v>
      </c>
      <c r="J64" s="4" t="n">
        <v>-2.46</v>
      </c>
      <c r="K64" s="4" t="n">
        <v>-1.43</v>
      </c>
      <c r="M64">
        <f>MID($D64,1,1)</f>
        <v/>
      </c>
      <c r="N64">
        <f>MID($D64,2,1)</f>
        <v/>
      </c>
      <c r="O64">
        <f>MID($D64,3,1)</f>
        <v/>
      </c>
      <c r="P64">
        <f>MID($D64,4,1)</f>
        <v/>
      </c>
      <c r="Q64">
        <f>MID($D64,5,1)</f>
        <v/>
      </c>
      <c r="R64">
        <f>MID($D64,6,1)</f>
        <v/>
      </c>
      <c r="S64">
        <f>MID($D64,7,1)</f>
        <v/>
      </c>
      <c r="T64">
        <f>MID($D64,8,1)</f>
        <v/>
      </c>
      <c r="U64">
        <f>MID($D64,9,1)</f>
        <v/>
      </c>
      <c r="V64">
        <f>MID($D64,10,1)</f>
        <v/>
      </c>
      <c r="W64">
        <f>MID($E64,1,1)</f>
        <v/>
      </c>
      <c r="X64">
        <f>MID($E64,2,1)</f>
        <v/>
      </c>
      <c r="Y64">
        <f>MID($E64,3,1)</f>
        <v/>
      </c>
      <c r="Z64">
        <f>MID($E64,4,1)</f>
        <v/>
      </c>
      <c r="AA64">
        <f>MID($E64,5,1)</f>
        <v/>
      </c>
      <c r="AB64">
        <f>MID($E64,6,1)</f>
        <v/>
      </c>
      <c r="AC64">
        <f>MID($E64,7,1)</f>
        <v/>
      </c>
      <c r="AD64">
        <f>MID($E64,8,1)</f>
        <v/>
      </c>
      <c r="AE64">
        <f>MID($E64,9,1)</f>
        <v/>
      </c>
      <c r="AF64">
        <f>MID($E64,10,1)</f>
        <v/>
      </c>
    </row>
    <row r="65">
      <c r="A65" s="4" t="inlineStr">
        <is>
          <t>DN064</t>
        </is>
      </c>
      <c r="B65" s="4" t="n">
        <v>1</v>
      </c>
      <c r="C65" s="4" t="n">
        <v>2</v>
      </c>
      <c r="D65" s="5" t="inlineStr">
        <is>
          <t>CTAGCTCGCA</t>
        </is>
      </c>
      <c r="E65" s="5" t="inlineStr">
        <is>
          <t>GATTCGTTGG</t>
        </is>
      </c>
      <c r="F65" s="4">
        <f>LEN(SUBSTITUTE(SUBSTITUTE(D65,"A",""),"T",""))</f>
        <v/>
      </c>
      <c r="G65" s="4">
        <f>LEN(SUBSTITUTE(SUBSTITUTE(E65,"A",""),"T",""))</f>
        <v/>
      </c>
      <c r="H65" s="4" t="n">
        <v>-3.31</v>
      </c>
      <c r="I65" s="4" t="n">
        <v>-2.01</v>
      </c>
      <c r="J65" s="4" t="n">
        <v>-2.21</v>
      </c>
      <c r="K65" s="4" t="n">
        <v>-0.48</v>
      </c>
      <c r="M65">
        <f>MID($D65,1,1)</f>
        <v/>
      </c>
      <c r="N65">
        <f>MID($D65,2,1)</f>
        <v/>
      </c>
      <c r="O65">
        <f>MID($D65,3,1)</f>
        <v/>
      </c>
      <c r="P65">
        <f>MID($D65,4,1)</f>
        <v/>
      </c>
      <c r="Q65">
        <f>MID($D65,5,1)</f>
        <v/>
      </c>
      <c r="R65">
        <f>MID($D65,6,1)</f>
        <v/>
      </c>
      <c r="S65">
        <f>MID($D65,7,1)</f>
        <v/>
      </c>
      <c r="T65">
        <f>MID($D65,8,1)</f>
        <v/>
      </c>
      <c r="U65">
        <f>MID($D65,9,1)</f>
        <v/>
      </c>
      <c r="V65">
        <f>MID($D65,10,1)</f>
        <v/>
      </c>
      <c r="W65">
        <f>MID($E65,1,1)</f>
        <v/>
      </c>
      <c r="X65">
        <f>MID($E65,2,1)</f>
        <v/>
      </c>
      <c r="Y65">
        <f>MID($E65,3,1)</f>
        <v/>
      </c>
      <c r="Z65">
        <f>MID($E65,4,1)</f>
        <v/>
      </c>
      <c r="AA65">
        <f>MID($E65,5,1)</f>
        <v/>
      </c>
      <c r="AB65">
        <f>MID($E65,6,1)</f>
        <v/>
      </c>
      <c r="AC65">
        <f>MID($E65,7,1)</f>
        <v/>
      </c>
      <c r="AD65">
        <f>MID($E65,8,1)</f>
        <v/>
      </c>
      <c r="AE65">
        <f>MID($E65,9,1)</f>
        <v/>
      </c>
      <c r="AF65">
        <f>MID($E65,10,1)</f>
        <v/>
      </c>
    </row>
    <row r="66">
      <c r="A66" s="4" t="inlineStr">
        <is>
          <t>DN065</t>
        </is>
      </c>
      <c r="B66" s="4" t="n">
        <v>1</v>
      </c>
      <c r="C66" s="4" t="n">
        <v>2</v>
      </c>
      <c r="D66" s="5" t="inlineStr">
        <is>
          <t>GTCAGAGCGA</t>
        </is>
      </c>
      <c r="E66" s="5" t="inlineStr">
        <is>
          <t>CAGAGCCGAT</t>
        </is>
      </c>
      <c r="F66" s="4">
        <f>LEN(SUBSTITUTE(SUBSTITUTE(D66,"A",""),"T",""))</f>
        <v/>
      </c>
      <c r="G66" s="4">
        <f>LEN(SUBSTITUTE(SUBSTITUTE(E66,"A",""),"T",""))</f>
        <v/>
      </c>
      <c r="H66" s="4" t="n">
        <v>-3.44</v>
      </c>
      <c r="I66" s="4" t="n">
        <v>-1.02</v>
      </c>
      <c r="J66" s="4" t="n">
        <v>-3.25</v>
      </c>
      <c r="K66" s="4" t="n">
        <v>-1.29</v>
      </c>
      <c r="M66">
        <f>MID($D66,1,1)</f>
        <v/>
      </c>
      <c r="N66">
        <f>MID($D66,2,1)</f>
        <v/>
      </c>
      <c r="O66">
        <f>MID($D66,3,1)</f>
        <v/>
      </c>
      <c r="P66">
        <f>MID($D66,4,1)</f>
        <v/>
      </c>
      <c r="Q66">
        <f>MID($D66,5,1)</f>
        <v/>
      </c>
      <c r="R66">
        <f>MID($D66,6,1)</f>
        <v/>
      </c>
      <c r="S66">
        <f>MID($D66,7,1)</f>
        <v/>
      </c>
      <c r="T66">
        <f>MID($D66,8,1)</f>
        <v/>
      </c>
      <c r="U66">
        <f>MID($D66,9,1)</f>
        <v/>
      </c>
      <c r="V66">
        <f>MID($D66,10,1)</f>
        <v/>
      </c>
      <c r="W66">
        <f>MID($E66,1,1)</f>
        <v/>
      </c>
      <c r="X66">
        <f>MID($E66,2,1)</f>
        <v/>
      </c>
      <c r="Y66">
        <f>MID($E66,3,1)</f>
        <v/>
      </c>
      <c r="Z66">
        <f>MID($E66,4,1)</f>
        <v/>
      </c>
      <c r="AA66">
        <f>MID($E66,5,1)</f>
        <v/>
      </c>
      <c r="AB66">
        <f>MID($E66,6,1)</f>
        <v/>
      </c>
      <c r="AC66">
        <f>MID($E66,7,1)</f>
        <v/>
      </c>
      <c r="AD66">
        <f>MID($E66,8,1)</f>
        <v/>
      </c>
      <c r="AE66">
        <f>MID($E66,9,1)</f>
        <v/>
      </c>
      <c r="AF66">
        <f>MID($E66,10,1)</f>
        <v/>
      </c>
    </row>
    <row r="67">
      <c r="A67" s="4" t="inlineStr">
        <is>
          <t>DN066</t>
        </is>
      </c>
      <c r="B67" s="4" t="n">
        <v>1</v>
      </c>
      <c r="C67" s="4" t="n">
        <v>2</v>
      </c>
      <c r="D67" s="5" t="inlineStr">
        <is>
          <t>TAGTAGGAAC</t>
        </is>
      </c>
      <c r="E67" s="5" t="inlineStr">
        <is>
          <t>GCGGTGAGTT</t>
        </is>
      </c>
      <c r="F67" s="4">
        <f>LEN(SUBSTITUTE(SUBSTITUTE(D67,"A",""),"T",""))</f>
        <v/>
      </c>
      <c r="G67" s="4">
        <f>LEN(SUBSTITUTE(SUBSTITUTE(E67,"A",""),"T",""))</f>
        <v/>
      </c>
      <c r="H67" s="4" t="n">
        <v>-3.24</v>
      </c>
      <c r="I67" s="4" t="n">
        <v>-1.6</v>
      </c>
      <c r="J67" s="4" t="n">
        <v>-3.21</v>
      </c>
      <c r="K67" s="4" t="n">
        <v>-2.22</v>
      </c>
      <c r="M67">
        <f>MID($D67,1,1)</f>
        <v/>
      </c>
      <c r="N67">
        <f>MID($D67,2,1)</f>
        <v/>
      </c>
      <c r="O67">
        <f>MID($D67,3,1)</f>
        <v/>
      </c>
      <c r="P67">
        <f>MID($D67,4,1)</f>
        <v/>
      </c>
      <c r="Q67">
        <f>MID($D67,5,1)</f>
        <v/>
      </c>
      <c r="R67">
        <f>MID($D67,6,1)</f>
        <v/>
      </c>
      <c r="S67">
        <f>MID($D67,7,1)</f>
        <v/>
      </c>
      <c r="T67">
        <f>MID($D67,8,1)</f>
        <v/>
      </c>
      <c r="U67">
        <f>MID($D67,9,1)</f>
        <v/>
      </c>
      <c r="V67">
        <f>MID($D67,10,1)</f>
        <v/>
      </c>
      <c r="W67">
        <f>MID($E67,1,1)</f>
        <v/>
      </c>
      <c r="X67">
        <f>MID($E67,2,1)</f>
        <v/>
      </c>
      <c r="Y67">
        <f>MID($E67,3,1)</f>
        <v/>
      </c>
      <c r="Z67">
        <f>MID($E67,4,1)</f>
        <v/>
      </c>
      <c r="AA67">
        <f>MID($E67,5,1)</f>
        <v/>
      </c>
      <c r="AB67">
        <f>MID($E67,6,1)</f>
        <v/>
      </c>
      <c r="AC67">
        <f>MID($E67,7,1)</f>
        <v/>
      </c>
      <c r="AD67">
        <f>MID($E67,8,1)</f>
        <v/>
      </c>
      <c r="AE67">
        <f>MID($E67,9,1)</f>
        <v/>
      </c>
      <c r="AF67">
        <f>MID($E67,10,1)</f>
        <v/>
      </c>
    </row>
    <row r="68">
      <c r="A68" s="4" t="inlineStr">
        <is>
          <t>DN067</t>
        </is>
      </c>
      <c r="B68" s="4" t="n">
        <v>1</v>
      </c>
      <c r="C68" s="4" t="n">
        <v>2</v>
      </c>
      <c r="D68" s="5" t="inlineStr">
        <is>
          <t>CGAATCTTCA</t>
        </is>
      </c>
      <c r="E68" s="5" t="inlineStr">
        <is>
          <t>ATGCCAATGC</t>
        </is>
      </c>
      <c r="F68" s="4">
        <f>LEN(SUBSTITUTE(SUBSTITUTE(D68,"A",""),"T",""))</f>
        <v/>
      </c>
      <c r="G68" s="4">
        <f>LEN(SUBSTITUTE(SUBSTITUTE(E68,"A",""),"T",""))</f>
        <v/>
      </c>
      <c r="H68" s="4" t="n">
        <v>-1.57</v>
      </c>
      <c r="I68" s="4" t="n">
        <v>-0.5</v>
      </c>
      <c r="J68" s="4" t="n">
        <v>-2.93</v>
      </c>
      <c r="K68" s="4" t="n">
        <v>-1.82</v>
      </c>
      <c r="M68">
        <f>MID($D68,1,1)</f>
        <v/>
      </c>
      <c r="N68">
        <f>MID($D68,2,1)</f>
        <v/>
      </c>
      <c r="O68">
        <f>MID($D68,3,1)</f>
        <v/>
      </c>
      <c r="P68">
        <f>MID($D68,4,1)</f>
        <v/>
      </c>
      <c r="Q68">
        <f>MID($D68,5,1)</f>
        <v/>
      </c>
      <c r="R68">
        <f>MID($D68,6,1)</f>
        <v/>
      </c>
      <c r="S68">
        <f>MID($D68,7,1)</f>
        <v/>
      </c>
      <c r="T68">
        <f>MID($D68,8,1)</f>
        <v/>
      </c>
      <c r="U68">
        <f>MID($D68,9,1)</f>
        <v/>
      </c>
      <c r="V68">
        <f>MID($D68,10,1)</f>
        <v/>
      </c>
      <c r="W68">
        <f>MID($E68,1,1)</f>
        <v/>
      </c>
      <c r="X68">
        <f>MID($E68,2,1)</f>
        <v/>
      </c>
      <c r="Y68">
        <f>MID($E68,3,1)</f>
        <v/>
      </c>
      <c r="Z68">
        <f>MID($E68,4,1)</f>
        <v/>
      </c>
      <c r="AA68">
        <f>MID($E68,5,1)</f>
        <v/>
      </c>
      <c r="AB68">
        <f>MID($E68,6,1)</f>
        <v/>
      </c>
      <c r="AC68">
        <f>MID($E68,7,1)</f>
        <v/>
      </c>
      <c r="AD68">
        <f>MID($E68,8,1)</f>
        <v/>
      </c>
      <c r="AE68">
        <f>MID($E68,9,1)</f>
        <v/>
      </c>
      <c r="AF68">
        <f>MID($E68,10,1)</f>
        <v/>
      </c>
    </row>
    <row r="69">
      <c r="A69" s="4" t="inlineStr">
        <is>
          <t>DN068</t>
        </is>
      </c>
      <c r="B69" s="4" t="n">
        <v>1</v>
      </c>
      <c r="C69" s="4" t="n">
        <v>2</v>
      </c>
      <c r="D69" s="5" t="inlineStr">
        <is>
          <t>CTTATTAGGC</t>
        </is>
      </c>
      <c r="E69" s="5" t="inlineStr">
        <is>
          <t>CCTCATCAGA</t>
        </is>
      </c>
      <c r="F69" s="4">
        <f>LEN(SUBSTITUTE(SUBSTITUTE(D69,"A",""),"T",""))</f>
        <v/>
      </c>
      <c r="G69" s="4">
        <f>LEN(SUBSTITUTE(SUBSTITUTE(E69,"A",""),"T",""))</f>
        <v/>
      </c>
      <c r="H69" s="4" t="n">
        <v>-2.51</v>
      </c>
      <c r="I69" s="4" t="n">
        <v>-2.01</v>
      </c>
      <c r="J69" s="4" t="n">
        <v>-2.09</v>
      </c>
      <c r="K69" s="4" t="n">
        <v>-1.02</v>
      </c>
      <c r="M69">
        <f>MID($D69,1,1)</f>
        <v/>
      </c>
      <c r="N69">
        <f>MID($D69,2,1)</f>
        <v/>
      </c>
      <c r="O69">
        <f>MID($D69,3,1)</f>
        <v/>
      </c>
      <c r="P69">
        <f>MID($D69,4,1)</f>
        <v/>
      </c>
      <c r="Q69">
        <f>MID($D69,5,1)</f>
        <v/>
      </c>
      <c r="R69">
        <f>MID($D69,6,1)</f>
        <v/>
      </c>
      <c r="S69">
        <f>MID($D69,7,1)</f>
        <v/>
      </c>
      <c r="T69">
        <f>MID($D69,8,1)</f>
        <v/>
      </c>
      <c r="U69">
        <f>MID($D69,9,1)</f>
        <v/>
      </c>
      <c r="V69">
        <f>MID($D69,10,1)</f>
        <v/>
      </c>
      <c r="W69">
        <f>MID($E69,1,1)</f>
        <v/>
      </c>
      <c r="X69">
        <f>MID($E69,2,1)</f>
        <v/>
      </c>
      <c r="Y69">
        <f>MID($E69,3,1)</f>
        <v/>
      </c>
      <c r="Z69">
        <f>MID($E69,4,1)</f>
        <v/>
      </c>
      <c r="AA69">
        <f>MID($E69,5,1)</f>
        <v/>
      </c>
      <c r="AB69">
        <f>MID($E69,6,1)</f>
        <v/>
      </c>
      <c r="AC69">
        <f>MID($E69,7,1)</f>
        <v/>
      </c>
      <c r="AD69">
        <f>MID($E69,8,1)</f>
        <v/>
      </c>
      <c r="AE69">
        <f>MID($E69,9,1)</f>
        <v/>
      </c>
      <c r="AF69">
        <f>MID($E69,10,1)</f>
        <v/>
      </c>
    </row>
    <row r="70">
      <c r="A70" s="4" t="inlineStr">
        <is>
          <t>DN069</t>
        </is>
      </c>
      <c r="B70" s="4" t="n">
        <v>1</v>
      </c>
      <c r="C70" s="4" t="n">
        <v>2</v>
      </c>
      <c r="D70" s="5" t="inlineStr">
        <is>
          <t>GACGTCCAAG</t>
        </is>
      </c>
      <c r="E70" s="5" t="inlineStr">
        <is>
          <t>GAGGCTCCTA</t>
        </is>
      </c>
      <c r="F70" s="4">
        <f>LEN(SUBSTITUTE(SUBSTITUTE(D70,"A",""),"T",""))</f>
        <v/>
      </c>
      <c r="G70" s="4">
        <f>LEN(SUBSTITUTE(SUBSTITUTE(E70,"A",""),"T",""))</f>
        <v/>
      </c>
      <c r="H70" s="4" t="n">
        <v>-2.75</v>
      </c>
      <c r="I70" s="4" t="n">
        <v>-2.75</v>
      </c>
      <c r="J70" s="4" t="n">
        <v>-3.04</v>
      </c>
      <c r="K70" s="4" t="n">
        <v>-2.71</v>
      </c>
      <c r="M70">
        <f>MID($D70,1,1)</f>
        <v/>
      </c>
      <c r="N70">
        <f>MID($D70,2,1)</f>
        <v/>
      </c>
      <c r="O70">
        <f>MID($D70,3,1)</f>
        <v/>
      </c>
      <c r="P70">
        <f>MID($D70,4,1)</f>
        <v/>
      </c>
      <c r="Q70">
        <f>MID($D70,5,1)</f>
        <v/>
      </c>
      <c r="R70">
        <f>MID($D70,6,1)</f>
        <v/>
      </c>
      <c r="S70">
        <f>MID($D70,7,1)</f>
        <v/>
      </c>
      <c r="T70">
        <f>MID($D70,8,1)</f>
        <v/>
      </c>
      <c r="U70">
        <f>MID($D70,9,1)</f>
        <v/>
      </c>
      <c r="V70">
        <f>MID($D70,10,1)</f>
        <v/>
      </c>
      <c r="W70">
        <f>MID($E70,1,1)</f>
        <v/>
      </c>
      <c r="X70">
        <f>MID($E70,2,1)</f>
        <v/>
      </c>
      <c r="Y70">
        <f>MID($E70,3,1)</f>
        <v/>
      </c>
      <c r="Z70">
        <f>MID($E70,4,1)</f>
        <v/>
      </c>
      <c r="AA70">
        <f>MID($E70,5,1)</f>
        <v/>
      </c>
      <c r="AB70">
        <f>MID($E70,6,1)</f>
        <v/>
      </c>
      <c r="AC70">
        <f>MID($E70,7,1)</f>
        <v/>
      </c>
      <c r="AD70">
        <f>MID($E70,8,1)</f>
        <v/>
      </c>
      <c r="AE70">
        <f>MID($E70,9,1)</f>
        <v/>
      </c>
      <c r="AF70">
        <f>MID($E70,10,1)</f>
        <v/>
      </c>
    </row>
    <row r="71">
      <c r="A71" s="4" t="inlineStr">
        <is>
          <t>DN070</t>
        </is>
      </c>
      <c r="B71" s="4" t="n">
        <v>1</v>
      </c>
      <c r="C71" s="4" t="n">
        <v>2</v>
      </c>
      <c r="D71" s="5" t="inlineStr">
        <is>
          <t>AGTTACCGCT</t>
        </is>
      </c>
      <c r="E71" s="5" t="inlineStr">
        <is>
          <t>AAGTCAACCG</t>
        </is>
      </c>
      <c r="F71" s="4">
        <f>LEN(SUBSTITUTE(SUBSTITUTE(D71,"A",""),"T",""))</f>
        <v/>
      </c>
      <c r="G71" s="4">
        <f>LEN(SUBSTITUTE(SUBSTITUTE(E71,"A",""),"T",""))</f>
        <v/>
      </c>
      <c r="H71" s="4" t="n">
        <v>-5.08</v>
      </c>
      <c r="I71" s="4" t="n">
        <v>-1.58</v>
      </c>
      <c r="J71" s="4" t="n">
        <v>-2.62</v>
      </c>
      <c r="K71" s="4" t="n">
        <v>-0.88</v>
      </c>
      <c r="M71">
        <f>MID($D71,1,1)</f>
        <v/>
      </c>
      <c r="N71">
        <f>MID($D71,2,1)</f>
        <v/>
      </c>
      <c r="O71">
        <f>MID($D71,3,1)</f>
        <v/>
      </c>
      <c r="P71">
        <f>MID($D71,4,1)</f>
        <v/>
      </c>
      <c r="Q71">
        <f>MID($D71,5,1)</f>
        <v/>
      </c>
      <c r="R71">
        <f>MID($D71,6,1)</f>
        <v/>
      </c>
      <c r="S71">
        <f>MID($D71,7,1)</f>
        <v/>
      </c>
      <c r="T71">
        <f>MID($D71,8,1)</f>
        <v/>
      </c>
      <c r="U71">
        <f>MID($D71,9,1)</f>
        <v/>
      </c>
      <c r="V71">
        <f>MID($D71,10,1)</f>
        <v/>
      </c>
      <c r="W71">
        <f>MID($E71,1,1)</f>
        <v/>
      </c>
      <c r="X71">
        <f>MID($E71,2,1)</f>
        <v/>
      </c>
      <c r="Y71">
        <f>MID($E71,3,1)</f>
        <v/>
      </c>
      <c r="Z71">
        <f>MID($E71,4,1)</f>
        <v/>
      </c>
      <c r="AA71">
        <f>MID($E71,5,1)</f>
        <v/>
      </c>
      <c r="AB71">
        <f>MID($E71,6,1)</f>
        <v/>
      </c>
      <c r="AC71">
        <f>MID($E71,7,1)</f>
        <v/>
      </c>
      <c r="AD71">
        <f>MID($E71,8,1)</f>
        <v/>
      </c>
      <c r="AE71">
        <f>MID($E71,9,1)</f>
        <v/>
      </c>
      <c r="AF71">
        <f>MID($E71,10,1)</f>
        <v/>
      </c>
    </row>
    <row r="72">
      <c r="A72" s="4" t="inlineStr">
        <is>
          <t>DN071</t>
        </is>
      </c>
      <c r="B72" s="4" t="n">
        <v>1</v>
      </c>
      <c r="C72" s="4" t="n">
        <v>2</v>
      </c>
      <c r="D72" s="5" t="inlineStr">
        <is>
          <t>ACCTCTTGTT</t>
        </is>
      </c>
      <c r="E72" s="5" t="inlineStr">
        <is>
          <t>GCTGAAGGAC</t>
        </is>
      </c>
      <c r="F72" s="4">
        <f>LEN(SUBSTITUTE(SUBSTITUTE(D72,"A",""),"T",""))</f>
        <v/>
      </c>
      <c r="G72" s="4">
        <f>LEN(SUBSTITUTE(SUBSTITUTE(E72,"A",""),"T",""))</f>
        <v/>
      </c>
      <c r="H72" s="4" t="n">
        <v>-2.19</v>
      </c>
      <c r="I72" s="4" t="n">
        <v>-0.64</v>
      </c>
      <c r="J72" s="4" t="n">
        <v>-3.06</v>
      </c>
      <c r="K72" s="4" t="n">
        <v>-1.38</v>
      </c>
      <c r="M72">
        <f>MID($D72,1,1)</f>
        <v/>
      </c>
      <c r="N72">
        <f>MID($D72,2,1)</f>
        <v/>
      </c>
      <c r="O72">
        <f>MID($D72,3,1)</f>
        <v/>
      </c>
      <c r="P72">
        <f>MID($D72,4,1)</f>
        <v/>
      </c>
      <c r="Q72">
        <f>MID($D72,5,1)</f>
        <v/>
      </c>
      <c r="R72">
        <f>MID($D72,6,1)</f>
        <v/>
      </c>
      <c r="S72">
        <f>MID($D72,7,1)</f>
        <v/>
      </c>
      <c r="T72">
        <f>MID($D72,8,1)</f>
        <v/>
      </c>
      <c r="U72">
        <f>MID($D72,9,1)</f>
        <v/>
      </c>
      <c r="V72">
        <f>MID($D72,10,1)</f>
        <v/>
      </c>
      <c r="W72">
        <f>MID($E72,1,1)</f>
        <v/>
      </c>
      <c r="X72">
        <f>MID($E72,2,1)</f>
        <v/>
      </c>
      <c r="Y72">
        <f>MID($E72,3,1)</f>
        <v/>
      </c>
      <c r="Z72">
        <f>MID($E72,4,1)</f>
        <v/>
      </c>
      <c r="AA72">
        <f>MID($E72,5,1)</f>
        <v/>
      </c>
      <c r="AB72">
        <f>MID($E72,6,1)</f>
        <v/>
      </c>
      <c r="AC72">
        <f>MID($E72,7,1)</f>
        <v/>
      </c>
      <c r="AD72">
        <f>MID($E72,8,1)</f>
        <v/>
      </c>
      <c r="AE72">
        <f>MID($E72,9,1)</f>
        <v/>
      </c>
      <c r="AF72">
        <f>MID($E72,10,1)</f>
        <v/>
      </c>
    </row>
    <row r="73">
      <c r="A73" s="4" t="inlineStr">
        <is>
          <t>DN072</t>
        </is>
      </c>
      <c r="B73" s="4" t="n">
        <v>1</v>
      </c>
      <c r="C73" s="4" t="n">
        <v>2</v>
      </c>
      <c r="D73" s="5" t="inlineStr">
        <is>
          <t>TACACTATCC</t>
        </is>
      </c>
      <c r="E73" s="5" t="inlineStr">
        <is>
          <t>ATATACGTGC</t>
        </is>
      </c>
      <c r="F73" s="4">
        <f>LEN(SUBSTITUTE(SUBSTITUTE(D73,"A",""),"T",""))</f>
        <v/>
      </c>
      <c r="G73" s="4">
        <f>LEN(SUBSTITUTE(SUBSTITUTE(E73,"A",""),"T",""))</f>
        <v/>
      </c>
      <c r="H73" s="4" t="n">
        <v>-1.24</v>
      </c>
      <c r="I73" s="4" t="n">
        <v>0</v>
      </c>
      <c r="J73" s="4" t="n">
        <v>-4.17</v>
      </c>
      <c r="K73" s="4" t="n">
        <v>-2.33</v>
      </c>
      <c r="M73">
        <f>MID($D73,1,1)</f>
        <v/>
      </c>
      <c r="N73">
        <f>MID($D73,2,1)</f>
        <v/>
      </c>
      <c r="O73">
        <f>MID($D73,3,1)</f>
        <v/>
      </c>
      <c r="P73">
        <f>MID($D73,4,1)</f>
        <v/>
      </c>
      <c r="Q73">
        <f>MID($D73,5,1)</f>
        <v/>
      </c>
      <c r="R73">
        <f>MID($D73,6,1)</f>
        <v/>
      </c>
      <c r="S73">
        <f>MID($D73,7,1)</f>
        <v/>
      </c>
      <c r="T73">
        <f>MID($D73,8,1)</f>
        <v/>
      </c>
      <c r="U73">
        <f>MID($D73,9,1)</f>
        <v/>
      </c>
      <c r="V73">
        <f>MID($D73,10,1)</f>
        <v/>
      </c>
      <c r="W73">
        <f>MID($E73,1,1)</f>
        <v/>
      </c>
      <c r="X73">
        <f>MID($E73,2,1)</f>
        <v/>
      </c>
      <c r="Y73">
        <f>MID($E73,3,1)</f>
        <v/>
      </c>
      <c r="Z73">
        <f>MID($E73,4,1)</f>
        <v/>
      </c>
      <c r="AA73">
        <f>MID($E73,5,1)</f>
        <v/>
      </c>
      <c r="AB73">
        <f>MID($E73,6,1)</f>
        <v/>
      </c>
      <c r="AC73">
        <f>MID($E73,7,1)</f>
        <v/>
      </c>
      <c r="AD73">
        <f>MID($E73,8,1)</f>
        <v/>
      </c>
      <c r="AE73">
        <f>MID($E73,9,1)</f>
        <v/>
      </c>
      <c r="AF73">
        <f>MID($E73,10,1)</f>
        <v/>
      </c>
    </row>
    <row r="74">
      <c r="A74" s="4" t="inlineStr">
        <is>
          <t>DN073</t>
        </is>
      </c>
      <c r="B74" s="4" t="n">
        <v>1</v>
      </c>
      <c r="C74" s="4" t="n">
        <v>2</v>
      </c>
      <c r="D74" s="5" t="inlineStr">
        <is>
          <t>TATGGAGGTA</t>
        </is>
      </c>
      <c r="E74" s="5" t="inlineStr">
        <is>
          <t>TCCGGCTGAA</t>
        </is>
      </c>
      <c r="F74" s="4">
        <f>LEN(SUBSTITUTE(SUBSTITUTE(D74,"A",""),"T",""))</f>
        <v/>
      </c>
      <c r="G74" s="4">
        <f>LEN(SUBSTITUTE(SUBSTITUTE(E74,"A",""),"T",""))</f>
        <v/>
      </c>
      <c r="H74" s="4" t="n">
        <v>-2.3</v>
      </c>
      <c r="I74" s="4" t="n">
        <v>-1.67</v>
      </c>
      <c r="J74" s="4" t="n">
        <v>-5.18</v>
      </c>
      <c r="K74" s="4" t="n">
        <v>-3.72</v>
      </c>
      <c r="M74">
        <f>MID($D74,1,1)</f>
        <v/>
      </c>
      <c r="N74">
        <f>MID($D74,2,1)</f>
        <v/>
      </c>
      <c r="O74">
        <f>MID($D74,3,1)</f>
        <v/>
      </c>
      <c r="P74">
        <f>MID($D74,4,1)</f>
        <v/>
      </c>
      <c r="Q74">
        <f>MID($D74,5,1)</f>
        <v/>
      </c>
      <c r="R74">
        <f>MID($D74,6,1)</f>
        <v/>
      </c>
      <c r="S74">
        <f>MID($D74,7,1)</f>
        <v/>
      </c>
      <c r="T74">
        <f>MID($D74,8,1)</f>
        <v/>
      </c>
      <c r="U74">
        <f>MID($D74,9,1)</f>
        <v/>
      </c>
      <c r="V74">
        <f>MID($D74,10,1)</f>
        <v/>
      </c>
      <c r="W74">
        <f>MID($E74,1,1)</f>
        <v/>
      </c>
      <c r="X74">
        <f>MID($E74,2,1)</f>
        <v/>
      </c>
      <c r="Y74">
        <f>MID($E74,3,1)</f>
        <v/>
      </c>
      <c r="Z74">
        <f>MID($E74,4,1)</f>
        <v/>
      </c>
      <c r="AA74">
        <f>MID($E74,5,1)</f>
        <v/>
      </c>
      <c r="AB74">
        <f>MID($E74,6,1)</f>
        <v/>
      </c>
      <c r="AC74">
        <f>MID($E74,7,1)</f>
        <v/>
      </c>
      <c r="AD74">
        <f>MID($E74,8,1)</f>
        <v/>
      </c>
      <c r="AE74">
        <f>MID($E74,9,1)</f>
        <v/>
      </c>
      <c r="AF74">
        <f>MID($E74,10,1)</f>
        <v/>
      </c>
    </row>
    <row r="75">
      <c r="A75" s="4" t="inlineStr">
        <is>
          <t>DN074</t>
        </is>
      </c>
      <c r="B75" s="4" t="n">
        <v>1</v>
      </c>
      <c r="C75" s="4" t="n">
        <v>2</v>
      </c>
      <c r="D75" s="5" t="inlineStr">
        <is>
          <t>ATTGTGCGCA</t>
        </is>
      </c>
      <c r="E75" s="5" t="inlineStr">
        <is>
          <t>TAAGACTTGG</t>
        </is>
      </c>
      <c r="F75" s="4">
        <f>LEN(SUBSTITUTE(SUBSTITUTE(D75,"A",""),"T",""))</f>
        <v/>
      </c>
      <c r="G75" s="4">
        <f>LEN(SUBSTITUTE(SUBSTITUTE(E75,"A",""),"T",""))</f>
        <v/>
      </c>
      <c r="H75" s="4" t="n">
        <v>-2.61</v>
      </c>
      <c r="I75" s="4" t="n">
        <v>-1.1</v>
      </c>
      <c r="J75" s="4" t="n">
        <v>-1.67</v>
      </c>
      <c r="K75" s="4" t="n">
        <v>-1.67</v>
      </c>
      <c r="M75">
        <f>MID($D75,1,1)</f>
        <v/>
      </c>
      <c r="N75">
        <f>MID($D75,2,1)</f>
        <v/>
      </c>
      <c r="O75">
        <f>MID($D75,3,1)</f>
        <v/>
      </c>
      <c r="P75">
        <f>MID($D75,4,1)</f>
        <v/>
      </c>
      <c r="Q75">
        <f>MID($D75,5,1)</f>
        <v/>
      </c>
      <c r="R75">
        <f>MID($D75,6,1)</f>
        <v/>
      </c>
      <c r="S75">
        <f>MID($D75,7,1)</f>
        <v/>
      </c>
      <c r="T75">
        <f>MID($D75,8,1)</f>
        <v/>
      </c>
      <c r="U75">
        <f>MID($D75,9,1)</f>
        <v/>
      </c>
      <c r="V75">
        <f>MID($D75,10,1)</f>
        <v/>
      </c>
      <c r="W75">
        <f>MID($E75,1,1)</f>
        <v/>
      </c>
      <c r="X75">
        <f>MID($E75,2,1)</f>
        <v/>
      </c>
      <c r="Y75">
        <f>MID($E75,3,1)</f>
        <v/>
      </c>
      <c r="Z75">
        <f>MID($E75,4,1)</f>
        <v/>
      </c>
      <c r="AA75">
        <f>MID($E75,5,1)</f>
        <v/>
      </c>
      <c r="AB75">
        <f>MID($E75,6,1)</f>
        <v/>
      </c>
      <c r="AC75">
        <f>MID($E75,7,1)</f>
        <v/>
      </c>
      <c r="AD75">
        <f>MID($E75,8,1)</f>
        <v/>
      </c>
      <c r="AE75">
        <f>MID($E75,9,1)</f>
        <v/>
      </c>
      <c r="AF75">
        <f>MID($E75,10,1)</f>
        <v/>
      </c>
    </row>
    <row r="76">
      <c r="A76" s="4" t="inlineStr">
        <is>
          <t>DN075</t>
        </is>
      </c>
      <c r="B76" s="4" t="n">
        <v>1</v>
      </c>
      <c r="C76" s="4" t="n">
        <v>2</v>
      </c>
      <c r="D76" s="5" t="inlineStr">
        <is>
          <t>GACGTATTGT</t>
        </is>
      </c>
      <c r="E76" s="5" t="inlineStr">
        <is>
          <t>AGCTGCGCAA</t>
        </is>
      </c>
      <c r="F76" s="4">
        <f>LEN(SUBSTITUTE(SUBSTITUTE(D76,"A",""),"T",""))</f>
        <v/>
      </c>
      <c r="G76" s="4">
        <f>LEN(SUBSTITUTE(SUBSTITUTE(E76,"A",""),"T",""))</f>
        <v/>
      </c>
      <c r="H76" s="4" t="n">
        <v>-2.43</v>
      </c>
      <c r="I76" s="4" t="n">
        <v>-2.08</v>
      </c>
      <c r="J76" s="4" t="n">
        <v>-4.03</v>
      </c>
      <c r="K76" s="4" t="n">
        <v>-1.61</v>
      </c>
      <c r="M76">
        <f>MID($D76,1,1)</f>
        <v/>
      </c>
      <c r="N76">
        <f>MID($D76,2,1)</f>
        <v/>
      </c>
      <c r="O76">
        <f>MID($D76,3,1)</f>
        <v/>
      </c>
      <c r="P76">
        <f>MID($D76,4,1)</f>
        <v/>
      </c>
      <c r="Q76">
        <f>MID($D76,5,1)</f>
        <v/>
      </c>
      <c r="R76">
        <f>MID($D76,6,1)</f>
        <v/>
      </c>
      <c r="S76">
        <f>MID($D76,7,1)</f>
        <v/>
      </c>
      <c r="T76">
        <f>MID($D76,8,1)</f>
        <v/>
      </c>
      <c r="U76">
        <f>MID($D76,9,1)</f>
        <v/>
      </c>
      <c r="V76">
        <f>MID($D76,10,1)</f>
        <v/>
      </c>
      <c r="W76">
        <f>MID($E76,1,1)</f>
        <v/>
      </c>
      <c r="X76">
        <f>MID($E76,2,1)</f>
        <v/>
      </c>
      <c r="Y76">
        <f>MID($E76,3,1)</f>
        <v/>
      </c>
      <c r="Z76">
        <f>MID($E76,4,1)</f>
        <v/>
      </c>
      <c r="AA76">
        <f>MID($E76,5,1)</f>
        <v/>
      </c>
      <c r="AB76">
        <f>MID($E76,6,1)</f>
        <v/>
      </c>
      <c r="AC76">
        <f>MID($E76,7,1)</f>
        <v/>
      </c>
      <c r="AD76">
        <f>MID($E76,8,1)</f>
        <v/>
      </c>
      <c r="AE76">
        <f>MID($E76,9,1)</f>
        <v/>
      </c>
      <c r="AF76">
        <f>MID($E76,10,1)</f>
        <v/>
      </c>
    </row>
    <row r="77">
      <c r="A77" s="4" t="inlineStr">
        <is>
          <t>DN076</t>
        </is>
      </c>
      <c r="B77" s="4" t="n">
        <v>1</v>
      </c>
      <c r="C77" s="4" t="n">
        <v>2</v>
      </c>
      <c r="D77" s="5" t="inlineStr">
        <is>
          <t>CGCATCCTTG</t>
        </is>
      </c>
      <c r="E77" s="5" t="inlineStr">
        <is>
          <t>AGGCAGTAAC</t>
        </is>
      </c>
      <c r="F77" s="4">
        <f>LEN(SUBSTITUTE(SUBSTITUTE(D77,"A",""),"T",""))</f>
        <v/>
      </c>
      <c r="G77" s="4">
        <f>LEN(SUBSTITUTE(SUBSTITUTE(E77,"A",""),"T",""))</f>
        <v/>
      </c>
      <c r="H77" s="4" t="n">
        <v>-2.38</v>
      </c>
      <c r="I77" s="4" t="n">
        <v>-1.59</v>
      </c>
      <c r="J77" s="4" t="n">
        <v>-4.15</v>
      </c>
      <c r="K77" s="4" t="n">
        <v>-4.15</v>
      </c>
      <c r="M77">
        <f>MID($D77,1,1)</f>
        <v/>
      </c>
      <c r="N77">
        <f>MID($D77,2,1)</f>
        <v/>
      </c>
      <c r="O77">
        <f>MID($D77,3,1)</f>
        <v/>
      </c>
      <c r="P77">
        <f>MID($D77,4,1)</f>
        <v/>
      </c>
      <c r="Q77">
        <f>MID($D77,5,1)</f>
        <v/>
      </c>
      <c r="R77">
        <f>MID($D77,6,1)</f>
        <v/>
      </c>
      <c r="S77">
        <f>MID($D77,7,1)</f>
        <v/>
      </c>
      <c r="T77">
        <f>MID($D77,8,1)</f>
        <v/>
      </c>
      <c r="U77">
        <f>MID($D77,9,1)</f>
        <v/>
      </c>
      <c r="V77">
        <f>MID($D77,10,1)</f>
        <v/>
      </c>
      <c r="W77">
        <f>MID($E77,1,1)</f>
        <v/>
      </c>
      <c r="X77">
        <f>MID($E77,2,1)</f>
        <v/>
      </c>
      <c r="Y77">
        <f>MID($E77,3,1)</f>
        <v/>
      </c>
      <c r="Z77">
        <f>MID($E77,4,1)</f>
        <v/>
      </c>
      <c r="AA77">
        <f>MID($E77,5,1)</f>
        <v/>
      </c>
      <c r="AB77">
        <f>MID($E77,6,1)</f>
        <v/>
      </c>
      <c r="AC77">
        <f>MID($E77,7,1)</f>
        <v/>
      </c>
      <c r="AD77">
        <f>MID($E77,8,1)</f>
        <v/>
      </c>
      <c r="AE77">
        <f>MID($E77,9,1)</f>
        <v/>
      </c>
      <c r="AF77">
        <f>MID($E77,10,1)</f>
        <v/>
      </c>
    </row>
    <row r="78">
      <c r="A78" s="4" t="inlineStr">
        <is>
          <t>DN077</t>
        </is>
      </c>
      <c r="B78" s="4" t="n">
        <v>1</v>
      </c>
      <c r="C78" s="4" t="n">
        <v>2</v>
      </c>
      <c r="D78" s="5" t="inlineStr">
        <is>
          <t>AGGTCACATA</t>
        </is>
      </c>
      <c r="E78" s="5" t="inlineStr">
        <is>
          <t>CGCTGACGAT</t>
        </is>
      </c>
      <c r="F78" s="4">
        <f>LEN(SUBSTITUTE(SUBSTITUTE(D78,"A",""),"T",""))</f>
        <v/>
      </c>
      <c r="G78" s="4">
        <f>LEN(SUBSTITUTE(SUBSTITUTE(E78,"A",""),"T",""))</f>
        <v/>
      </c>
      <c r="H78" s="4" t="n">
        <v>-1.95</v>
      </c>
      <c r="I78" s="4" t="n">
        <v>-1.56</v>
      </c>
      <c r="J78" s="4" t="n">
        <v>-3.3</v>
      </c>
      <c r="K78" s="4" t="n">
        <v>-2.21</v>
      </c>
      <c r="M78">
        <f>MID($D78,1,1)</f>
        <v/>
      </c>
      <c r="N78">
        <f>MID($D78,2,1)</f>
        <v/>
      </c>
      <c r="O78">
        <f>MID($D78,3,1)</f>
        <v/>
      </c>
      <c r="P78">
        <f>MID($D78,4,1)</f>
        <v/>
      </c>
      <c r="Q78">
        <f>MID($D78,5,1)</f>
        <v/>
      </c>
      <c r="R78">
        <f>MID($D78,6,1)</f>
        <v/>
      </c>
      <c r="S78">
        <f>MID($D78,7,1)</f>
        <v/>
      </c>
      <c r="T78">
        <f>MID($D78,8,1)</f>
        <v/>
      </c>
      <c r="U78">
        <f>MID($D78,9,1)</f>
        <v/>
      </c>
      <c r="V78">
        <f>MID($D78,10,1)</f>
        <v/>
      </c>
      <c r="W78">
        <f>MID($E78,1,1)</f>
        <v/>
      </c>
      <c r="X78">
        <f>MID($E78,2,1)</f>
        <v/>
      </c>
      <c r="Y78">
        <f>MID($E78,3,1)</f>
        <v/>
      </c>
      <c r="Z78">
        <f>MID($E78,4,1)</f>
        <v/>
      </c>
      <c r="AA78">
        <f>MID($E78,5,1)</f>
        <v/>
      </c>
      <c r="AB78">
        <f>MID($E78,6,1)</f>
        <v/>
      </c>
      <c r="AC78">
        <f>MID($E78,7,1)</f>
        <v/>
      </c>
      <c r="AD78">
        <f>MID($E78,8,1)</f>
        <v/>
      </c>
      <c r="AE78">
        <f>MID($E78,9,1)</f>
        <v/>
      </c>
      <c r="AF78">
        <f>MID($E78,10,1)</f>
        <v/>
      </c>
    </row>
    <row r="79">
      <c r="A79" s="4" t="inlineStr">
        <is>
          <t>DN078</t>
        </is>
      </c>
      <c r="B79" s="4" t="n">
        <v>1</v>
      </c>
      <c r="C79" s="4" t="n">
        <v>2</v>
      </c>
      <c r="D79" s="5" t="inlineStr">
        <is>
          <t>AGGACACCAC</t>
        </is>
      </c>
      <c r="E79" s="5" t="inlineStr">
        <is>
          <t>TAACGGAGAA</t>
        </is>
      </c>
      <c r="F79" s="4">
        <f>LEN(SUBSTITUTE(SUBSTITUTE(D79,"A",""),"T",""))</f>
        <v/>
      </c>
      <c r="G79" s="4">
        <f>LEN(SUBSTITUTE(SUBSTITUTE(E79,"A",""),"T",""))</f>
        <v/>
      </c>
      <c r="H79" s="4" t="n">
        <v>-1.82</v>
      </c>
      <c r="I79" s="4" t="n">
        <v>-1.82</v>
      </c>
      <c r="J79" s="4" t="n">
        <v>-3.63</v>
      </c>
      <c r="K79" s="4" t="n">
        <v>-2.45</v>
      </c>
      <c r="M79">
        <f>MID($D79,1,1)</f>
        <v/>
      </c>
      <c r="N79">
        <f>MID($D79,2,1)</f>
        <v/>
      </c>
      <c r="O79">
        <f>MID($D79,3,1)</f>
        <v/>
      </c>
      <c r="P79">
        <f>MID($D79,4,1)</f>
        <v/>
      </c>
      <c r="Q79">
        <f>MID($D79,5,1)</f>
        <v/>
      </c>
      <c r="R79">
        <f>MID($D79,6,1)</f>
        <v/>
      </c>
      <c r="S79">
        <f>MID($D79,7,1)</f>
        <v/>
      </c>
      <c r="T79">
        <f>MID($D79,8,1)</f>
        <v/>
      </c>
      <c r="U79">
        <f>MID($D79,9,1)</f>
        <v/>
      </c>
      <c r="V79">
        <f>MID($D79,10,1)</f>
        <v/>
      </c>
      <c r="W79">
        <f>MID($E79,1,1)</f>
        <v/>
      </c>
      <c r="X79">
        <f>MID($E79,2,1)</f>
        <v/>
      </c>
      <c r="Y79">
        <f>MID($E79,3,1)</f>
        <v/>
      </c>
      <c r="Z79">
        <f>MID($E79,4,1)</f>
        <v/>
      </c>
      <c r="AA79">
        <f>MID($E79,5,1)</f>
        <v/>
      </c>
      <c r="AB79">
        <f>MID($E79,6,1)</f>
        <v/>
      </c>
      <c r="AC79">
        <f>MID($E79,7,1)</f>
        <v/>
      </c>
      <c r="AD79">
        <f>MID($E79,8,1)</f>
        <v/>
      </c>
      <c r="AE79">
        <f>MID($E79,9,1)</f>
        <v/>
      </c>
      <c r="AF79">
        <f>MID($E79,10,1)</f>
        <v/>
      </c>
    </row>
    <row r="80">
      <c r="A80" s="4" t="inlineStr">
        <is>
          <t>DN079</t>
        </is>
      </c>
      <c r="B80" s="4" t="n">
        <v>1</v>
      </c>
      <c r="C80" s="4" t="n">
        <v>2</v>
      </c>
      <c r="D80" s="5" t="inlineStr">
        <is>
          <t>CAAGTAGAGC</t>
        </is>
      </c>
      <c r="E80" s="5" t="inlineStr">
        <is>
          <t>CCGGTAAGAA</t>
        </is>
      </c>
      <c r="F80" s="4">
        <f>LEN(SUBSTITUTE(SUBSTITUTE(D80,"A",""),"T",""))</f>
        <v/>
      </c>
      <c r="G80" s="4">
        <f>LEN(SUBSTITUTE(SUBSTITUTE(E80,"A",""),"T",""))</f>
        <v/>
      </c>
      <c r="H80" s="4" t="n">
        <v>-1.87</v>
      </c>
      <c r="I80" s="4" t="n">
        <v>-1.14</v>
      </c>
      <c r="J80" s="4" t="n">
        <v>-2.43</v>
      </c>
      <c r="K80" s="4" t="n">
        <v>-1.99</v>
      </c>
      <c r="M80">
        <f>MID($D80,1,1)</f>
        <v/>
      </c>
      <c r="N80">
        <f>MID($D80,2,1)</f>
        <v/>
      </c>
      <c r="O80">
        <f>MID($D80,3,1)</f>
        <v/>
      </c>
      <c r="P80">
        <f>MID($D80,4,1)</f>
        <v/>
      </c>
      <c r="Q80">
        <f>MID($D80,5,1)</f>
        <v/>
      </c>
      <c r="R80">
        <f>MID($D80,6,1)</f>
        <v/>
      </c>
      <c r="S80">
        <f>MID($D80,7,1)</f>
        <v/>
      </c>
      <c r="T80">
        <f>MID($D80,8,1)</f>
        <v/>
      </c>
      <c r="U80">
        <f>MID($D80,9,1)</f>
        <v/>
      </c>
      <c r="V80">
        <f>MID($D80,10,1)</f>
        <v/>
      </c>
      <c r="W80">
        <f>MID($E80,1,1)</f>
        <v/>
      </c>
      <c r="X80">
        <f>MID($E80,2,1)</f>
        <v/>
      </c>
      <c r="Y80">
        <f>MID($E80,3,1)</f>
        <v/>
      </c>
      <c r="Z80">
        <f>MID($E80,4,1)</f>
        <v/>
      </c>
      <c r="AA80">
        <f>MID($E80,5,1)</f>
        <v/>
      </c>
      <c r="AB80">
        <f>MID($E80,6,1)</f>
        <v/>
      </c>
      <c r="AC80">
        <f>MID($E80,7,1)</f>
        <v/>
      </c>
      <c r="AD80">
        <f>MID($E80,8,1)</f>
        <v/>
      </c>
      <c r="AE80">
        <f>MID($E80,9,1)</f>
        <v/>
      </c>
      <c r="AF80">
        <f>MID($E80,10,1)</f>
        <v/>
      </c>
    </row>
    <row r="81">
      <c r="A81" s="4" t="inlineStr">
        <is>
          <t>DN080</t>
        </is>
      </c>
      <c r="B81" s="4" t="n">
        <v>1</v>
      </c>
      <c r="C81" s="4" t="n">
        <v>2</v>
      </c>
      <c r="D81" s="5" t="inlineStr">
        <is>
          <t>CAGTAACGAG</t>
        </is>
      </c>
      <c r="E81" s="5" t="inlineStr">
        <is>
          <t>TAACACGTAC</t>
        </is>
      </c>
      <c r="F81" s="4">
        <f>LEN(SUBSTITUTE(SUBSTITUTE(D81,"A",""),"T",""))</f>
        <v/>
      </c>
      <c r="G81" s="4">
        <f>LEN(SUBSTITUTE(SUBSTITUTE(E81,"A",""),"T",""))</f>
        <v/>
      </c>
      <c r="H81" s="4" t="n">
        <v>-2.79</v>
      </c>
      <c r="I81" s="4" t="n">
        <v>-1.64</v>
      </c>
      <c r="J81" s="4" t="n">
        <v>-3.57</v>
      </c>
      <c r="K81" s="4" t="n">
        <v>-1.51</v>
      </c>
      <c r="M81">
        <f>MID($D81,1,1)</f>
        <v/>
      </c>
      <c r="N81">
        <f>MID($D81,2,1)</f>
        <v/>
      </c>
      <c r="O81">
        <f>MID($D81,3,1)</f>
        <v/>
      </c>
      <c r="P81">
        <f>MID($D81,4,1)</f>
        <v/>
      </c>
      <c r="Q81">
        <f>MID($D81,5,1)</f>
        <v/>
      </c>
      <c r="R81">
        <f>MID($D81,6,1)</f>
        <v/>
      </c>
      <c r="S81">
        <f>MID($D81,7,1)</f>
        <v/>
      </c>
      <c r="T81">
        <f>MID($D81,8,1)</f>
        <v/>
      </c>
      <c r="U81">
        <f>MID($D81,9,1)</f>
        <v/>
      </c>
      <c r="V81">
        <f>MID($D81,10,1)</f>
        <v/>
      </c>
      <c r="W81">
        <f>MID($E81,1,1)</f>
        <v/>
      </c>
      <c r="X81">
        <f>MID($E81,2,1)</f>
        <v/>
      </c>
      <c r="Y81">
        <f>MID($E81,3,1)</f>
        <v/>
      </c>
      <c r="Z81">
        <f>MID($E81,4,1)</f>
        <v/>
      </c>
      <c r="AA81">
        <f>MID($E81,5,1)</f>
        <v/>
      </c>
      <c r="AB81">
        <f>MID($E81,6,1)</f>
        <v/>
      </c>
      <c r="AC81">
        <f>MID($E81,7,1)</f>
        <v/>
      </c>
      <c r="AD81">
        <f>MID($E81,8,1)</f>
        <v/>
      </c>
      <c r="AE81">
        <f>MID($E81,9,1)</f>
        <v/>
      </c>
      <c r="AF81">
        <f>MID($E81,10,1)</f>
        <v/>
      </c>
    </row>
    <row r="82">
      <c r="A82" s="4" t="inlineStr">
        <is>
          <t>DN081</t>
        </is>
      </c>
      <c r="B82" s="4" t="n">
        <v>1</v>
      </c>
      <c r="C82" s="4" t="n">
        <v>2</v>
      </c>
      <c r="D82" s="5" t="inlineStr">
        <is>
          <t>CGGAGACGTA</t>
        </is>
      </c>
      <c r="E82" s="5" t="inlineStr">
        <is>
          <t>GCGGTCTATC</t>
        </is>
      </c>
      <c r="F82" s="4">
        <f>LEN(SUBSTITUTE(SUBSTITUTE(D82,"A",""),"T",""))</f>
        <v/>
      </c>
      <c r="G82" s="4">
        <f>LEN(SUBSTITUTE(SUBSTITUTE(E82,"A",""),"T",""))</f>
        <v/>
      </c>
      <c r="H82" s="4" t="n">
        <v>-2.82</v>
      </c>
      <c r="I82" s="4" t="n">
        <v>-2.08</v>
      </c>
      <c r="J82" s="4" t="n">
        <v>-2.59</v>
      </c>
      <c r="K82" s="4" t="n">
        <v>-1.53</v>
      </c>
      <c r="M82">
        <f>MID($D82,1,1)</f>
        <v/>
      </c>
      <c r="N82">
        <f>MID($D82,2,1)</f>
        <v/>
      </c>
      <c r="O82">
        <f>MID($D82,3,1)</f>
        <v/>
      </c>
      <c r="P82">
        <f>MID($D82,4,1)</f>
        <v/>
      </c>
      <c r="Q82">
        <f>MID($D82,5,1)</f>
        <v/>
      </c>
      <c r="R82">
        <f>MID($D82,6,1)</f>
        <v/>
      </c>
      <c r="S82">
        <f>MID($D82,7,1)</f>
        <v/>
      </c>
      <c r="T82">
        <f>MID($D82,8,1)</f>
        <v/>
      </c>
      <c r="U82">
        <f>MID($D82,9,1)</f>
        <v/>
      </c>
      <c r="V82">
        <f>MID($D82,10,1)</f>
        <v/>
      </c>
      <c r="W82">
        <f>MID($E82,1,1)</f>
        <v/>
      </c>
      <c r="X82">
        <f>MID($E82,2,1)</f>
        <v/>
      </c>
      <c r="Y82">
        <f>MID($E82,3,1)</f>
        <v/>
      </c>
      <c r="Z82">
        <f>MID($E82,4,1)</f>
        <v/>
      </c>
      <c r="AA82">
        <f>MID($E82,5,1)</f>
        <v/>
      </c>
      <c r="AB82">
        <f>MID($E82,6,1)</f>
        <v/>
      </c>
      <c r="AC82">
        <f>MID($E82,7,1)</f>
        <v/>
      </c>
      <c r="AD82">
        <f>MID($E82,8,1)</f>
        <v/>
      </c>
      <c r="AE82">
        <f>MID($E82,9,1)</f>
        <v/>
      </c>
      <c r="AF82">
        <f>MID($E82,10,1)</f>
        <v/>
      </c>
    </row>
    <row r="83">
      <c r="A83" s="4" t="inlineStr">
        <is>
          <t>DN082</t>
        </is>
      </c>
      <c r="B83" s="4" t="n">
        <v>1</v>
      </c>
      <c r="C83" s="4" t="n">
        <v>2</v>
      </c>
      <c r="D83" s="5" t="inlineStr">
        <is>
          <t>CCATCCGGAA</t>
        </is>
      </c>
      <c r="E83" s="5" t="inlineStr">
        <is>
          <t>GAGCTCACAC</t>
        </is>
      </c>
      <c r="F83" s="4">
        <f>LEN(SUBSTITUTE(SUBSTITUTE(D83,"A",""),"T",""))</f>
        <v/>
      </c>
      <c r="G83" s="4">
        <f>LEN(SUBSTITUTE(SUBSTITUTE(E83,"A",""),"T",""))</f>
        <v/>
      </c>
      <c r="H83" s="4" t="n">
        <v>-3.24</v>
      </c>
      <c r="I83" s="4" t="n">
        <v>-2.04</v>
      </c>
      <c r="J83" s="4" t="n">
        <v>-2.31</v>
      </c>
      <c r="K83" s="4" t="n">
        <v>-2.31</v>
      </c>
      <c r="M83">
        <f>MID($D83,1,1)</f>
        <v/>
      </c>
      <c r="N83">
        <f>MID($D83,2,1)</f>
        <v/>
      </c>
      <c r="O83">
        <f>MID($D83,3,1)</f>
        <v/>
      </c>
      <c r="P83">
        <f>MID($D83,4,1)</f>
        <v/>
      </c>
      <c r="Q83">
        <f>MID($D83,5,1)</f>
        <v/>
      </c>
      <c r="R83">
        <f>MID($D83,6,1)</f>
        <v/>
      </c>
      <c r="S83">
        <f>MID($D83,7,1)</f>
        <v/>
      </c>
      <c r="T83">
        <f>MID($D83,8,1)</f>
        <v/>
      </c>
      <c r="U83">
        <f>MID($D83,9,1)</f>
        <v/>
      </c>
      <c r="V83">
        <f>MID($D83,10,1)</f>
        <v/>
      </c>
      <c r="W83">
        <f>MID($E83,1,1)</f>
        <v/>
      </c>
      <c r="X83">
        <f>MID($E83,2,1)</f>
        <v/>
      </c>
      <c r="Y83">
        <f>MID($E83,3,1)</f>
        <v/>
      </c>
      <c r="Z83">
        <f>MID($E83,4,1)</f>
        <v/>
      </c>
      <c r="AA83">
        <f>MID($E83,5,1)</f>
        <v/>
      </c>
      <c r="AB83">
        <f>MID($E83,6,1)</f>
        <v/>
      </c>
      <c r="AC83">
        <f>MID($E83,7,1)</f>
        <v/>
      </c>
      <c r="AD83">
        <f>MID($E83,8,1)</f>
        <v/>
      </c>
      <c r="AE83">
        <f>MID($E83,9,1)</f>
        <v/>
      </c>
      <c r="AF83">
        <f>MID($E83,10,1)</f>
        <v/>
      </c>
    </row>
    <row r="84">
      <c r="A84" s="4" t="inlineStr">
        <is>
          <t>DN083</t>
        </is>
      </c>
      <c r="B84" s="4" t="n">
        <v>1</v>
      </c>
      <c r="C84" s="4" t="n">
        <v>2</v>
      </c>
      <c r="D84" s="5" t="inlineStr">
        <is>
          <t>AAGATGCTCA</t>
        </is>
      </c>
      <c r="E84" s="5" t="inlineStr">
        <is>
          <t>AGCCATGATG</t>
        </is>
      </c>
      <c r="F84" s="4">
        <f>LEN(SUBSTITUTE(SUBSTITUTE(D84,"A",""),"T",""))</f>
        <v/>
      </c>
      <c r="G84" s="4">
        <f>LEN(SUBSTITUTE(SUBSTITUTE(E84,"A",""),"T",""))</f>
        <v/>
      </c>
      <c r="H84" s="4" t="n">
        <v>-2.85</v>
      </c>
      <c r="I84" s="4" t="n">
        <v>-0.9</v>
      </c>
      <c r="J84" s="4" t="n">
        <v>-5.22</v>
      </c>
      <c r="K84" s="4" t="n">
        <v>-1.88</v>
      </c>
      <c r="M84">
        <f>MID($D84,1,1)</f>
        <v/>
      </c>
      <c r="N84">
        <f>MID($D84,2,1)</f>
        <v/>
      </c>
      <c r="O84">
        <f>MID($D84,3,1)</f>
        <v/>
      </c>
      <c r="P84">
        <f>MID($D84,4,1)</f>
        <v/>
      </c>
      <c r="Q84">
        <f>MID($D84,5,1)</f>
        <v/>
      </c>
      <c r="R84">
        <f>MID($D84,6,1)</f>
        <v/>
      </c>
      <c r="S84">
        <f>MID($D84,7,1)</f>
        <v/>
      </c>
      <c r="T84">
        <f>MID($D84,8,1)</f>
        <v/>
      </c>
      <c r="U84">
        <f>MID($D84,9,1)</f>
        <v/>
      </c>
      <c r="V84">
        <f>MID($D84,10,1)</f>
        <v/>
      </c>
      <c r="W84">
        <f>MID($E84,1,1)</f>
        <v/>
      </c>
      <c r="X84">
        <f>MID($E84,2,1)</f>
        <v/>
      </c>
      <c r="Y84">
        <f>MID($E84,3,1)</f>
        <v/>
      </c>
      <c r="Z84">
        <f>MID($E84,4,1)</f>
        <v/>
      </c>
      <c r="AA84">
        <f>MID($E84,5,1)</f>
        <v/>
      </c>
      <c r="AB84">
        <f>MID($E84,6,1)</f>
        <v/>
      </c>
      <c r="AC84">
        <f>MID($E84,7,1)</f>
        <v/>
      </c>
      <c r="AD84">
        <f>MID($E84,8,1)</f>
        <v/>
      </c>
      <c r="AE84">
        <f>MID($E84,9,1)</f>
        <v/>
      </c>
      <c r="AF84">
        <f>MID($E84,10,1)</f>
        <v/>
      </c>
    </row>
    <row r="85">
      <c r="A85" s="4" t="inlineStr">
        <is>
          <t>DN084</t>
        </is>
      </c>
      <c r="B85" s="4" t="n">
        <v>1</v>
      </c>
      <c r="C85" s="4" t="n">
        <v>2</v>
      </c>
      <c r="D85" s="5" t="inlineStr">
        <is>
          <t>CCACCACTAT</t>
        </is>
      </c>
      <c r="E85" s="5" t="inlineStr">
        <is>
          <t>AGTGCCTAGT</t>
        </is>
      </c>
      <c r="F85" s="4">
        <f>LEN(SUBSTITUTE(SUBSTITUTE(D85,"A",""),"T",""))</f>
        <v/>
      </c>
      <c r="G85" s="4">
        <f>LEN(SUBSTITUTE(SUBSTITUTE(E85,"A",""),"T",""))</f>
        <v/>
      </c>
      <c r="H85" s="4" t="n">
        <v>-1.4</v>
      </c>
      <c r="I85" s="4" t="n">
        <v>0</v>
      </c>
      <c r="J85" s="4" t="n">
        <v>-3.64</v>
      </c>
      <c r="K85" s="4" t="n">
        <v>-2.18</v>
      </c>
      <c r="M85">
        <f>MID($D85,1,1)</f>
        <v/>
      </c>
      <c r="N85">
        <f>MID($D85,2,1)</f>
        <v/>
      </c>
      <c r="O85">
        <f>MID($D85,3,1)</f>
        <v/>
      </c>
      <c r="P85">
        <f>MID($D85,4,1)</f>
        <v/>
      </c>
      <c r="Q85">
        <f>MID($D85,5,1)</f>
        <v/>
      </c>
      <c r="R85">
        <f>MID($D85,6,1)</f>
        <v/>
      </c>
      <c r="S85">
        <f>MID($D85,7,1)</f>
        <v/>
      </c>
      <c r="T85">
        <f>MID($D85,8,1)</f>
        <v/>
      </c>
      <c r="U85">
        <f>MID($D85,9,1)</f>
        <v/>
      </c>
      <c r="V85">
        <f>MID($D85,10,1)</f>
        <v/>
      </c>
      <c r="W85">
        <f>MID($E85,1,1)</f>
        <v/>
      </c>
      <c r="X85">
        <f>MID($E85,2,1)</f>
        <v/>
      </c>
      <c r="Y85">
        <f>MID($E85,3,1)</f>
        <v/>
      </c>
      <c r="Z85">
        <f>MID($E85,4,1)</f>
        <v/>
      </c>
      <c r="AA85">
        <f>MID($E85,5,1)</f>
        <v/>
      </c>
      <c r="AB85">
        <f>MID($E85,6,1)</f>
        <v/>
      </c>
      <c r="AC85">
        <f>MID($E85,7,1)</f>
        <v/>
      </c>
      <c r="AD85">
        <f>MID($E85,8,1)</f>
        <v/>
      </c>
      <c r="AE85">
        <f>MID($E85,9,1)</f>
        <v/>
      </c>
      <c r="AF85">
        <f>MID($E85,10,1)</f>
        <v/>
      </c>
    </row>
    <row r="86">
      <c r="A86" s="4" t="inlineStr">
        <is>
          <t>DN085</t>
        </is>
      </c>
      <c r="B86" s="4" t="n">
        <v>1</v>
      </c>
      <c r="C86" s="4" t="n">
        <v>2</v>
      </c>
      <c r="D86" s="5" t="inlineStr">
        <is>
          <t>GTGCTGAAGG</t>
        </is>
      </c>
      <c r="E86" s="5" t="inlineStr">
        <is>
          <t>TCGACGTAGG</t>
        </is>
      </c>
      <c r="F86" s="4">
        <f>LEN(SUBSTITUTE(SUBSTITUTE(D86,"A",""),"T",""))</f>
        <v/>
      </c>
      <c r="G86" s="4">
        <f>LEN(SUBSTITUTE(SUBSTITUTE(E86,"A",""),"T",""))</f>
        <v/>
      </c>
      <c r="H86" s="4" t="n">
        <v>-3.21</v>
      </c>
      <c r="I86" s="4" t="n">
        <v>-0.99</v>
      </c>
      <c r="J86" s="4" t="n">
        <v>-3.58</v>
      </c>
      <c r="K86" s="4" t="n">
        <v>-3.01</v>
      </c>
      <c r="M86">
        <f>MID($D86,1,1)</f>
        <v/>
      </c>
      <c r="N86">
        <f>MID($D86,2,1)</f>
        <v/>
      </c>
      <c r="O86">
        <f>MID($D86,3,1)</f>
        <v/>
      </c>
      <c r="P86">
        <f>MID($D86,4,1)</f>
        <v/>
      </c>
      <c r="Q86">
        <f>MID($D86,5,1)</f>
        <v/>
      </c>
      <c r="R86">
        <f>MID($D86,6,1)</f>
        <v/>
      </c>
      <c r="S86">
        <f>MID($D86,7,1)</f>
        <v/>
      </c>
      <c r="T86">
        <f>MID($D86,8,1)</f>
        <v/>
      </c>
      <c r="U86">
        <f>MID($D86,9,1)</f>
        <v/>
      </c>
      <c r="V86">
        <f>MID($D86,10,1)</f>
        <v/>
      </c>
      <c r="W86">
        <f>MID($E86,1,1)</f>
        <v/>
      </c>
      <c r="X86">
        <f>MID($E86,2,1)</f>
        <v/>
      </c>
      <c r="Y86">
        <f>MID($E86,3,1)</f>
        <v/>
      </c>
      <c r="Z86">
        <f>MID($E86,4,1)</f>
        <v/>
      </c>
      <c r="AA86">
        <f>MID($E86,5,1)</f>
        <v/>
      </c>
      <c r="AB86">
        <f>MID($E86,6,1)</f>
        <v/>
      </c>
      <c r="AC86">
        <f>MID($E86,7,1)</f>
        <v/>
      </c>
      <c r="AD86">
        <f>MID($E86,8,1)</f>
        <v/>
      </c>
      <c r="AE86">
        <f>MID($E86,9,1)</f>
        <v/>
      </c>
      <c r="AF86">
        <f>MID($E86,10,1)</f>
        <v/>
      </c>
    </row>
    <row r="87">
      <c r="A87" s="4" t="inlineStr">
        <is>
          <t>DN086</t>
        </is>
      </c>
      <c r="B87" s="4" t="n">
        <v>1</v>
      </c>
      <c r="C87" s="4" t="n">
        <v>2</v>
      </c>
      <c r="D87" s="5" t="inlineStr">
        <is>
          <t>TGACAGCTGC</t>
        </is>
      </c>
      <c r="E87" s="5" t="inlineStr">
        <is>
          <t>CGATCACCGT</t>
        </is>
      </c>
      <c r="F87" s="4">
        <f>LEN(SUBSTITUTE(SUBSTITUTE(D87,"A",""),"T",""))</f>
        <v/>
      </c>
      <c r="G87" s="4">
        <f>LEN(SUBSTITUTE(SUBSTITUTE(E87,"A",""),"T",""))</f>
        <v/>
      </c>
      <c r="H87" s="4" t="n">
        <v>-3.54</v>
      </c>
      <c r="I87" s="4" t="n">
        <v>-1.82</v>
      </c>
      <c r="J87" s="4" t="n">
        <v>-2.86</v>
      </c>
      <c r="K87" s="4" t="n">
        <v>-0.45</v>
      </c>
      <c r="M87">
        <f>MID($D87,1,1)</f>
        <v/>
      </c>
      <c r="N87">
        <f>MID($D87,2,1)</f>
        <v/>
      </c>
      <c r="O87">
        <f>MID($D87,3,1)</f>
        <v/>
      </c>
      <c r="P87">
        <f>MID($D87,4,1)</f>
        <v/>
      </c>
      <c r="Q87">
        <f>MID($D87,5,1)</f>
        <v/>
      </c>
      <c r="R87">
        <f>MID($D87,6,1)</f>
        <v/>
      </c>
      <c r="S87">
        <f>MID($D87,7,1)</f>
        <v/>
      </c>
      <c r="T87">
        <f>MID($D87,8,1)</f>
        <v/>
      </c>
      <c r="U87">
        <f>MID($D87,9,1)</f>
        <v/>
      </c>
      <c r="V87">
        <f>MID($D87,10,1)</f>
        <v/>
      </c>
      <c r="W87">
        <f>MID($E87,1,1)</f>
        <v/>
      </c>
      <c r="X87">
        <f>MID($E87,2,1)</f>
        <v/>
      </c>
      <c r="Y87">
        <f>MID($E87,3,1)</f>
        <v/>
      </c>
      <c r="Z87">
        <f>MID($E87,4,1)</f>
        <v/>
      </c>
      <c r="AA87">
        <f>MID($E87,5,1)</f>
        <v/>
      </c>
      <c r="AB87">
        <f>MID($E87,6,1)</f>
        <v/>
      </c>
      <c r="AC87">
        <f>MID($E87,7,1)</f>
        <v/>
      </c>
      <c r="AD87">
        <f>MID($E87,8,1)</f>
        <v/>
      </c>
      <c r="AE87">
        <f>MID($E87,9,1)</f>
        <v/>
      </c>
      <c r="AF87">
        <f>MID($E87,10,1)</f>
        <v/>
      </c>
    </row>
    <row r="88">
      <c r="A88" s="4" t="inlineStr">
        <is>
          <t>DN087</t>
        </is>
      </c>
      <c r="B88" s="4" t="n">
        <v>1</v>
      </c>
      <c r="C88" s="4" t="n">
        <v>2</v>
      </c>
      <c r="D88" s="5" t="inlineStr">
        <is>
          <t>CCGTTGTCGT</t>
        </is>
      </c>
      <c r="E88" s="5" t="inlineStr">
        <is>
          <t>GTTAGGCCAC</t>
        </is>
      </c>
      <c r="F88" s="4">
        <f>LEN(SUBSTITUTE(SUBSTITUTE(D88,"A",""),"T",""))</f>
        <v/>
      </c>
      <c r="G88" s="4">
        <f>LEN(SUBSTITUTE(SUBSTITUTE(E88,"A",""),"T",""))</f>
        <v/>
      </c>
      <c r="H88" s="4" t="n">
        <v>-2.7</v>
      </c>
      <c r="I88" s="4" t="n">
        <v>-0.84</v>
      </c>
      <c r="J88" s="4" t="n">
        <v>-4.16</v>
      </c>
      <c r="K88" s="4" t="n">
        <v>-2.16</v>
      </c>
      <c r="M88">
        <f>MID($D88,1,1)</f>
        <v/>
      </c>
      <c r="N88">
        <f>MID($D88,2,1)</f>
        <v/>
      </c>
      <c r="O88">
        <f>MID($D88,3,1)</f>
        <v/>
      </c>
      <c r="P88">
        <f>MID($D88,4,1)</f>
        <v/>
      </c>
      <c r="Q88">
        <f>MID($D88,5,1)</f>
        <v/>
      </c>
      <c r="R88">
        <f>MID($D88,6,1)</f>
        <v/>
      </c>
      <c r="S88">
        <f>MID($D88,7,1)</f>
        <v/>
      </c>
      <c r="T88">
        <f>MID($D88,8,1)</f>
        <v/>
      </c>
      <c r="U88">
        <f>MID($D88,9,1)</f>
        <v/>
      </c>
      <c r="V88">
        <f>MID($D88,10,1)</f>
        <v/>
      </c>
      <c r="W88">
        <f>MID($E88,1,1)</f>
        <v/>
      </c>
      <c r="X88">
        <f>MID($E88,2,1)</f>
        <v/>
      </c>
      <c r="Y88">
        <f>MID($E88,3,1)</f>
        <v/>
      </c>
      <c r="Z88">
        <f>MID($E88,4,1)</f>
        <v/>
      </c>
      <c r="AA88">
        <f>MID($E88,5,1)</f>
        <v/>
      </c>
      <c r="AB88">
        <f>MID($E88,6,1)</f>
        <v/>
      </c>
      <c r="AC88">
        <f>MID($E88,7,1)</f>
        <v/>
      </c>
      <c r="AD88">
        <f>MID($E88,8,1)</f>
        <v/>
      </c>
      <c r="AE88">
        <f>MID($E88,9,1)</f>
        <v/>
      </c>
      <c r="AF88">
        <f>MID($E88,10,1)</f>
        <v/>
      </c>
    </row>
    <row r="89">
      <c r="A89" s="4" t="inlineStr">
        <is>
          <t>DN088</t>
        </is>
      </c>
      <c r="B89" s="4" t="n">
        <v>1</v>
      </c>
      <c r="C89" s="4" t="n">
        <v>2</v>
      </c>
      <c r="D89" s="5" t="inlineStr">
        <is>
          <t>ACTGGAGCGA</t>
        </is>
      </c>
      <c r="E89" s="5" t="inlineStr">
        <is>
          <t>GTGAGAAGTT</t>
        </is>
      </c>
      <c r="F89" s="4">
        <f>LEN(SUBSTITUTE(SUBSTITUTE(D89,"A",""),"T",""))</f>
        <v/>
      </c>
      <c r="G89" s="4">
        <f>LEN(SUBSTITUTE(SUBSTITUTE(E89,"A",""),"T",""))</f>
        <v/>
      </c>
      <c r="H89" s="4" t="n">
        <v>-4.6</v>
      </c>
      <c r="I89" s="4" t="n">
        <v>-1.65</v>
      </c>
      <c r="J89" s="4" t="n">
        <v>-2.29</v>
      </c>
      <c r="K89" s="4" t="n">
        <v>-1</v>
      </c>
      <c r="M89">
        <f>MID($D89,1,1)</f>
        <v/>
      </c>
      <c r="N89">
        <f>MID($D89,2,1)</f>
        <v/>
      </c>
      <c r="O89">
        <f>MID($D89,3,1)</f>
        <v/>
      </c>
      <c r="P89">
        <f>MID($D89,4,1)</f>
        <v/>
      </c>
      <c r="Q89">
        <f>MID($D89,5,1)</f>
        <v/>
      </c>
      <c r="R89">
        <f>MID($D89,6,1)</f>
        <v/>
      </c>
      <c r="S89">
        <f>MID($D89,7,1)</f>
        <v/>
      </c>
      <c r="T89">
        <f>MID($D89,8,1)</f>
        <v/>
      </c>
      <c r="U89">
        <f>MID($D89,9,1)</f>
        <v/>
      </c>
      <c r="V89">
        <f>MID($D89,10,1)</f>
        <v/>
      </c>
      <c r="W89">
        <f>MID($E89,1,1)</f>
        <v/>
      </c>
      <c r="X89">
        <f>MID($E89,2,1)</f>
        <v/>
      </c>
      <c r="Y89">
        <f>MID($E89,3,1)</f>
        <v/>
      </c>
      <c r="Z89">
        <f>MID($E89,4,1)</f>
        <v/>
      </c>
      <c r="AA89">
        <f>MID($E89,5,1)</f>
        <v/>
      </c>
      <c r="AB89">
        <f>MID($E89,6,1)</f>
        <v/>
      </c>
      <c r="AC89">
        <f>MID($E89,7,1)</f>
        <v/>
      </c>
      <c r="AD89">
        <f>MID($E89,8,1)</f>
        <v/>
      </c>
      <c r="AE89">
        <f>MID($E89,9,1)</f>
        <v/>
      </c>
      <c r="AF89">
        <f>MID($E89,10,1)</f>
        <v/>
      </c>
    </row>
    <row r="90">
      <c r="A90" s="4" t="inlineStr">
        <is>
          <t>DN089</t>
        </is>
      </c>
      <c r="B90" s="4" t="n">
        <v>1</v>
      </c>
      <c r="C90" s="4" t="n">
        <v>2</v>
      </c>
      <c r="D90" s="5" t="inlineStr">
        <is>
          <t>CTCTGTCGGA</t>
        </is>
      </c>
      <c r="E90" s="5" t="inlineStr">
        <is>
          <t>CTGCCTAGGA</t>
        </is>
      </c>
      <c r="F90" s="4">
        <f>LEN(SUBSTITUTE(SUBSTITUTE(D90,"A",""),"T",""))</f>
        <v/>
      </c>
      <c r="G90" s="4">
        <f>LEN(SUBSTITUTE(SUBSTITUTE(E90,"A",""),"T",""))</f>
        <v/>
      </c>
      <c r="H90" s="4" t="n">
        <v>-4.07</v>
      </c>
      <c r="I90" s="4" t="n">
        <v>-2.2</v>
      </c>
      <c r="J90" s="4" t="n">
        <v>-2.28</v>
      </c>
      <c r="K90" s="4" t="n">
        <v>-1.6</v>
      </c>
      <c r="M90">
        <f>MID($D90,1,1)</f>
        <v/>
      </c>
      <c r="N90">
        <f>MID($D90,2,1)</f>
        <v/>
      </c>
      <c r="O90">
        <f>MID($D90,3,1)</f>
        <v/>
      </c>
      <c r="P90">
        <f>MID($D90,4,1)</f>
        <v/>
      </c>
      <c r="Q90">
        <f>MID($D90,5,1)</f>
        <v/>
      </c>
      <c r="R90">
        <f>MID($D90,6,1)</f>
        <v/>
      </c>
      <c r="S90">
        <f>MID($D90,7,1)</f>
        <v/>
      </c>
      <c r="T90">
        <f>MID($D90,8,1)</f>
        <v/>
      </c>
      <c r="U90">
        <f>MID($D90,9,1)</f>
        <v/>
      </c>
      <c r="V90">
        <f>MID($D90,10,1)</f>
        <v/>
      </c>
      <c r="W90">
        <f>MID($E90,1,1)</f>
        <v/>
      </c>
      <c r="X90">
        <f>MID($E90,2,1)</f>
        <v/>
      </c>
      <c r="Y90">
        <f>MID($E90,3,1)</f>
        <v/>
      </c>
      <c r="Z90">
        <f>MID($E90,4,1)</f>
        <v/>
      </c>
      <c r="AA90">
        <f>MID($E90,5,1)</f>
        <v/>
      </c>
      <c r="AB90">
        <f>MID($E90,6,1)</f>
        <v/>
      </c>
      <c r="AC90">
        <f>MID($E90,7,1)</f>
        <v/>
      </c>
      <c r="AD90">
        <f>MID($E90,8,1)</f>
        <v/>
      </c>
      <c r="AE90">
        <f>MID($E90,9,1)</f>
        <v/>
      </c>
      <c r="AF90">
        <f>MID($E90,10,1)</f>
        <v/>
      </c>
    </row>
    <row r="91">
      <c r="A91" s="4" t="inlineStr">
        <is>
          <t>DN090</t>
        </is>
      </c>
      <c r="B91" s="4" t="n">
        <v>1</v>
      </c>
      <c r="C91" s="4" t="n">
        <v>2</v>
      </c>
      <c r="D91" s="5" t="inlineStr">
        <is>
          <t>AGCAAGTGCG</t>
        </is>
      </c>
      <c r="E91" s="5" t="inlineStr">
        <is>
          <t>ACGTCACTGG</t>
        </is>
      </c>
      <c r="F91" s="4">
        <f>LEN(SUBSTITUTE(SUBSTITUTE(D91,"A",""),"T",""))</f>
        <v/>
      </c>
      <c r="G91" s="4">
        <f>LEN(SUBSTITUTE(SUBSTITUTE(E91,"A",""),"T",""))</f>
        <v/>
      </c>
      <c r="H91" s="4" t="n">
        <v>-3.08</v>
      </c>
      <c r="I91" s="4" t="n">
        <v>-1.01</v>
      </c>
      <c r="J91" s="4" t="n">
        <v>-2.86</v>
      </c>
      <c r="K91" s="4" t="n">
        <v>-2.86</v>
      </c>
      <c r="M91">
        <f>MID($D91,1,1)</f>
        <v/>
      </c>
      <c r="N91">
        <f>MID($D91,2,1)</f>
        <v/>
      </c>
      <c r="O91">
        <f>MID($D91,3,1)</f>
        <v/>
      </c>
      <c r="P91">
        <f>MID($D91,4,1)</f>
        <v/>
      </c>
      <c r="Q91">
        <f>MID($D91,5,1)</f>
        <v/>
      </c>
      <c r="R91">
        <f>MID($D91,6,1)</f>
        <v/>
      </c>
      <c r="S91">
        <f>MID($D91,7,1)</f>
        <v/>
      </c>
      <c r="T91">
        <f>MID($D91,8,1)</f>
        <v/>
      </c>
      <c r="U91">
        <f>MID($D91,9,1)</f>
        <v/>
      </c>
      <c r="V91">
        <f>MID($D91,10,1)</f>
        <v/>
      </c>
      <c r="W91">
        <f>MID($E91,1,1)</f>
        <v/>
      </c>
      <c r="X91">
        <f>MID($E91,2,1)</f>
        <v/>
      </c>
      <c r="Y91">
        <f>MID($E91,3,1)</f>
        <v/>
      </c>
      <c r="Z91">
        <f>MID($E91,4,1)</f>
        <v/>
      </c>
      <c r="AA91">
        <f>MID($E91,5,1)</f>
        <v/>
      </c>
      <c r="AB91">
        <f>MID($E91,6,1)</f>
        <v/>
      </c>
      <c r="AC91">
        <f>MID($E91,7,1)</f>
        <v/>
      </c>
      <c r="AD91">
        <f>MID($E91,8,1)</f>
        <v/>
      </c>
      <c r="AE91">
        <f>MID($E91,9,1)</f>
        <v/>
      </c>
      <c r="AF91">
        <f>MID($E91,10,1)</f>
        <v/>
      </c>
    </row>
    <row r="92">
      <c r="A92" s="4" t="inlineStr">
        <is>
          <t>DN091</t>
        </is>
      </c>
      <c r="B92" s="4" t="n">
        <v>1</v>
      </c>
      <c r="C92" s="4" t="n">
        <v>2</v>
      </c>
      <c r="D92" s="5" t="inlineStr">
        <is>
          <t>GCCGCTTAGA</t>
        </is>
      </c>
      <c r="E92" s="5" t="inlineStr">
        <is>
          <t>GACCGGACTA</t>
        </is>
      </c>
      <c r="F92" s="4">
        <f>LEN(SUBSTITUTE(SUBSTITUTE(D92,"A",""),"T",""))</f>
        <v/>
      </c>
      <c r="G92" s="4">
        <f>LEN(SUBSTITUTE(SUBSTITUTE(E92,"A",""),"T",""))</f>
        <v/>
      </c>
      <c r="H92" s="4" t="n">
        <v>-2.88</v>
      </c>
      <c r="I92" s="4" t="n">
        <v>-0.89</v>
      </c>
      <c r="J92" s="4" t="n">
        <v>-4.11</v>
      </c>
      <c r="K92" s="4" t="n">
        <v>-2.04</v>
      </c>
      <c r="M92">
        <f>MID($D92,1,1)</f>
        <v/>
      </c>
      <c r="N92">
        <f>MID($D92,2,1)</f>
        <v/>
      </c>
      <c r="O92">
        <f>MID($D92,3,1)</f>
        <v/>
      </c>
      <c r="P92">
        <f>MID($D92,4,1)</f>
        <v/>
      </c>
      <c r="Q92">
        <f>MID($D92,5,1)</f>
        <v/>
      </c>
      <c r="R92">
        <f>MID($D92,6,1)</f>
        <v/>
      </c>
      <c r="S92">
        <f>MID($D92,7,1)</f>
        <v/>
      </c>
      <c r="T92">
        <f>MID($D92,8,1)</f>
        <v/>
      </c>
      <c r="U92">
        <f>MID($D92,9,1)</f>
        <v/>
      </c>
      <c r="V92">
        <f>MID($D92,10,1)</f>
        <v/>
      </c>
      <c r="W92">
        <f>MID($E92,1,1)</f>
        <v/>
      </c>
      <c r="X92">
        <f>MID($E92,2,1)</f>
        <v/>
      </c>
      <c r="Y92">
        <f>MID($E92,3,1)</f>
        <v/>
      </c>
      <c r="Z92">
        <f>MID($E92,4,1)</f>
        <v/>
      </c>
      <c r="AA92">
        <f>MID($E92,5,1)</f>
        <v/>
      </c>
      <c r="AB92">
        <f>MID($E92,6,1)</f>
        <v/>
      </c>
      <c r="AC92">
        <f>MID($E92,7,1)</f>
        <v/>
      </c>
      <c r="AD92">
        <f>MID($E92,8,1)</f>
        <v/>
      </c>
      <c r="AE92">
        <f>MID($E92,9,1)</f>
        <v/>
      </c>
      <c r="AF92">
        <f>MID($E92,10,1)</f>
        <v/>
      </c>
    </row>
    <row r="93">
      <c r="A93" s="4" t="inlineStr">
        <is>
          <t>DN092</t>
        </is>
      </c>
      <c r="B93" s="4" t="n">
        <v>1</v>
      </c>
      <c r="C93" s="4" t="n">
        <v>2</v>
      </c>
      <c r="D93" s="5" t="inlineStr">
        <is>
          <t>CACGTTATAG</t>
        </is>
      </c>
      <c r="E93" s="5" t="inlineStr">
        <is>
          <t>GCTCATTCGG</t>
        </is>
      </c>
      <c r="F93" s="4">
        <f>LEN(SUBSTITUTE(SUBSTITUTE(D93,"A",""),"T",""))</f>
        <v/>
      </c>
      <c r="G93" s="4">
        <f>LEN(SUBSTITUTE(SUBSTITUTE(E93,"A",""),"T",""))</f>
        <v/>
      </c>
      <c r="H93" s="4" t="n">
        <v>-2.89</v>
      </c>
      <c r="I93" s="4" t="n">
        <v>-1.43</v>
      </c>
      <c r="J93" s="4" t="n">
        <v>-2.39</v>
      </c>
      <c r="K93" s="4" t="n">
        <v>-1.39</v>
      </c>
      <c r="M93">
        <f>MID($D93,1,1)</f>
        <v/>
      </c>
      <c r="N93">
        <f>MID($D93,2,1)</f>
        <v/>
      </c>
      <c r="O93">
        <f>MID($D93,3,1)</f>
        <v/>
      </c>
      <c r="P93">
        <f>MID($D93,4,1)</f>
        <v/>
      </c>
      <c r="Q93">
        <f>MID($D93,5,1)</f>
        <v/>
      </c>
      <c r="R93">
        <f>MID($D93,6,1)</f>
        <v/>
      </c>
      <c r="S93">
        <f>MID($D93,7,1)</f>
        <v/>
      </c>
      <c r="T93">
        <f>MID($D93,8,1)</f>
        <v/>
      </c>
      <c r="U93">
        <f>MID($D93,9,1)</f>
        <v/>
      </c>
      <c r="V93">
        <f>MID($D93,10,1)</f>
        <v/>
      </c>
      <c r="W93">
        <f>MID($E93,1,1)</f>
        <v/>
      </c>
      <c r="X93">
        <f>MID($E93,2,1)</f>
        <v/>
      </c>
      <c r="Y93">
        <f>MID($E93,3,1)</f>
        <v/>
      </c>
      <c r="Z93">
        <f>MID($E93,4,1)</f>
        <v/>
      </c>
      <c r="AA93">
        <f>MID($E93,5,1)</f>
        <v/>
      </c>
      <c r="AB93">
        <f>MID($E93,6,1)</f>
        <v/>
      </c>
      <c r="AC93">
        <f>MID($E93,7,1)</f>
        <v/>
      </c>
      <c r="AD93">
        <f>MID($E93,8,1)</f>
        <v/>
      </c>
      <c r="AE93">
        <f>MID($E93,9,1)</f>
        <v/>
      </c>
      <c r="AF93">
        <f>MID($E93,10,1)</f>
        <v/>
      </c>
    </row>
    <row r="94">
      <c r="A94" s="4" t="inlineStr">
        <is>
          <t>DN093</t>
        </is>
      </c>
      <c r="B94" s="4" t="n">
        <v>1</v>
      </c>
      <c r="C94" s="4" t="n">
        <v>2</v>
      </c>
      <c r="D94" s="5" t="inlineStr">
        <is>
          <t>CCAACAAGGC</t>
        </is>
      </c>
      <c r="E94" s="5" t="inlineStr">
        <is>
          <t>TGTCAATTCG</t>
        </is>
      </c>
      <c r="F94" s="4">
        <f>LEN(SUBSTITUTE(SUBSTITUTE(D94,"A",""),"T",""))</f>
        <v/>
      </c>
      <c r="G94" s="4">
        <f>LEN(SUBSTITUTE(SUBSTITUTE(E94,"A",""),"T",""))</f>
        <v/>
      </c>
      <c r="H94" s="4" t="n">
        <v>-3.33</v>
      </c>
      <c r="I94" s="4" t="n">
        <v>-1.73</v>
      </c>
      <c r="J94" s="4" t="n">
        <v>-1.77</v>
      </c>
      <c r="K94" s="4" t="n">
        <v>-0.52</v>
      </c>
      <c r="M94">
        <f>MID($D94,1,1)</f>
        <v/>
      </c>
      <c r="N94">
        <f>MID($D94,2,1)</f>
        <v/>
      </c>
      <c r="O94">
        <f>MID($D94,3,1)</f>
        <v/>
      </c>
      <c r="P94">
        <f>MID($D94,4,1)</f>
        <v/>
      </c>
      <c r="Q94">
        <f>MID($D94,5,1)</f>
        <v/>
      </c>
      <c r="R94">
        <f>MID($D94,6,1)</f>
        <v/>
      </c>
      <c r="S94">
        <f>MID($D94,7,1)</f>
        <v/>
      </c>
      <c r="T94">
        <f>MID($D94,8,1)</f>
        <v/>
      </c>
      <c r="U94">
        <f>MID($D94,9,1)</f>
        <v/>
      </c>
      <c r="V94">
        <f>MID($D94,10,1)</f>
        <v/>
      </c>
      <c r="W94">
        <f>MID($E94,1,1)</f>
        <v/>
      </c>
      <c r="X94">
        <f>MID($E94,2,1)</f>
        <v/>
      </c>
      <c r="Y94">
        <f>MID($E94,3,1)</f>
        <v/>
      </c>
      <c r="Z94">
        <f>MID($E94,4,1)</f>
        <v/>
      </c>
      <c r="AA94">
        <f>MID($E94,5,1)</f>
        <v/>
      </c>
      <c r="AB94">
        <f>MID($E94,6,1)</f>
        <v/>
      </c>
      <c r="AC94">
        <f>MID($E94,7,1)</f>
        <v/>
      </c>
      <c r="AD94">
        <f>MID($E94,8,1)</f>
        <v/>
      </c>
      <c r="AE94">
        <f>MID($E94,9,1)</f>
        <v/>
      </c>
      <c r="AF94">
        <f>MID($E94,10,1)</f>
        <v/>
      </c>
    </row>
    <row r="95">
      <c r="A95" s="4" t="inlineStr">
        <is>
          <t>DN094</t>
        </is>
      </c>
      <c r="B95" s="4" t="n">
        <v>1</v>
      </c>
      <c r="C95" s="4" t="n">
        <v>2</v>
      </c>
      <c r="D95" s="5" t="inlineStr">
        <is>
          <t>AGTCAAGAGT</t>
        </is>
      </c>
      <c r="E95" s="5" t="inlineStr">
        <is>
          <t>GAGTAATAGC</t>
        </is>
      </c>
      <c r="F95" s="4">
        <f>LEN(SUBSTITUTE(SUBSTITUTE(D95,"A",""),"T",""))</f>
        <v/>
      </c>
      <c r="G95" s="4">
        <f>LEN(SUBSTITUTE(SUBSTITUTE(E95,"A",""),"T",""))</f>
        <v/>
      </c>
      <c r="H95" s="4" t="n">
        <v>-3.44</v>
      </c>
      <c r="I95" s="4" t="n">
        <v>-0.58</v>
      </c>
      <c r="J95" s="4" t="n">
        <v>-1.39</v>
      </c>
      <c r="K95" s="4" t="n">
        <v>-0.85</v>
      </c>
      <c r="M95">
        <f>MID($D95,1,1)</f>
        <v/>
      </c>
      <c r="N95">
        <f>MID($D95,2,1)</f>
        <v/>
      </c>
      <c r="O95">
        <f>MID($D95,3,1)</f>
        <v/>
      </c>
      <c r="P95">
        <f>MID($D95,4,1)</f>
        <v/>
      </c>
      <c r="Q95">
        <f>MID($D95,5,1)</f>
        <v/>
      </c>
      <c r="R95">
        <f>MID($D95,6,1)</f>
        <v/>
      </c>
      <c r="S95">
        <f>MID($D95,7,1)</f>
        <v/>
      </c>
      <c r="T95">
        <f>MID($D95,8,1)</f>
        <v/>
      </c>
      <c r="U95">
        <f>MID($D95,9,1)</f>
        <v/>
      </c>
      <c r="V95">
        <f>MID($D95,10,1)</f>
        <v/>
      </c>
      <c r="W95">
        <f>MID($E95,1,1)</f>
        <v/>
      </c>
      <c r="X95">
        <f>MID($E95,2,1)</f>
        <v/>
      </c>
      <c r="Y95">
        <f>MID($E95,3,1)</f>
        <v/>
      </c>
      <c r="Z95">
        <f>MID($E95,4,1)</f>
        <v/>
      </c>
      <c r="AA95">
        <f>MID($E95,5,1)</f>
        <v/>
      </c>
      <c r="AB95">
        <f>MID($E95,6,1)</f>
        <v/>
      </c>
      <c r="AC95">
        <f>MID($E95,7,1)</f>
        <v/>
      </c>
      <c r="AD95">
        <f>MID($E95,8,1)</f>
        <v/>
      </c>
      <c r="AE95">
        <f>MID($E95,9,1)</f>
        <v/>
      </c>
      <c r="AF95">
        <f>MID($E95,10,1)</f>
        <v/>
      </c>
    </row>
    <row r="96">
      <c r="A96" s="4" t="inlineStr">
        <is>
          <t>DN095</t>
        </is>
      </c>
      <c r="B96" s="4" t="n">
        <v>1</v>
      </c>
      <c r="C96" s="4" t="n">
        <v>2</v>
      </c>
      <c r="D96" s="5" t="inlineStr">
        <is>
          <t>TCGCGTGAAC</t>
        </is>
      </c>
      <c r="E96" s="5" t="inlineStr">
        <is>
          <t>GACCATTAAC</t>
        </is>
      </c>
      <c r="F96" s="4">
        <f>LEN(SUBSTITUTE(SUBSTITUTE(D96,"A",""),"T",""))</f>
        <v/>
      </c>
      <c r="G96" s="4">
        <f>LEN(SUBSTITUTE(SUBSTITUTE(E96,"A",""),"T",""))</f>
        <v/>
      </c>
      <c r="H96" s="4" t="n">
        <v>-4.69</v>
      </c>
      <c r="I96" s="4" t="n">
        <v>-1</v>
      </c>
      <c r="J96" s="4" t="n">
        <v>-1.55</v>
      </c>
      <c r="K96" s="4" t="n">
        <v>0.1</v>
      </c>
      <c r="M96">
        <f>MID($D96,1,1)</f>
        <v/>
      </c>
      <c r="N96">
        <f>MID($D96,2,1)</f>
        <v/>
      </c>
      <c r="O96">
        <f>MID($D96,3,1)</f>
        <v/>
      </c>
      <c r="P96">
        <f>MID($D96,4,1)</f>
        <v/>
      </c>
      <c r="Q96">
        <f>MID($D96,5,1)</f>
        <v/>
      </c>
      <c r="R96">
        <f>MID($D96,6,1)</f>
        <v/>
      </c>
      <c r="S96">
        <f>MID($D96,7,1)</f>
        <v/>
      </c>
      <c r="T96">
        <f>MID($D96,8,1)</f>
        <v/>
      </c>
      <c r="U96">
        <f>MID($D96,9,1)</f>
        <v/>
      </c>
      <c r="V96">
        <f>MID($D96,10,1)</f>
        <v/>
      </c>
      <c r="W96">
        <f>MID($E96,1,1)</f>
        <v/>
      </c>
      <c r="X96">
        <f>MID($E96,2,1)</f>
        <v/>
      </c>
      <c r="Y96">
        <f>MID($E96,3,1)</f>
        <v/>
      </c>
      <c r="Z96">
        <f>MID($E96,4,1)</f>
        <v/>
      </c>
      <c r="AA96">
        <f>MID($E96,5,1)</f>
        <v/>
      </c>
      <c r="AB96">
        <f>MID($E96,6,1)</f>
        <v/>
      </c>
      <c r="AC96">
        <f>MID($E96,7,1)</f>
        <v/>
      </c>
      <c r="AD96">
        <f>MID($E96,8,1)</f>
        <v/>
      </c>
      <c r="AE96">
        <f>MID($E96,9,1)</f>
        <v/>
      </c>
      <c r="AF96">
        <f>MID($E96,10,1)</f>
        <v/>
      </c>
    </row>
    <row r="97">
      <c r="A97" s="4" t="inlineStr">
        <is>
          <t>DN096</t>
        </is>
      </c>
      <c r="B97" s="4" t="n">
        <v>1</v>
      </c>
      <c r="C97" s="4" t="n">
        <v>2</v>
      </c>
      <c r="D97" s="5" t="inlineStr">
        <is>
          <t>GATTCAACGC</t>
        </is>
      </c>
      <c r="E97" s="5" t="inlineStr">
        <is>
          <t>GCTAGCTACG</t>
        </is>
      </c>
      <c r="F97" s="4">
        <f>LEN(SUBSTITUTE(SUBSTITUTE(D97,"A",""),"T",""))</f>
        <v/>
      </c>
      <c r="G97" s="4">
        <f>LEN(SUBSTITUTE(SUBSTITUTE(E97,"A",""),"T",""))</f>
        <v/>
      </c>
      <c r="H97" s="4" t="n">
        <v>-3.28</v>
      </c>
      <c r="I97" s="4" t="n">
        <v>-2.08</v>
      </c>
      <c r="J97" s="4" t="n">
        <v>-4.28</v>
      </c>
      <c r="K97" s="4" t="n">
        <v>-1.62</v>
      </c>
      <c r="M97">
        <f>MID($D97,1,1)</f>
        <v/>
      </c>
      <c r="N97">
        <f>MID($D97,2,1)</f>
        <v/>
      </c>
      <c r="O97">
        <f>MID($D97,3,1)</f>
        <v/>
      </c>
      <c r="P97">
        <f>MID($D97,4,1)</f>
        <v/>
      </c>
      <c r="Q97">
        <f>MID($D97,5,1)</f>
        <v/>
      </c>
      <c r="R97">
        <f>MID($D97,6,1)</f>
        <v/>
      </c>
      <c r="S97">
        <f>MID($D97,7,1)</f>
        <v/>
      </c>
      <c r="T97">
        <f>MID($D97,8,1)</f>
        <v/>
      </c>
      <c r="U97">
        <f>MID($D97,9,1)</f>
        <v/>
      </c>
      <c r="V97">
        <f>MID($D97,10,1)</f>
        <v/>
      </c>
      <c r="W97">
        <f>MID($E97,1,1)</f>
        <v/>
      </c>
      <c r="X97">
        <f>MID($E97,2,1)</f>
        <v/>
      </c>
      <c r="Y97">
        <f>MID($E97,3,1)</f>
        <v/>
      </c>
      <c r="Z97">
        <f>MID($E97,4,1)</f>
        <v/>
      </c>
      <c r="AA97">
        <f>MID($E97,5,1)</f>
        <v/>
      </c>
      <c r="AB97">
        <f>MID($E97,6,1)</f>
        <v/>
      </c>
      <c r="AC97">
        <f>MID($E97,7,1)</f>
        <v/>
      </c>
      <c r="AD97">
        <f>MID($E97,8,1)</f>
        <v/>
      </c>
      <c r="AE97">
        <f>MID($E97,9,1)</f>
        <v/>
      </c>
      <c r="AF97">
        <f>MID($E97,10,1)</f>
        <v/>
      </c>
    </row>
    <row r="98">
      <c r="A98" s="4" t="inlineStr">
        <is>
          <t>DN097</t>
        </is>
      </c>
      <c r="B98" s="4" t="n">
        <v>2</v>
      </c>
      <c r="C98" s="4" t="n">
        <v>3</v>
      </c>
      <c r="D98" s="5" t="inlineStr">
        <is>
          <t>GACTACAACT</t>
        </is>
      </c>
      <c r="E98" s="5" t="inlineStr">
        <is>
          <t>CTGTATTCGA</t>
        </is>
      </c>
      <c r="F98" s="4">
        <f>LEN(SUBSTITUTE(SUBSTITUTE(D98,"A",""),"T",""))</f>
        <v/>
      </c>
      <c r="G98" s="4">
        <f>LEN(SUBSTITUTE(SUBSTITUTE(E98,"A",""),"T",""))</f>
        <v/>
      </c>
      <c r="H98" s="4" t="n">
        <v>-1.73</v>
      </c>
      <c r="I98" s="4" t="n">
        <v>-0.79</v>
      </c>
      <c r="J98" s="4" t="n">
        <v>-2.62</v>
      </c>
      <c r="K98" s="4" t="n">
        <v>-0.74</v>
      </c>
      <c r="M98">
        <f>MID($D98,1,1)</f>
        <v/>
      </c>
      <c r="N98">
        <f>MID($D98,2,1)</f>
        <v/>
      </c>
      <c r="O98">
        <f>MID($D98,3,1)</f>
        <v/>
      </c>
      <c r="P98">
        <f>MID($D98,4,1)</f>
        <v/>
      </c>
      <c r="Q98">
        <f>MID($D98,5,1)</f>
        <v/>
      </c>
      <c r="R98">
        <f>MID($D98,6,1)</f>
        <v/>
      </c>
      <c r="S98">
        <f>MID($D98,7,1)</f>
        <v/>
      </c>
      <c r="T98">
        <f>MID($D98,8,1)</f>
        <v/>
      </c>
      <c r="U98">
        <f>MID($D98,9,1)</f>
        <v/>
      </c>
      <c r="V98">
        <f>MID($D98,10,1)</f>
        <v/>
      </c>
      <c r="W98">
        <f>MID($E98,1,1)</f>
        <v/>
      </c>
      <c r="X98">
        <f>MID($E98,2,1)</f>
        <v/>
      </c>
      <c r="Y98">
        <f>MID($E98,3,1)</f>
        <v/>
      </c>
      <c r="Z98">
        <f>MID($E98,4,1)</f>
        <v/>
      </c>
      <c r="AA98">
        <f>MID($E98,5,1)</f>
        <v/>
      </c>
      <c r="AB98">
        <f>MID($E98,6,1)</f>
        <v/>
      </c>
      <c r="AC98">
        <f>MID($E98,7,1)</f>
        <v/>
      </c>
      <c r="AD98">
        <f>MID($E98,8,1)</f>
        <v/>
      </c>
      <c r="AE98">
        <f>MID($E98,9,1)</f>
        <v/>
      </c>
      <c r="AF98">
        <f>MID($E98,10,1)</f>
        <v/>
      </c>
    </row>
    <row r="99">
      <c r="A99" s="4" t="inlineStr">
        <is>
          <t>DN098</t>
        </is>
      </c>
      <c r="B99" s="4" t="n">
        <v>2</v>
      </c>
      <c r="C99" s="4" t="n">
        <v>3</v>
      </c>
      <c r="D99" s="5" t="inlineStr">
        <is>
          <t>AGGTTGGTTA</t>
        </is>
      </c>
      <c r="E99" s="5" t="inlineStr">
        <is>
          <t>CACTCTGACC</t>
        </is>
      </c>
      <c r="F99" s="4">
        <f>LEN(SUBSTITUTE(SUBSTITUTE(D99,"A",""),"T",""))</f>
        <v/>
      </c>
      <c r="G99" s="4">
        <f>LEN(SUBSTITUTE(SUBSTITUTE(E99,"A",""),"T",""))</f>
        <v/>
      </c>
      <c r="H99" s="4" t="n">
        <v>-3.3</v>
      </c>
      <c r="I99" s="4" t="n">
        <v>-1.57</v>
      </c>
      <c r="J99" s="4" t="n">
        <v>-3.3</v>
      </c>
      <c r="K99" s="4" t="n">
        <v>-0.5</v>
      </c>
      <c r="M99">
        <f>MID($D99,1,1)</f>
        <v/>
      </c>
      <c r="N99">
        <f>MID($D99,2,1)</f>
        <v/>
      </c>
      <c r="O99">
        <f>MID($D99,3,1)</f>
        <v/>
      </c>
      <c r="P99">
        <f>MID($D99,4,1)</f>
        <v/>
      </c>
      <c r="Q99">
        <f>MID($D99,5,1)</f>
        <v/>
      </c>
      <c r="R99">
        <f>MID($D99,6,1)</f>
        <v/>
      </c>
      <c r="S99">
        <f>MID($D99,7,1)</f>
        <v/>
      </c>
      <c r="T99">
        <f>MID($D99,8,1)</f>
        <v/>
      </c>
      <c r="U99">
        <f>MID($D99,9,1)</f>
        <v/>
      </c>
      <c r="V99">
        <f>MID($D99,10,1)</f>
        <v/>
      </c>
      <c r="W99">
        <f>MID($E99,1,1)</f>
        <v/>
      </c>
      <c r="X99">
        <f>MID($E99,2,1)</f>
        <v/>
      </c>
      <c r="Y99">
        <f>MID($E99,3,1)</f>
        <v/>
      </c>
      <c r="Z99">
        <f>MID($E99,4,1)</f>
        <v/>
      </c>
      <c r="AA99">
        <f>MID($E99,5,1)</f>
        <v/>
      </c>
      <c r="AB99">
        <f>MID($E99,6,1)</f>
        <v/>
      </c>
      <c r="AC99">
        <f>MID($E99,7,1)</f>
        <v/>
      </c>
      <c r="AD99">
        <f>MID($E99,8,1)</f>
        <v/>
      </c>
      <c r="AE99">
        <f>MID($E99,9,1)</f>
        <v/>
      </c>
      <c r="AF99">
        <f>MID($E99,10,1)</f>
        <v/>
      </c>
    </row>
    <row r="100">
      <c r="A100" s="4" t="inlineStr">
        <is>
          <t>DN099</t>
        </is>
      </c>
      <c r="B100" s="4" t="n">
        <v>2</v>
      </c>
      <c r="C100" s="4" t="n">
        <v>3</v>
      </c>
      <c r="D100" s="5" t="inlineStr">
        <is>
          <t>TGGATCCGAC</t>
        </is>
      </c>
      <c r="E100" s="5" t="inlineStr">
        <is>
          <t>AAGTTGTTGC</t>
        </is>
      </c>
      <c r="F100" s="4">
        <f>LEN(SUBSTITUTE(SUBSTITUTE(D100,"A",""),"T",""))</f>
        <v/>
      </c>
      <c r="G100" s="4">
        <f>LEN(SUBSTITUTE(SUBSTITUTE(E100,"A",""),"T",""))</f>
        <v/>
      </c>
      <c r="H100" s="4" t="n">
        <v>-3.24</v>
      </c>
      <c r="I100" s="4" t="n">
        <v>-1.38</v>
      </c>
      <c r="J100" s="4" t="n">
        <v>-1.93</v>
      </c>
      <c r="K100" s="4" t="n">
        <v>-0.85</v>
      </c>
      <c r="M100">
        <f>MID($D100,1,1)</f>
        <v/>
      </c>
      <c r="N100">
        <f>MID($D100,2,1)</f>
        <v/>
      </c>
      <c r="O100">
        <f>MID($D100,3,1)</f>
        <v/>
      </c>
      <c r="P100">
        <f>MID($D100,4,1)</f>
        <v/>
      </c>
      <c r="Q100">
        <f>MID($D100,5,1)</f>
        <v/>
      </c>
      <c r="R100">
        <f>MID($D100,6,1)</f>
        <v/>
      </c>
      <c r="S100">
        <f>MID($D100,7,1)</f>
        <v/>
      </c>
      <c r="T100">
        <f>MID($D100,8,1)</f>
        <v/>
      </c>
      <c r="U100">
        <f>MID($D100,9,1)</f>
        <v/>
      </c>
      <c r="V100">
        <f>MID($D100,10,1)</f>
        <v/>
      </c>
      <c r="W100">
        <f>MID($E100,1,1)</f>
        <v/>
      </c>
      <c r="X100">
        <f>MID($E100,2,1)</f>
        <v/>
      </c>
      <c r="Y100">
        <f>MID($E100,3,1)</f>
        <v/>
      </c>
      <c r="Z100">
        <f>MID($E100,4,1)</f>
        <v/>
      </c>
      <c r="AA100">
        <f>MID($E100,5,1)</f>
        <v/>
      </c>
      <c r="AB100">
        <f>MID($E100,6,1)</f>
        <v/>
      </c>
      <c r="AC100">
        <f>MID($E100,7,1)</f>
        <v/>
      </c>
      <c r="AD100">
        <f>MID($E100,8,1)</f>
        <v/>
      </c>
      <c r="AE100">
        <f>MID($E100,9,1)</f>
        <v/>
      </c>
      <c r="AF100">
        <f>MID($E100,10,1)</f>
        <v/>
      </c>
    </row>
    <row r="101">
      <c r="A101" s="4" t="inlineStr">
        <is>
          <t>DN100</t>
        </is>
      </c>
      <c r="B101" s="4" t="n">
        <v>2</v>
      </c>
      <c r="C101" s="4" t="n">
        <v>3</v>
      </c>
      <c r="D101" s="5" t="inlineStr">
        <is>
          <t>GAGCGTAGCT</t>
        </is>
      </c>
      <c r="E101" s="5" t="inlineStr">
        <is>
          <t>CAGGTAACTT</t>
        </is>
      </c>
      <c r="F101" s="4">
        <f>LEN(SUBSTITUTE(SUBSTITUTE(D101,"A",""),"T",""))</f>
        <v/>
      </c>
      <c r="G101" s="4">
        <f>LEN(SUBSTITUTE(SUBSTITUTE(E101,"A",""),"T",""))</f>
        <v/>
      </c>
      <c r="H101" s="4" t="n">
        <v>-3.02</v>
      </c>
      <c r="I101" s="4" t="n">
        <v>-1.48</v>
      </c>
      <c r="J101" s="4" t="n">
        <v>-2.37</v>
      </c>
      <c r="K101" s="4" t="n">
        <v>-0.99</v>
      </c>
      <c r="M101">
        <f>MID($D101,1,1)</f>
        <v/>
      </c>
      <c r="N101">
        <f>MID($D101,2,1)</f>
        <v/>
      </c>
      <c r="O101">
        <f>MID($D101,3,1)</f>
        <v/>
      </c>
      <c r="P101">
        <f>MID($D101,4,1)</f>
        <v/>
      </c>
      <c r="Q101">
        <f>MID($D101,5,1)</f>
        <v/>
      </c>
      <c r="R101">
        <f>MID($D101,6,1)</f>
        <v/>
      </c>
      <c r="S101">
        <f>MID($D101,7,1)</f>
        <v/>
      </c>
      <c r="T101">
        <f>MID($D101,8,1)</f>
        <v/>
      </c>
      <c r="U101">
        <f>MID($D101,9,1)</f>
        <v/>
      </c>
      <c r="V101">
        <f>MID($D101,10,1)</f>
        <v/>
      </c>
      <c r="W101">
        <f>MID($E101,1,1)</f>
        <v/>
      </c>
      <c r="X101">
        <f>MID($E101,2,1)</f>
        <v/>
      </c>
      <c r="Y101">
        <f>MID($E101,3,1)</f>
        <v/>
      </c>
      <c r="Z101">
        <f>MID($E101,4,1)</f>
        <v/>
      </c>
      <c r="AA101">
        <f>MID($E101,5,1)</f>
        <v/>
      </c>
      <c r="AB101">
        <f>MID($E101,6,1)</f>
        <v/>
      </c>
      <c r="AC101">
        <f>MID($E101,7,1)</f>
        <v/>
      </c>
      <c r="AD101">
        <f>MID($E101,8,1)</f>
        <v/>
      </c>
      <c r="AE101">
        <f>MID($E101,9,1)</f>
        <v/>
      </c>
      <c r="AF101">
        <f>MID($E101,10,1)</f>
        <v/>
      </c>
    </row>
    <row r="102">
      <c r="A102" s="4" t="inlineStr">
        <is>
          <t>DN101</t>
        </is>
      </c>
      <c r="B102" s="4" t="n">
        <v>2</v>
      </c>
      <c r="C102" s="4" t="n">
        <v>3</v>
      </c>
      <c r="D102" s="5" t="inlineStr">
        <is>
          <t>AATTGCATCG</t>
        </is>
      </c>
      <c r="E102" s="5" t="inlineStr">
        <is>
          <t>ACGCACGATC</t>
        </is>
      </c>
      <c r="F102" s="4">
        <f>LEN(SUBSTITUTE(SUBSTITUTE(D102,"A",""),"T",""))</f>
        <v/>
      </c>
      <c r="G102" s="4">
        <f>LEN(SUBSTITUTE(SUBSTITUTE(E102,"A",""),"T",""))</f>
        <v/>
      </c>
      <c r="H102" s="4" t="n">
        <v>-1.75</v>
      </c>
      <c r="I102" s="4" t="n">
        <v>-0.6</v>
      </c>
      <c r="J102" s="4" t="n">
        <v>-4.17</v>
      </c>
      <c r="K102" s="4" t="n">
        <v>-1.64</v>
      </c>
      <c r="M102">
        <f>MID($D102,1,1)</f>
        <v/>
      </c>
      <c r="N102">
        <f>MID($D102,2,1)</f>
        <v/>
      </c>
      <c r="O102">
        <f>MID($D102,3,1)</f>
        <v/>
      </c>
      <c r="P102">
        <f>MID($D102,4,1)</f>
        <v/>
      </c>
      <c r="Q102">
        <f>MID($D102,5,1)</f>
        <v/>
      </c>
      <c r="R102">
        <f>MID($D102,6,1)</f>
        <v/>
      </c>
      <c r="S102">
        <f>MID($D102,7,1)</f>
        <v/>
      </c>
      <c r="T102">
        <f>MID($D102,8,1)</f>
        <v/>
      </c>
      <c r="U102">
        <f>MID($D102,9,1)</f>
        <v/>
      </c>
      <c r="V102">
        <f>MID($D102,10,1)</f>
        <v/>
      </c>
      <c r="W102">
        <f>MID($E102,1,1)</f>
        <v/>
      </c>
      <c r="X102">
        <f>MID($E102,2,1)</f>
        <v/>
      </c>
      <c r="Y102">
        <f>MID($E102,3,1)</f>
        <v/>
      </c>
      <c r="Z102">
        <f>MID($E102,4,1)</f>
        <v/>
      </c>
      <c r="AA102">
        <f>MID($E102,5,1)</f>
        <v/>
      </c>
      <c r="AB102">
        <f>MID($E102,6,1)</f>
        <v/>
      </c>
      <c r="AC102">
        <f>MID($E102,7,1)</f>
        <v/>
      </c>
      <c r="AD102">
        <f>MID($E102,8,1)</f>
        <v/>
      </c>
      <c r="AE102">
        <f>MID($E102,9,1)</f>
        <v/>
      </c>
      <c r="AF102">
        <f>MID($E102,10,1)</f>
        <v/>
      </c>
    </row>
    <row r="103">
      <c r="A103" s="4" t="inlineStr">
        <is>
          <t>DN102</t>
        </is>
      </c>
      <c r="B103" s="4" t="n">
        <v>2</v>
      </c>
      <c r="C103" s="4" t="n">
        <v>3</v>
      </c>
      <c r="D103" s="5" t="inlineStr">
        <is>
          <t>CTATCCTCGG</t>
        </is>
      </c>
      <c r="E103" s="5" t="inlineStr">
        <is>
          <t>GTGCCGCATA</t>
        </is>
      </c>
      <c r="F103" s="4">
        <f>LEN(SUBSTITUTE(SUBSTITUTE(D103,"A",""),"T",""))</f>
        <v/>
      </c>
      <c r="G103" s="4">
        <f>LEN(SUBSTITUTE(SUBSTITUTE(E103,"A",""),"T",""))</f>
        <v/>
      </c>
      <c r="H103" s="4" t="n">
        <v>-3.77</v>
      </c>
      <c r="I103" s="4" t="n">
        <v>-1.39</v>
      </c>
      <c r="J103" s="4" t="n">
        <v>-3.09</v>
      </c>
      <c r="K103" s="4" t="n">
        <v>-1.43</v>
      </c>
      <c r="M103">
        <f>MID($D103,1,1)</f>
        <v/>
      </c>
      <c r="N103">
        <f>MID($D103,2,1)</f>
        <v/>
      </c>
      <c r="O103">
        <f>MID($D103,3,1)</f>
        <v/>
      </c>
      <c r="P103">
        <f>MID($D103,4,1)</f>
        <v/>
      </c>
      <c r="Q103">
        <f>MID($D103,5,1)</f>
        <v/>
      </c>
      <c r="R103">
        <f>MID($D103,6,1)</f>
        <v/>
      </c>
      <c r="S103">
        <f>MID($D103,7,1)</f>
        <v/>
      </c>
      <c r="T103">
        <f>MID($D103,8,1)</f>
        <v/>
      </c>
      <c r="U103">
        <f>MID($D103,9,1)</f>
        <v/>
      </c>
      <c r="V103">
        <f>MID($D103,10,1)</f>
        <v/>
      </c>
      <c r="W103">
        <f>MID($E103,1,1)</f>
        <v/>
      </c>
      <c r="X103">
        <f>MID($E103,2,1)</f>
        <v/>
      </c>
      <c r="Y103">
        <f>MID($E103,3,1)</f>
        <v/>
      </c>
      <c r="Z103">
        <f>MID($E103,4,1)</f>
        <v/>
      </c>
      <c r="AA103">
        <f>MID($E103,5,1)</f>
        <v/>
      </c>
      <c r="AB103">
        <f>MID($E103,6,1)</f>
        <v/>
      </c>
      <c r="AC103">
        <f>MID($E103,7,1)</f>
        <v/>
      </c>
      <c r="AD103">
        <f>MID($E103,8,1)</f>
        <v/>
      </c>
      <c r="AE103">
        <f>MID($E103,9,1)</f>
        <v/>
      </c>
      <c r="AF103">
        <f>MID($E103,10,1)</f>
        <v/>
      </c>
    </row>
    <row r="104">
      <c r="A104" s="4" t="inlineStr">
        <is>
          <t>DN103</t>
        </is>
      </c>
      <c r="B104" s="4" t="n">
        <v>2</v>
      </c>
      <c r="C104" s="4" t="n">
        <v>3</v>
      </c>
      <c r="D104" s="5" t="inlineStr">
        <is>
          <t>GTGATTGACA</t>
        </is>
      </c>
      <c r="E104" s="5" t="inlineStr">
        <is>
          <t>ATCCAAGCTA</t>
        </is>
      </c>
      <c r="F104" s="4">
        <f>LEN(SUBSTITUTE(SUBSTITUTE(D104,"A",""),"T",""))</f>
        <v/>
      </c>
      <c r="G104" s="4">
        <f>LEN(SUBSTITUTE(SUBSTITUTE(E104,"A",""),"T",""))</f>
        <v/>
      </c>
      <c r="H104" s="4" t="n">
        <v>-1.59</v>
      </c>
      <c r="I104" s="4" t="n">
        <v>-0.98</v>
      </c>
      <c r="J104" s="4" t="n">
        <v>-1.75</v>
      </c>
      <c r="K104" s="4" t="n">
        <v>-1.34</v>
      </c>
      <c r="M104">
        <f>MID($D104,1,1)</f>
        <v/>
      </c>
      <c r="N104">
        <f>MID($D104,2,1)</f>
        <v/>
      </c>
      <c r="O104">
        <f>MID($D104,3,1)</f>
        <v/>
      </c>
      <c r="P104">
        <f>MID($D104,4,1)</f>
        <v/>
      </c>
      <c r="Q104">
        <f>MID($D104,5,1)</f>
        <v/>
      </c>
      <c r="R104">
        <f>MID($D104,6,1)</f>
        <v/>
      </c>
      <c r="S104">
        <f>MID($D104,7,1)</f>
        <v/>
      </c>
      <c r="T104">
        <f>MID($D104,8,1)</f>
        <v/>
      </c>
      <c r="U104">
        <f>MID($D104,9,1)</f>
        <v/>
      </c>
      <c r="V104">
        <f>MID($D104,10,1)</f>
        <v/>
      </c>
      <c r="W104">
        <f>MID($E104,1,1)</f>
        <v/>
      </c>
      <c r="X104">
        <f>MID($E104,2,1)</f>
        <v/>
      </c>
      <c r="Y104">
        <f>MID($E104,3,1)</f>
        <v/>
      </c>
      <c r="Z104">
        <f>MID($E104,4,1)</f>
        <v/>
      </c>
      <c r="AA104">
        <f>MID($E104,5,1)</f>
        <v/>
      </c>
      <c r="AB104">
        <f>MID($E104,6,1)</f>
        <v/>
      </c>
      <c r="AC104">
        <f>MID($E104,7,1)</f>
        <v/>
      </c>
      <c r="AD104">
        <f>MID($E104,8,1)</f>
        <v/>
      </c>
      <c r="AE104">
        <f>MID($E104,9,1)</f>
        <v/>
      </c>
      <c r="AF104">
        <f>MID($E104,10,1)</f>
        <v/>
      </c>
    </row>
    <row r="105">
      <c r="A105" s="4" t="inlineStr">
        <is>
          <t>DN104</t>
        </is>
      </c>
      <c r="B105" s="4" t="n">
        <v>2</v>
      </c>
      <c r="C105" s="4" t="n">
        <v>3</v>
      </c>
      <c r="D105" s="5" t="inlineStr">
        <is>
          <t>CTACGCCATG</t>
        </is>
      </c>
      <c r="E105" s="5" t="inlineStr">
        <is>
          <t>GCAACAGCAG</t>
        </is>
      </c>
      <c r="F105" s="4">
        <f>LEN(SUBSTITUTE(SUBSTITUTE(D105,"A",""),"T",""))</f>
        <v/>
      </c>
      <c r="G105" s="4">
        <f>LEN(SUBSTITUTE(SUBSTITUTE(E105,"A",""),"T",""))</f>
        <v/>
      </c>
      <c r="H105" s="4" t="n">
        <v>-3.95</v>
      </c>
      <c r="I105" s="4" t="n">
        <v>-1.55</v>
      </c>
      <c r="J105" s="4" t="n">
        <v>-3.37</v>
      </c>
      <c r="K105" s="4" t="n">
        <v>-2.02</v>
      </c>
      <c r="M105">
        <f>MID($D105,1,1)</f>
        <v/>
      </c>
      <c r="N105">
        <f>MID($D105,2,1)</f>
        <v/>
      </c>
      <c r="O105">
        <f>MID($D105,3,1)</f>
        <v/>
      </c>
      <c r="P105">
        <f>MID($D105,4,1)</f>
        <v/>
      </c>
      <c r="Q105">
        <f>MID($D105,5,1)</f>
        <v/>
      </c>
      <c r="R105">
        <f>MID($D105,6,1)</f>
        <v/>
      </c>
      <c r="S105">
        <f>MID($D105,7,1)</f>
        <v/>
      </c>
      <c r="T105">
        <f>MID($D105,8,1)</f>
        <v/>
      </c>
      <c r="U105">
        <f>MID($D105,9,1)</f>
        <v/>
      </c>
      <c r="V105">
        <f>MID($D105,10,1)</f>
        <v/>
      </c>
      <c r="W105">
        <f>MID($E105,1,1)</f>
        <v/>
      </c>
      <c r="X105">
        <f>MID($E105,2,1)</f>
        <v/>
      </c>
      <c r="Y105">
        <f>MID($E105,3,1)</f>
        <v/>
      </c>
      <c r="Z105">
        <f>MID($E105,4,1)</f>
        <v/>
      </c>
      <c r="AA105">
        <f>MID($E105,5,1)</f>
        <v/>
      </c>
      <c r="AB105">
        <f>MID($E105,6,1)</f>
        <v/>
      </c>
      <c r="AC105">
        <f>MID($E105,7,1)</f>
        <v/>
      </c>
      <c r="AD105">
        <f>MID($E105,8,1)</f>
        <v/>
      </c>
      <c r="AE105">
        <f>MID($E105,9,1)</f>
        <v/>
      </c>
      <c r="AF105">
        <f>MID($E105,10,1)</f>
        <v/>
      </c>
    </row>
    <row r="106">
      <c r="A106" s="4" t="inlineStr">
        <is>
          <t>DN105</t>
        </is>
      </c>
      <c r="B106" s="4" t="n">
        <v>2</v>
      </c>
      <c r="C106" s="4" t="n">
        <v>3</v>
      </c>
      <c r="D106" s="5" t="inlineStr">
        <is>
          <t>GAGCCTTAGG</t>
        </is>
      </c>
      <c r="E106" s="5" t="inlineStr">
        <is>
          <t>CATTCCTCAT</t>
        </is>
      </c>
      <c r="F106" s="4">
        <f>LEN(SUBSTITUTE(SUBSTITUTE(D106,"A",""),"T",""))</f>
        <v/>
      </c>
      <c r="G106" s="4">
        <f>LEN(SUBSTITUTE(SUBSTITUTE(E106,"A",""),"T",""))</f>
        <v/>
      </c>
      <c r="H106" s="4" t="n">
        <v>-2.98</v>
      </c>
      <c r="I106" s="4" t="n">
        <v>-1.29</v>
      </c>
      <c r="J106" s="4" t="n">
        <v>-2.59</v>
      </c>
      <c r="K106" s="4" t="n">
        <v>0</v>
      </c>
      <c r="M106">
        <f>MID($D106,1,1)</f>
        <v/>
      </c>
      <c r="N106">
        <f>MID($D106,2,1)</f>
        <v/>
      </c>
      <c r="O106">
        <f>MID($D106,3,1)</f>
        <v/>
      </c>
      <c r="P106">
        <f>MID($D106,4,1)</f>
        <v/>
      </c>
      <c r="Q106">
        <f>MID($D106,5,1)</f>
        <v/>
      </c>
      <c r="R106">
        <f>MID($D106,6,1)</f>
        <v/>
      </c>
      <c r="S106">
        <f>MID($D106,7,1)</f>
        <v/>
      </c>
      <c r="T106">
        <f>MID($D106,8,1)</f>
        <v/>
      </c>
      <c r="U106">
        <f>MID($D106,9,1)</f>
        <v/>
      </c>
      <c r="V106">
        <f>MID($D106,10,1)</f>
        <v/>
      </c>
      <c r="W106">
        <f>MID($E106,1,1)</f>
        <v/>
      </c>
      <c r="X106">
        <f>MID($E106,2,1)</f>
        <v/>
      </c>
      <c r="Y106">
        <f>MID($E106,3,1)</f>
        <v/>
      </c>
      <c r="Z106">
        <f>MID($E106,4,1)</f>
        <v/>
      </c>
      <c r="AA106">
        <f>MID($E106,5,1)</f>
        <v/>
      </c>
      <c r="AB106">
        <f>MID($E106,6,1)</f>
        <v/>
      </c>
      <c r="AC106">
        <f>MID($E106,7,1)</f>
        <v/>
      </c>
      <c r="AD106">
        <f>MID($E106,8,1)</f>
        <v/>
      </c>
      <c r="AE106">
        <f>MID($E106,9,1)</f>
        <v/>
      </c>
      <c r="AF106">
        <f>MID($E106,10,1)</f>
        <v/>
      </c>
    </row>
    <row r="107">
      <c r="A107" s="4" t="inlineStr">
        <is>
          <t>DN106</t>
        </is>
      </c>
      <c r="B107" s="4" t="n">
        <v>2</v>
      </c>
      <c r="C107" s="4" t="n">
        <v>3</v>
      </c>
      <c r="D107" s="5" t="inlineStr">
        <is>
          <t>CGGAGGTAGT</t>
        </is>
      </c>
      <c r="E107" s="5" t="inlineStr">
        <is>
          <t>CCGAGTACAC</t>
        </is>
      </c>
      <c r="F107" s="4">
        <f>LEN(SUBSTITUTE(SUBSTITUTE(D107,"A",""),"T",""))</f>
        <v/>
      </c>
      <c r="G107" s="4">
        <f>LEN(SUBSTITUTE(SUBSTITUTE(E107,"A",""),"T",""))</f>
        <v/>
      </c>
      <c r="H107" s="4" t="n">
        <v>-3</v>
      </c>
      <c r="I107" s="4" t="n">
        <v>-3</v>
      </c>
      <c r="J107" s="4" t="n">
        <v>-2.79</v>
      </c>
      <c r="K107" s="4" t="n">
        <v>-0.6899999999999999</v>
      </c>
      <c r="M107">
        <f>MID($D107,1,1)</f>
        <v/>
      </c>
      <c r="N107">
        <f>MID($D107,2,1)</f>
        <v/>
      </c>
      <c r="O107">
        <f>MID($D107,3,1)</f>
        <v/>
      </c>
      <c r="P107">
        <f>MID($D107,4,1)</f>
        <v/>
      </c>
      <c r="Q107">
        <f>MID($D107,5,1)</f>
        <v/>
      </c>
      <c r="R107">
        <f>MID($D107,6,1)</f>
        <v/>
      </c>
      <c r="S107">
        <f>MID($D107,7,1)</f>
        <v/>
      </c>
      <c r="T107">
        <f>MID($D107,8,1)</f>
        <v/>
      </c>
      <c r="U107">
        <f>MID($D107,9,1)</f>
        <v/>
      </c>
      <c r="V107">
        <f>MID($D107,10,1)</f>
        <v/>
      </c>
      <c r="W107">
        <f>MID($E107,1,1)</f>
        <v/>
      </c>
      <c r="X107">
        <f>MID($E107,2,1)</f>
        <v/>
      </c>
      <c r="Y107">
        <f>MID($E107,3,1)</f>
        <v/>
      </c>
      <c r="Z107">
        <f>MID($E107,4,1)</f>
        <v/>
      </c>
      <c r="AA107">
        <f>MID($E107,5,1)</f>
        <v/>
      </c>
      <c r="AB107">
        <f>MID($E107,6,1)</f>
        <v/>
      </c>
      <c r="AC107">
        <f>MID($E107,7,1)</f>
        <v/>
      </c>
      <c r="AD107">
        <f>MID($E107,8,1)</f>
        <v/>
      </c>
      <c r="AE107">
        <f>MID($E107,9,1)</f>
        <v/>
      </c>
      <c r="AF107">
        <f>MID($E107,10,1)</f>
        <v/>
      </c>
    </row>
    <row r="108">
      <c r="A108" s="4" t="inlineStr">
        <is>
          <t>DN107</t>
        </is>
      </c>
      <c r="B108" s="4" t="n">
        <v>2</v>
      </c>
      <c r="C108" s="4" t="n">
        <v>3</v>
      </c>
      <c r="D108" s="5" t="inlineStr">
        <is>
          <t>GCATATCTGA</t>
        </is>
      </c>
      <c r="E108" s="5" t="inlineStr">
        <is>
          <t>TAAGACCGCC</t>
        </is>
      </c>
      <c r="F108" s="4">
        <f>LEN(SUBSTITUTE(SUBSTITUTE(D108,"A",""),"T",""))</f>
        <v/>
      </c>
      <c r="G108" s="4">
        <f>LEN(SUBSTITUTE(SUBSTITUTE(E108,"A",""),"T",""))</f>
        <v/>
      </c>
      <c r="H108" s="4" t="n">
        <v>-1.7</v>
      </c>
      <c r="I108" s="4" t="n">
        <v>-0.29</v>
      </c>
      <c r="J108" s="4" t="n">
        <v>-3.6</v>
      </c>
      <c r="K108" s="4" t="n">
        <v>-1.11</v>
      </c>
      <c r="M108">
        <f>MID($D108,1,1)</f>
        <v/>
      </c>
      <c r="N108">
        <f>MID($D108,2,1)</f>
        <v/>
      </c>
      <c r="O108">
        <f>MID($D108,3,1)</f>
        <v/>
      </c>
      <c r="P108">
        <f>MID($D108,4,1)</f>
        <v/>
      </c>
      <c r="Q108">
        <f>MID($D108,5,1)</f>
        <v/>
      </c>
      <c r="R108">
        <f>MID($D108,6,1)</f>
        <v/>
      </c>
      <c r="S108">
        <f>MID($D108,7,1)</f>
        <v/>
      </c>
      <c r="T108">
        <f>MID($D108,8,1)</f>
        <v/>
      </c>
      <c r="U108">
        <f>MID($D108,9,1)</f>
        <v/>
      </c>
      <c r="V108">
        <f>MID($D108,10,1)</f>
        <v/>
      </c>
      <c r="W108">
        <f>MID($E108,1,1)</f>
        <v/>
      </c>
      <c r="X108">
        <f>MID($E108,2,1)</f>
        <v/>
      </c>
      <c r="Y108">
        <f>MID($E108,3,1)</f>
        <v/>
      </c>
      <c r="Z108">
        <f>MID($E108,4,1)</f>
        <v/>
      </c>
      <c r="AA108">
        <f>MID($E108,5,1)</f>
        <v/>
      </c>
      <c r="AB108">
        <f>MID($E108,6,1)</f>
        <v/>
      </c>
      <c r="AC108">
        <f>MID($E108,7,1)</f>
        <v/>
      </c>
      <c r="AD108">
        <f>MID($E108,8,1)</f>
        <v/>
      </c>
      <c r="AE108">
        <f>MID($E108,9,1)</f>
        <v/>
      </c>
      <c r="AF108">
        <f>MID($E108,10,1)</f>
        <v/>
      </c>
    </row>
    <row r="109">
      <c r="A109" s="4" t="inlineStr">
        <is>
          <t>DN108</t>
        </is>
      </c>
      <c r="B109" s="4" t="n">
        <v>2</v>
      </c>
      <c r="C109" s="4" t="n">
        <v>3</v>
      </c>
      <c r="D109" s="5" t="inlineStr">
        <is>
          <t>ACGACTTCGC</t>
        </is>
      </c>
      <c r="E109" s="5" t="inlineStr">
        <is>
          <t>CCTAACCGGT</t>
        </is>
      </c>
      <c r="F109" s="4">
        <f>LEN(SUBSTITUTE(SUBSTITUTE(D109,"A",""),"T",""))</f>
        <v/>
      </c>
      <c r="G109" s="4">
        <f>LEN(SUBSTITUTE(SUBSTITUTE(E109,"A",""),"T",""))</f>
        <v/>
      </c>
      <c r="H109" s="4" t="n">
        <v>-4.03</v>
      </c>
      <c r="I109" s="4" t="n">
        <v>-1.7</v>
      </c>
      <c r="J109" s="4" t="n">
        <v>-3.34</v>
      </c>
      <c r="K109" s="4" t="n">
        <v>-1.29</v>
      </c>
      <c r="M109">
        <f>MID($D109,1,1)</f>
        <v/>
      </c>
      <c r="N109">
        <f>MID($D109,2,1)</f>
        <v/>
      </c>
      <c r="O109">
        <f>MID($D109,3,1)</f>
        <v/>
      </c>
      <c r="P109">
        <f>MID($D109,4,1)</f>
        <v/>
      </c>
      <c r="Q109">
        <f>MID($D109,5,1)</f>
        <v/>
      </c>
      <c r="R109">
        <f>MID($D109,6,1)</f>
        <v/>
      </c>
      <c r="S109">
        <f>MID($D109,7,1)</f>
        <v/>
      </c>
      <c r="T109">
        <f>MID($D109,8,1)</f>
        <v/>
      </c>
      <c r="U109">
        <f>MID($D109,9,1)</f>
        <v/>
      </c>
      <c r="V109">
        <f>MID($D109,10,1)</f>
        <v/>
      </c>
      <c r="W109">
        <f>MID($E109,1,1)</f>
        <v/>
      </c>
      <c r="X109">
        <f>MID($E109,2,1)</f>
        <v/>
      </c>
      <c r="Y109">
        <f>MID($E109,3,1)</f>
        <v/>
      </c>
      <c r="Z109">
        <f>MID($E109,4,1)</f>
        <v/>
      </c>
      <c r="AA109">
        <f>MID($E109,5,1)</f>
        <v/>
      </c>
      <c r="AB109">
        <f>MID($E109,6,1)</f>
        <v/>
      </c>
      <c r="AC109">
        <f>MID($E109,7,1)</f>
        <v/>
      </c>
      <c r="AD109">
        <f>MID($E109,8,1)</f>
        <v/>
      </c>
      <c r="AE109">
        <f>MID($E109,9,1)</f>
        <v/>
      </c>
      <c r="AF109">
        <f>MID($E109,10,1)</f>
        <v/>
      </c>
    </row>
    <row r="110">
      <c r="A110" s="4" t="inlineStr">
        <is>
          <t>DN109</t>
        </is>
      </c>
      <c r="B110" s="4" t="n">
        <v>2</v>
      </c>
      <c r="C110" s="4" t="n">
        <v>3</v>
      </c>
      <c r="D110" s="5" t="inlineStr">
        <is>
          <t>TTCCAGTGTT</t>
        </is>
      </c>
      <c r="E110" s="5" t="inlineStr">
        <is>
          <t>GCGCTACTCT</t>
        </is>
      </c>
      <c r="F110" s="4">
        <f>LEN(SUBSTITUTE(SUBSTITUTE(D110,"A",""),"T",""))</f>
        <v/>
      </c>
      <c r="G110" s="4">
        <f>LEN(SUBSTITUTE(SUBSTITUTE(E110,"A",""),"T",""))</f>
        <v/>
      </c>
      <c r="H110" s="4" t="n">
        <v>-2.02</v>
      </c>
      <c r="I110" s="4" t="n">
        <v>-1.4</v>
      </c>
      <c r="J110" s="4" t="n">
        <v>-3.07</v>
      </c>
      <c r="K110" s="4" t="n">
        <v>-0.66</v>
      </c>
      <c r="M110">
        <f>MID($D110,1,1)</f>
        <v/>
      </c>
      <c r="N110">
        <f>MID($D110,2,1)</f>
        <v/>
      </c>
      <c r="O110">
        <f>MID($D110,3,1)</f>
        <v/>
      </c>
      <c r="P110">
        <f>MID($D110,4,1)</f>
        <v/>
      </c>
      <c r="Q110">
        <f>MID($D110,5,1)</f>
        <v/>
      </c>
      <c r="R110">
        <f>MID($D110,6,1)</f>
        <v/>
      </c>
      <c r="S110">
        <f>MID($D110,7,1)</f>
        <v/>
      </c>
      <c r="T110">
        <f>MID($D110,8,1)</f>
        <v/>
      </c>
      <c r="U110">
        <f>MID($D110,9,1)</f>
        <v/>
      </c>
      <c r="V110">
        <f>MID($D110,10,1)</f>
        <v/>
      </c>
      <c r="W110">
        <f>MID($E110,1,1)</f>
        <v/>
      </c>
      <c r="X110">
        <f>MID($E110,2,1)</f>
        <v/>
      </c>
      <c r="Y110">
        <f>MID($E110,3,1)</f>
        <v/>
      </c>
      <c r="Z110">
        <f>MID($E110,4,1)</f>
        <v/>
      </c>
      <c r="AA110">
        <f>MID($E110,5,1)</f>
        <v/>
      </c>
      <c r="AB110">
        <f>MID($E110,6,1)</f>
        <v/>
      </c>
      <c r="AC110">
        <f>MID($E110,7,1)</f>
        <v/>
      </c>
      <c r="AD110">
        <f>MID($E110,8,1)</f>
        <v/>
      </c>
      <c r="AE110">
        <f>MID($E110,9,1)</f>
        <v/>
      </c>
      <c r="AF110">
        <f>MID($E110,10,1)</f>
        <v/>
      </c>
    </row>
    <row r="111">
      <c r="A111" s="4" t="inlineStr">
        <is>
          <t>DN110</t>
        </is>
      </c>
      <c r="B111" s="4" t="n">
        <v>2</v>
      </c>
      <c r="C111" s="4" t="n">
        <v>3</v>
      </c>
      <c r="D111" s="5" t="inlineStr">
        <is>
          <t>CATCGCTGAG</t>
        </is>
      </c>
      <c r="E111" s="5" t="inlineStr">
        <is>
          <t>TCTACGACAC</t>
        </is>
      </c>
      <c r="F111" s="4">
        <f>LEN(SUBSTITUTE(SUBSTITUTE(D111,"A",""),"T",""))</f>
        <v/>
      </c>
      <c r="G111" s="4">
        <f>LEN(SUBSTITUTE(SUBSTITUTE(E111,"A",""),"T",""))</f>
        <v/>
      </c>
      <c r="H111" s="4" t="n">
        <v>-2.72</v>
      </c>
      <c r="I111" s="4" t="n">
        <v>-1.6</v>
      </c>
      <c r="J111" s="4" t="n">
        <v>-3.43</v>
      </c>
      <c r="K111" s="4" t="n">
        <v>-2.23</v>
      </c>
      <c r="M111">
        <f>MID($D111,1,1)</f>
        <v/>
      </c>
      <c r="N111">
        <f>MID($D111,2,1)</f>
        <v/>
      </c>
      <c r="O111">
        <f>MID($D111,3,1)</f>
        <v/>
      </c>
      <c r="P111">
        <f>MID($D111,4,1)</f>
        <v/>
      </c>
      <c r="Q111">
        <f>MID($D111,5,1)</f>
        <v/>
      </c>
      <c r="R111">
        <f>MID($D111,6,1)</f>
        <v/>
      </c>
      <c r="S111">
        <f>MID($D111,7,1)</f>
        <v/>
      </c>
      <c r="T111">
        <f>MID($D111,8,1)</f>
        <v/>
      </c>
      <c r="U111">
        <f>MID($D111,9,1)</f>
        <v/>
      </c>
      <c r="V111">
        <f>MID($D111,10,1)</f>
        <v/>
      </c>
      <c r="W111">
        <f>MID($E111,1,1)</f>
        <v/>
      </c>
      <c r="X111">
        <f>MID($E111,2,1)</f>
        <v/>
      </c>
      <c r="Y111">
        <f>MID($E111,3,1)</f>
        <v/>
      </c>
      <c r="Z111">
        <f>MID($E111,4,1)</f>
        <v/>
      </c>
      <c r="AA111">
        <f>MID($E111,5,1)</f>
        <v/>
      </c>
      <c r="AB111">
        <f>MID($E111,6,1)</f>
        <v/>
      </c>
      <c r="AC111">
        <f>MID($E111,7,1)</f>
        <v/>
      </c>
      <c r="AD111">
        <f>MID($E111,8,1)</f>
        <v/>
      </c>
      <c r="AE111">
        <f>MID($E111,9,1)</f>
        <v/>
      </c>
      <c r="AF111">
        <f>MID($E111,10,1)</f>
        <v/>
      </c>
    </row>
    <row r="112">
      <c r="A112" s="4" t="inlineStr">
        <is>
          <t>DN111</t>
        </is>
      </c>
      <c r="B112" s="4" t="n">
        <v>2</v>
      </c>
      <c r="C112" s="4" t="n">
        <v>3</v>
      </c>
      <c r="D112" s="5" t="inlineStr">
        <is>
          <t>TTCAACGCAA</t>
        </is>
      </c>
      <c r="E112" s="5" t="inlineStr">
        <is>
          <t>ACGTGATCAC</t>
        </is>
      </c>
      <c r="F112" s="4">
        <f>LEN(SUBSTITUTE(SUBSTITUTE(D112,"A",""),"T",""))</f>
        <v/>
      </c>
      <c r="G112" s="4">
        <f>LEN(SUBSTITUTE(SUBSTITUTE(E112,"A",""),"T",""))</f>
        <v/>
      </c>
      <c r="H112" s="4" t="n">
        <v>-3.72</v>
      </c>
      <c r="I112" s="4" t="n">
        <v>-2.08</v>
      </c>
      <c r="J112" s="4" t="n">
        <v>-3.79</v>
      </c>
      <c r="K112" s="4" t="n">
        <v>-2.05</v>
      </c>
      <c r="M112">
        <f>MID($D112,1,1)</f>
        <v/>
      </c>
      <c r="N112">
        <f>MID($D112,2,1)</f>
        <v/>
      </c>
      <c r="O112">
        <f>MID($D112,3,1)</f>
        <v/>
      </c>
      <c r="P112">
        <f>MID($D112,4,1)</f>
        <v/>
      </c>
      <c r="Q112">
        <f>MID($D112,5,1)</f>
        <v/>
      </c>
      <c r="R112">
        <f>MID($D112,6,1)</f>
        <v/>
      </c>
      <c r="S112">
        <f>MID($D112,7,1)</f>
        <v/>
      </c>
      <c r="T112">
        <f>MID($D112,8,1)</f>
        <v/>
      </c>
      <c r="U112">
        <f>MID($D112,9,1)</f>
        <v/>
      </c>
      <c r="V112">
        <f>MID($D112,10,1)</f>
        <v/>
      </c>
      <c r="W112">
        <f>MID($E112,1,1)</f>
        <v/>
      </c>
      <c r="X112">
        <f>MID($E112,2,1)</f>
        <v/>
      </c>
      <c r="Y112">
        <f>MID($E112,3,1)</f>
        <v/>
      </c>
      <c r="Z112">
        <f>MID($E112,4,1)</f>
        <v/>
      </c>
      <c r="AA112">
        <f>MID($E112,5,1)</f>
        <v/>
      </c>
      <c r="AB112">
        <f>MID($E112,6,1)</f>
        <v/>
      </c>
      <c r="AC112">
        <f>MID($E112,7,1)</f>
        <v/>
      </c>
      <c r="AD112">
        <f>MID($E112,8,1)</f>
        <v/>
      </c>
      <c r="AE112">
        <f>MID($E112,9,1)</f>
        <v/>
      </c>
      <c r="AF112">
        <f>MID($E112,10,1)</f>
        <v/>
      </c>
    </row>
    <row r="113">
      <c r="A113" s="4" t="inlineStr">
        <is>
          <t>DN112</t>
        </is>
      </c>
      <c r="B113" s="4" t="n">
        <v>2</v>
      </c>
      <c r="C113" s="4" t="n">
        <v>3</v>
      </c>
      <c r="D113" s="5" t="inlineStr">
        <is>
          <t>AGCGCTGAAT</t>
        </is>
      </c>
      <c r="E113" s="5" t="inlineStr">
        <is>
          <t>TGGTGGCGAA</t>
        </is>
      </c>
      <c r="F113" s="4">
        <f>LEN(SUBSTITUTE(SUBSTITUTE(D113,"A",""),"T",""))</f>
        <v/>
      </c>
      <c r="G113" s="4">
        <f>LEN(SUBSTITUTE(SUBSTITUTE(E113,"A",""),"T",""))</f>
        <v/>
      </c>
      <c r="H113" s="4" t="n">
        <v>-2.8</v>
      </c>
      <c r="I113" s="4" t="n">
        <v>-0.5</v>
      </c>
      <c r="J113" s="4" t="n">
        <v>-5.12</v>
      </c>
      <c r="K113" s="4" t="n">
        <v>-3.79</v>
      </c>
      <c r="M113">
        <f>MID($D113,1,1)</f>
        <v/>
      </c>
      <c r="N113">
        <f>MID($D113,2,1)</f>
        <v/>
      </c>
      <c r="O113">
        <f>MID($D113,3,1)</f>
        <v/>
      </c>
      <c r="P113">
        <f>MID($D113,4,1)</f>
        <v/>
      </c>
      <c r="Q113">
        <f>MID($D113,5,1)</f>
        <v/>
      </c>
      <c r="R113">
        <f>MID($D113,6,1)</f>
        <v/>
      </c>
      <c r="S113">
        <f>MID($D113,7,1)</f>
        <v/>
      </c>
      <c r="T113">
        <f>MID($D113,8,1)</f>
        <v/>
      </c>
      <c r="U113">
        <f>MID($D113,9,1)</f>
        <v/>
      </c>
      <c r="V113">
        <f>MID($D113,10,1)</f>
        <v/>
      </c>
      <c r="W113">
        <f>MID($E113,1,1)</f>
        <v/>
      </c>
      <c r="X113">
        <f>MID($E113,2,1)</f>
        <v/>
      </c>
      <c r="Y113">
        <f>MID($E113,3,1)</f>
        <v/>
      </c>
      <c r="Z113">
        <f>MID($E113,4,1)</f>
        <v/>
      </c>
      <c r="AA113">
        <f>MID($E113,5,1)</f>
        <v/>
      </c>
      <c r="AB113">
        <f>MID($E113,6,1)</f>
        <v/>
      </c>
      <c r="AC113">
        <f>MID($E113,7,1)</f>
        <v/>
      </c>
      <c r="AD113">
        <f>MID($E113,8,1)</f>
        <v/>
      </c>
      <c r="AE113">
        <f>MID($E113,9,1)</f>
        <v/>
      </c>
      <c r="AF113">
        <f>MID($E113,10,1)</f>
        <v/>
      </c>
    </row>
    <row r="114">
      <c r="A114" s="4" t="inlineStr">
        <is>
          <t>DN113</t>
        </is>
      </c>
      <c r="B114" s="4" t="n">
        <v>2</v>
      </c>
      <c r="C114" s="4" t="n">
        <v>3</v>
      </c>
      <c r="D114" s="5" t="inlineStr">
        <is>
          <t>CGTCATCTAT</t>
        </is>
      </c>
      <c r="E114" s="5" t="inlineStr">
        <is>
          <t>ACACCGTTGG</t>
        </is>
      </c>
      <c r="F114" s="4">
        <f>LEN(SUBSTITUTE(SUBSTITUTE(D114,"A",""),"T",""))</f>
        <v/>
      </c>
      <c r="G114" s="4">
        <f>LEN(SUBSTITUTE(SUBSTITUTE(E114,"A",""),"T",""))</f>
        <v/>
      </c>
      <c r="H114" s="4" t="n">
        <v>-1.95</v>
      </c>
      <c r="I114" s="4" t="n">
        <v>-0.25</v>
      </c>
      <c r="J114" s="4" t="n">
        <v>-3.16</v>
      </c>
      <c r="K114" s="4" t="n">
        <v>-0.48</v>
      </c>
      <c r="M114">
        <f>MID($D114,1,1)</f>
        <v/>
      </c>
      <c r="N114">
        <f>MID($D114,2,1)</f>
        <v/>
      </c>
      <c r="O114">
        <f>MID($D114,3,1)</f>
        <v/>
      </c>
      <c r="P114">
        <f>MID($D114,4,1)</f>
        <v/>
      </c>
      <c r="Q114">
        <f>MID($D114,5,1)</f>
        <v/>
      </c>
      <c r="R114">
        <f>MID($D114,6,1)</f>
        <v/>
      </c>
      <c r="S114">
        <f>MID($D114,7,1)</f>
        <v/>
      </c>
      <c r="T114">
        <f>MID($D114,8,1)</f>
        <v/>
      </c>
      <c r="U114">
        <f>MID($D114,9,1)</f>
        <v/>
      </c>
      <c r="V114">
        <f>MID($D114,10,1)</f>
        <v/>
      </c>
      <c r="W114">
        <f>MID($E114,1,1)</f>
        <v/>
      </c>
      <c r="X114">
        <f>MID($E114,2,1)</f>
        <v/>
      </c>
      <c r="Y114">
        <f>MID($E114,3,1)</f>
        <v/>
      </c>
      <c r="Z114">
        <f>MID($E114,4,1)</f>
        <v/>
      </c>
      <c r="AA114">
        <f>MID($E114,5,1)</f>
        <v/>
      </c>
      <c r="AB114">
        <f>MID($E114,6,1)</f>
        <v/>
      </c>
      <c r="AC114">
        <f>MID($E114,7,1)</f>
        <v/>
      </c>
      <c r="AD114">
        <f>MID($E114,8,1)</f>
        <v/>
      </c>
      <c r="AE114">
        <f>MID($E114,9,1)</f>
        <v/>
      </c>
      <c r="AF114">
        <f>MID($E114,10,1)</f>
        <v/>
      </c>
    </row>
    <row r="115">
      <c r="A115" s="4" t="inlineStr">
        <is>
          <t>DN114</t>
        </is>
      </c>
      <c r="B115" s="4" t="n">
        <v>2</v>
      </c>
      <c r="C115" s="4" t="n">
        <v>3</v>
      </c>
      <c r="D115" s="5" t="inlineStr">
        <is>
          <t>TAGAACTACG</t>
        </is>
      </c>
      <c r="E115" s="5" t="inlineStr">
        <is>
          <t>CGCAGGACTT</t>
        </is>
      </c>
      <c r="F115" s="4">
        <f>LEN(SUBSTITUTE(SUBSTITUTE(D115,"A",""),"T",""))</f>
        <v/>
      </c>
      <c r="G115" s="4">
        <f>LEN(SUBSTITUTE(SUBSTITUTE(E115,"A",""),"T",""))</f>
        <v/>
      </c>
      <c r="H115" s="4" t="n">
        <v>-3.04</v>
      </c>
      <c r="I115" s="4" t="n">
        <v>-1.11</v>
      </c>
      <c r="J115" s="4" t="n">
        <v>-3.68</v>
      </c>
      <c r="K115" s="4" t="n">
        <v>-2.54</v>
      </c>
      <c r="M115">
        <f>MID($D115,1,1)</f>
        <v/>
      </c>
      <c r="N115">
        <f>MID($D115,2,1)</f>
        <v/>
      </c>
      <c r="O115">
        <f>MID($D115,3,1)</f>
        <v/>
      </c>
      <c r="P115">
        <f>MID($D115,4,1)</f>
        <v/>
      </c>
      <c r="Q115">
        <f>MID($D115,5,1)</f>
        <v/>
      </c>
      <c r="R115">
        <f>MID($D115,6,1)</f>
        <v/>
      </c>
      <c r="S115">
        <f>MID($D115,7,1)</f>
        <v/>
      </c>
      <c r="T115">
        <f>MID($D115,8,1)</f>
        <v/>
      </c>
      <c r="U115">
        <f>MID($D115,9,1)</f>
        <v/>
      </c>
      <c r="V115">
        <f>MID($D115,10,1)</f>
        <v/>
      </c>
      <c r="W115">
        <f>MID($E115,1,1)</f>
        <v/>
      </c>
      <c r="X115">
        <f>MID($E115,2,1)</f>
        <v/>
      </c>
      <c r="Y115">
        <f>MID($E115,3,1)</f>
        <v/>
      </c>
      <c r="Z115">
        <f>MID($E115,4,1)</f>
        <v/>
      </c>
      <c r="AA115">
        <f>MID($E115,5,1)</f>
        <v/>
      </c>
      <c r="AB115">
        <f>MID($E115,6,1)</f>
        <v/>
      </c>
      <c r="AC115">
        <f>MID($E115,7,1)</f>
        <v/>
      </c>
      <c r="AD115">
        <f>MID($E115,8,1)</f>
        <v/>
      </c>
      <c r="AE115">
        <f>MID($E115,9,1)</f>
        <v/>
      </c>
      <c r="AF115">
        <f>MID($E115,10,1)</f>
        <v/>
      </c>
    </row>
    <row r="116">
      <c r="A116" s="4" t="inlineStr">
        <is>
          <t>DN115</t>
        </is>
      </c>
      <c r="B116" s="4" t="n">
        <v>2</v>
      </c>
      <c r="C116" s="4" t="n">
        <v>3</v>
      </c>
      <c r="D116" s="5" t="inlineStr">
        <is>
          <t>CGTTAGAAGG</t>
        </is>
      </c>
      <c r="E116" s="5" t="inlineStr">
        <is>
          <t>TTCAACAGGT</t>
        </is>
      </c>
      <c r="F116" s="4">
        <f>LEN(SUBSTITUTE(SUBSTITUTE(D116,"A",""),"T",""))</f>
        <v/>
      </c>
      <c r="G116" s="4">
        <f>LEN(SUBSTITUTE(SUBSTITUTE(E116,"A",""),"T",""))</f>
        <v/>
      </c>
      <c r="H116" s="4" t="n">
        <v>-2.27</v>
      </c>
      <c r="I116" s="4" t="n">
        <v>-0.51</v>
      </c>
      <c r="J116" s="4" t="n">
        <v>-2.57</v>
      </c>
      <c r="K116" s="4" t="n">
        <v>-1.03</v>
      </c>
      <c r="M116">
        <f>MID($D116,1,1)</f>
        <v/>
      </c>
      <c r="N116">
        <f>MID($D116,2,1)</f>
        <v/>
      </c>
      <c r="O116">
        <f>MID($D116,3,1)</f>
        <v/>
      </c>
      <c r="P116">
        <f>MID($D116,4,1)</f>
        <v/>
      </c>
      <c r="Q116">
        <f>MID($D116,5,1)</f>
        <v/>
      </c>
      <c r="R116">
        <f>MID($D116,6,1)</f>
        <v/>
      </c>
      <c r="S116">
        <f>MID($D116,7,1)</f>
        <v/>
      </c>
      <c r="T116">
        <f>MID($D116,8,1)</f>
        <v/>
      </c>
      <c r="U116">
        <f>MID($D116,9,1)</f>
        <v/>
      </c>
      <c r="V116">
        <f>MID($D116,10,1)</f>
        <v/>
      </c>
      <c r="W116">
        <f>MID($E116,1,1)</f>
        <v/>
      </c>
      <c r="X116">
        <f>MID($E116,2,1)</f>
        <v/>
      </c>
      <c r="Y116">
        <f>MID($E116,3,1)</f>
        <v/>
      </c>
      <c r="Z116">
        <f>MID($E116,4,1)</f>
        <v/>
      </c>
      <c r="AA116">
        <f>MID($E116,5,1)</f>
        <v/>
      </c>
      <c r="AB116">
        <f>MID($E116,6,1)</f>
        <v/>
      </c>
      <c r="AC116">
        <f>MID($E116,7,1)</f>
        <v/>
      </c>
      <c r="AD116">
        <f>MID($E116,8,1)</f>
        <v/>
      </c>
      <c r="AE116">
        <f>MID($E116,9,1)</f>
        <v/>
      </c>
      <c r="AF116">
        <f>MID($E116,10,1)</f>
        <v/>
      </c>
    </row>
    <row r="117">
      <c r="A117" s="4" t="inlineStr">
        <is>
          <t>DN116</t>
        </is>
      </c>
      <c r="B117" s="4" t="n">
        <v>2</v>
      </c>
      <c r="C117" s="4" t="n">
        <v>3</v>
      </c>
      <c r="D117" s="5" t="inlineStr">
        <is>
          <t>AGTAGCCACC</t>
        </is>
      </c>
      <c r="E117" s="5" t="inlineStr">
        <is>
          <t>TGCGAATCGG</t>
        </is>
      </c>
      <c r="F117" s="4">
        <f>LEN(SUBSTITUTE(SUBSTITUTE(D117,"A",""),"T",""))</f>
        <v/>
      </c>
      <c r="G117" s="4">
        <f>LEN(SUBSTITUTE(SUBSTITUTE(E117,"A",""),"T",""))</f>
        <v/>
      </c>
      <c r="H117" s="4" t="n">
        <v>-3.64</v>
      </c>
      <c r="I117" s="4" t="n">
        <v>-1.54</v>
      </c>
      <c r="J117" s="4" t="n">
        <v>-2.9</v>
      </c>
      <c r="K117" s="4" t="n">
        <v>-1.39</v>
      </c>
      <c r="M117">
        <f>MID($D117,1,1)</f>
        <v/>
      </c>
      <c r="N117">
        <f>MID($D117,2,1)</f>
        <v/>
      </c>
      <c r="O117">
        <f>MID($D117,3,1)</f>
        <v/>
      </c>
      <c r="P117">
        <f>MID($D117,4,1)</f>
        <v/>
      </c>
      <c r="Q117">
        <f>MID($D117,5,1)</f>
        <v/>
      </c>
      <c r="R117">
        <f>MID($D117,6,1)</f>
        <v/>
      </c>
      <c r="S117">
        <f>MID($D117,7,1)</f>
        <v/>
      </c>
      <c r="T117">
        <f>MID($D117,8,1)</f>
        <v/>
      </c>
      <c r="U117">
        <f>MID($D117,9,1)</f>
        <v/>
      </c>
      <c r="V117">
        <f>MID($D117,10,1)</f>
        <v/>
      </c>
      <c r="W117">
        <f>MID($E117,1,1)</f>
        <v/>
      </c>
      <c r="X117">
        <f>MID($E117,2,1)</f>
        <v/>
      </c>
      <c r="Y117">
        <f>MID($E117,3,1)</f>
        <v/>
      </c>
      <c r="Z117">
        <f>MID($E117,4,1)</f>
        <v/>
      </c>
      <c r="AA117">
        <f>MID($E117,5,1)</f>
        <v/>
      </c>
      <c r="AB117">
        <f>MID($E117,6,1)</f>
        <v/>
      </c>
      <c r="AC117">
        <f>MID($E117,7,1)</f>
        <v/>
      </c>
      <c r="AD117">
        <f>MID($E117,8,1)</f>
        <v/>
      </c>
      <c r="AE117">
        <f>MID($E117,9,1)</f>
        <v/>
      </c>
      <c r="AF117">
        <f>MID($E117,10,1)</f>
        <v/>
      </c>
    </row>
    <row r="118">
      <c r="A118" s="4" t="inlineStr">
        <is>
          <t>DN117</t>
        </is>
      </c>
      <c r="B118" s="4" t="n">
        <v>2</v>
      </c>
      <c r="C118" s="4" t="n">
        <v>3</v>
      </c>
      <c r="D118" s="5" t="inlineStr">
        <is>
          <t>GACATGAGGC</t>
        </is>
      </c>
      <c r="E118" s="5" t="inlineStr">
        <is>
          <t>CGCCAATTAC</t>
        </is>
      </c>
      <c r="F118" s="4">
        <f>LEN(SUBSTITUTE(SUBSTITUTE(D118,"A",""),"T",""))</f>
        <v/>
      </c>
      <c r="G118" s="4">
        <f>LEN(SUBSTITUTE(SUBSTITUTE(E118,"A",""),"T",""))</f>
        <v/>
      </c>
      <c r="H118" s="4" t="n">
        <v>-3.69</v>
      </c>
      <c r="I118" s="4" t="n">
        <v>-2.3</v>
      </c>
      <c r="J118" s="4" t="n">
        <v>-3.31</v>
      </c>
      <c r="K118" s="4" t="n">
        <v>-1.55</v>
      </c>
      <c r="M118">
        <f>MID($D118,1,1)</f>
        <v/>
      </c>
      <c r="N118">
        <f>MID($D118,2,1)</f>
        <v/>
      </c>
      <c r="O118">
        <f>MID($D118,3,1)</f>
        <v/>
      </c>
      <c r="P118">
        <f>MID($D118,4,1)</f>
        <v/>
      </c>
      <c r="Q118">
        <f>MID($D118,5,1)</f>
        <v/>
      </c>
      <c r="R118">
        <f>MID($D118,6,1)</f>
        <v/>
      </c>
      <c r="S118">
        <f>MID($D118,7,1)</f>
        <v/>
      </c>
      <c r="T118">
        <f>MID($D118,8,1)</f>
        <v/>
      </c>
      <c r="U118">
        <f>MID($D118,9,1)</f>
        <v/>
      </c>
      <c r="V118">
        <f>MID($D118,10,1)</f>
        <v/>
      </c>
      <c r="W118">
        <f>MID($E118,1,1)</f>
        <v/>
      </c>
      <c r="X118">
        <f>MID($E118,2,1)</f>
        <v/>
      </c>
      <c r="Y118">
        <f>MID($E118,3,1)</f>
        <v/>
      </c>
      <c r="Z118">
        <f>MID($E118,4,1)</f>
        <v/>
      </c>
      <c r="AA118">
        <f>MID($E118,5,1)</f>
        <v/>
      </c>
      <c r="AB118">
        <f>MID($E118,6,1)</f>
        <v/>
      </c>
      <c r="AC118">
        <f>MID($E118,7,1)</f>
        <v/>
      </c>
      <c r="AD118">
        <f>MID($E118,8,1)</f>
        <v/>
      </c>
      <c r="AE118">
        <f>MID($E118,9,1)</f>
        <v/>
      </c>
      <c r="AF118">
        <f>MID($E118,10,1)</f>
        <v/>
      </c>
    </row>
    <row r="119">
      <c r="A119" s="4" t="inlineStr">
        <is>
          <t>DN118</t>
        </is>
      </c>
      <c r="B119" s="4" t="n">
        <v>2</v>
      </c>
      <c r="C119" s="4" t="n">
        <v>3</v>
      </c>
      <c r="D119" s="5" t="inlineStr">
        <is>
          <t>AACGCGAGTG</t>
        </is>
      </c>
      <c r="E119" s="5" t="inlineStr">
        <is>
          <t>GCCAAGGAAG</t>
        </is>
      </c>
      <c r="F119" s="4">
        <f>LEN(SUBSTITUTE(SUBSTITUTE(D119,"A",""),"T",""))</f>
        <v/>
      </c>
      <c r="G119" s="4">
        <f>LEN(SUBSTITUTE(SUBSTITUTE(E119,"A",""),"T",""))</f>
        <v/>
      </c>
      <c r="H119" s="4" t="n">
        <v>-5.14</v>
      </c>
      <c r="I119" s="4" t="n">
        <v>-1</v>
      </c>
      <c r="J119" s="4" t="n">
        <v>-2.68</v>
      </c>
      <c r="K119" s="4" t="n">
        <v>-1.49</v>
      </c>
      <c r="M119">
        <f>MID($D119,1,1)</f>
        <v/>
      </c>
      <c r="N119">
        <f>MID($D119,2,1)</f>
        <v/>
      </c>
      <c r="O119">
        <f>MID($D119,3,1)</f>
        <v/>
      </c>
      <c r="P119">
        <f>MID($D119,4,1)</f>
        <v/>
      </c>
      <c r="Q119">
        <f>MID($D119,5,1)</f>
        <v/>
      </c>
      <c r="R119">
        <f>MID($D119,6,1)</f>
        <v/>
      </c>
      <c r="S119">
        <f>MID($D119,7,1)</f>
        <v/>
      </c>
      <c r="T119">
        <f>MID($D119,8,1)</f>
        <v/>
      </c>
      <c r="U119">
        <f>MID($D119,9,1)</f>
        <v/>
      </c>
      <c r="V119">
        <f>MID($D119,10,1)</f>
        <v/>
      </c>
      <c r="W119">
        <f>MID($E119,1,1)</f>
        <v/>
      </c>
      <c r="X119">
        <f>MID($E119,2,1)</f>
        <v/>
      </c>
      <c r="Y119">
        <f>MID($E119,3,1)</f>
        <v/>
      </c>
      <c r="Z119">
        <f>MID($E119,4,1)</f>
        <v/>
      </c>
      <c r="AA119">
        <f>MID($E119,5,1)</f>
        <v/>
      </c>
      <c r="AB119">
        <f>MID($E119,6,1)</f>
        <v/>
      </c>
      <c r="AC119">
        <f>MID($E119,7,1)</f>
        <v/>
      </c>
      <c r="AD119">
        <f>MID($E119,8,1)</f>
        <v/>
      </c>
      <c r="AE119">
        <f>MID($E119,9,1)</f>
        <v/>
      </c>
      <c r="AF119">
        <f>MID($E119,10,1)</f>
        <v/>
      </c>
    </row>
    <row r="120">
      <c r="A120" s="4" t="inlineStr">
        <is>
          <t>DN119</t>
        </is>
      </c>
      <c r="B120" s="4" t="n">
        <v>2</v>
      </c>
      <c r="C120" s="4" t="n">
        <v>3</v>
      </c>
      <c r="D120" s="5" t="inlineStr">
        <is>
          <t>TCAGAATCAC</t>
        </is>
      </c>
      <c r="E120" s="5" t="inlineStr">
        <is>
          <t>TGCAAGGAGC</t>
        </is>
      </c>
      <c r="F120" s="4">
        <f>LEN(SUBSTITUTE(SUBSTITUTE(D120,"A",""),"T",""))</f>
        <v/>
      </c>
      <c r="G120" s="4">
        <f>LEN(SUBSTITUTE(SUBSTITUTE(E120,"A",""),"T",""))</f>
        <v/>
      </c>
      <c r="H120" s="4" t="n">
        <v>-3.09</v>
      </c>
      <c r="I120" s="4" t="n">
        <v>-1.02</v>
      </c>
      <c r="J120" s="4" t="n">
        <v>-2.91</v>
      </c>
      <c r="K120" s="4" t="n">
        <v>-1.64</v>
      </c>
      <c r="M120">
        <f>MID($D120,1,1)</f>
        <v/>
      </c>
      <c r="N120">
        <f>MID($D120,2,1)</f>
        <v/>
      </c>
      <c r="O120">
        <f>MID($D120,3,1)</f>
        <v/>
      </c>
      <c r="P120">
        <f>MID($D120,4,1)</f>
        <v/>
      </c>
      <c r="Q120">
        <f>MID($D120,5,1)</f>
        <v/>
      </c>
      <c r="R120">
        <f>MID($D120,6,1)</f>
        <v/>
      </c>
      <c r="S120">
        <f>MID($D120,7,1)</f>
        <v/>
      </c>
      <c r="T120">
        <f>MID($D120,8,1)</f>
        <v/>
      </c>
      <c r="U120">
        <f>MID($D120,9,1)</f>
        <v/>
      </c>
      <c r="V120">
        <f>MID($D120,10,1)</f>
        <v/>
      </c>
      <c r="W120">
        <f>MID($E120,1,1)</f>
        <v/>
      </c>
      <c r="X120">
        <f>MID($E120,2,1)</f>
        <v/>
      </c>
      <c r="Y120">
        <f>MID($E120,3,1)</f>
        <v/>
      </c>
      <c r="Z120">
        <f>MID($E120,4,1)</f>
        <v/>
      </c>
      <c r="AA120">
        <f>MID($E120,5,1)</f>
        <v/>
      </c>
      <c r="AB120">
        <f>MID($E120,6,1)</f>
        <v/>
      </c>
      <c r="AC120">
        <f>MID($E120,7,1)</f>
        <v/>
      </c>
      <c r="AD120">
        <f>MID($E120,8,1)</f>
        <v/>
      </c>
      <c r="AE120">
        <f>MID($E120,9,1)</f>
        <v/>
      </c>
      <c r="AF120">
        <f>MID($E120,10,1)</f>
        <v/>
      </c>
    </row>
    <row r="121">
      <c r="A121" s="4" t="inlineStr">
        <is>
          <t>DN120</t>
        </is>
      </c>
      <c r="B121" s="4" t="n">
        <v>2</v>
      </c>
      <c r="C121" s="4" t="n">
        <v>3</v>
      </c>
      <c r="D121" s="5" t="inlineStr">
        <is>
          <t>TGTGCTTCAC</t>
        </is>
      </c>
      <c r="E121" s="5" t="inlineStr">
        <is>
          <t>TTGGCCACAC</t>
        </is>
      </c>
      <c r="F121" s="4">
        <f>LEN(SUBSTITUTE(SUBSTITUTE(D121,"A",""),"T",""))</f>
        <v/>
      </c>
      <c r="G121" s="4">
        <f>LEN(SUBSTITUTE(SUBSTITUTE(E121,"A",""),"T",""))</f>
        <v/>
      </c>
      <c r="H121" s="4" t="n">
        <v>-2.47</v>
      </c>
      <c r="I121" s="4" t="n">
        <v>-1.68</v>
      </c>
      <c r="J121" s="4" t="n">
        <v>-3.83</v>
      </c>
      <c r="K121" s="4" t="n">
        <v>-2.08</v>
      </c>
      <c r="M121">
        <f>MID($D121,1,1)</f>
        <v/>
      </c>
      <c r="N121">
        <f>MID($D121,2,1)</f>
        <v/>
      </c>
      <c r="O121">
        <f>MID($D121,3,1)</f>
        <v/>
      </c>
      <c r="P121">
        <f>MID($D121,4,1)</f>
        <v/>
      </c>
      <c r="Q121">
        <f>MID($D121,5,1)</f>
        <v/>
      </c>
      <c r="R121">
        <f>MID($D121,6,1)</f>
        <v/>
      </c>
      <c r="S121">
        <f>MID($D121,7,1)</f>
        <v/>
      </c>
      <c r="T121">
        <f>MID($D121,8,1)</f>
        <v/>
      </c>
      <c r="U121">
        <f>MID($D121,9,1)</f>
        <v/>
      </c>
      <c r="V121">
        <f>MID($D121,10,1)</f>
        <v/>
      </c>
      <c r="W121">
        <f>MID($E121,1,1)</f>
        <v/>
      </c>
      <c r="X121">
        <f>MID($E121,2,1)</f>
        <v/>
      </c>
      <c r="Y121">
        <f>MID($E121,3,1)</f>
        <v/>
      </c>
      <c r="Z121">
        <f>MID($E121,4,1)</f>
        <v/>
      </c>
      <c r="AA121">
        <f>MID($E121,5,1)</f>
        <v/>
      </c>
      <c r="AB121">
        <f>MID($E121,6,1)</f>
        <v/>
      </c>
      <c r="AC121">
        <f>MID($E121,7,1)</f>
        <v/>
      </c>
      <c r="AD121">
        <f>MID($E121,8,1)</f>
        <v/>
      </c>
      <c r="AE121">
        <f>MID($E121,9,1)</f>
        <v/>
      </c>
      <c r="AF121">
        <f>MID($E121,10,1)</f>
        <v/>
      </c>
    </row>
    <row r="122">
      <c r="A122" s="4" t="inlineStr">
        <is>
          <t>DN121</t>
        </is>
      </c>
      <c r="B122" s="4" t="n">
        <v>2</v>
      </c>
      <c r="C122" s="4" t="n">
        <v>3</v>
      </c>
      <c r="D122" s="5" t="inlineStr">
        <is>
          <t>GTAGTGAGAC</t>
        </is>
      </c>
      <c r="E122" s="5" t="inlineStr">
        <is>
          <t>ATTCGGATTG</t>
        </is>
      </c>
      <c r="F122" s="4">
        <f>LEN(SUBSTITUTE(SUBSTITUTE(D122,"A",""),"T",""))</f>
        <v/>
      </c>
      <c r="G122" s="4">
        <f>LEN(SUBSTITUTE(SUBSTITUTE(E122,"A",""),"T",""))</f>
        <v/>
      </c>
      <c r="H122" s="4" t="n">
        <v>-2.67</v>
      </c>
      <c r="I122" s="4" t="n">
        <v>-1.33</v>
      </c>
      <c r="J122" s="4" t="n">
        <v>-3.19</v>
      </c>
      <c r="K122" s="4" t="n">
        <v>-2.2</v>
      </c>
      <c r="M122">
        <f>MID($D122,1,1)</f>
        <v/>
      </c>
      <c r="N122">
        <f>MID($D122,2,1)</f>
        <v/>
      </c>
      <c r="O122">
        <f>MID($D122,3,1)</f>
        <v/>
      </c>
      <c r="P122">
        <f>MID($D122,4,1)</f>
        <v/>
      </c>
      <c r="Q122">
        <f>MID($D122,5,1)</f>
        <v/>
      </c>
      <c r="R122">
        <f>MID($D122,6,1)</f>
        <v/>
      </c>
      <c r="S122">
        <f>MID($D122,7,1)</f>
        <v/>
      </c>
      <c r="T122">
        <f>MID($D122,8,1)</f>
        <v/>
      </c>
      <c r="U122">
        <f>MID($D122,9,1)</f>
        <v/>
      </c>
      <c r="V122">
        <f>MID($D122,10,1)</f>
        <v/>
      </c>
      <c r="W122">
        <f>MID($E122,1,1)</f>
        <v/>
      </c>
      <c r="X122">
        <f>MID($E122,2,1)</f>
        <v/>
      </c>
      <c r="Y122">
        <f>MID($E122,3,1)</f>
        <v/>
      </c>
      <c r="Z122">
        <f>MID($E122,4,1)</f>
        <v/>
      </c>
      <c r="AA122">
        <f>MID($E122,5,1)</f>
        <v/>
      </c>
      <c r="AB122">
        <f>MID($E122,6,1)</f>
        <v/>
      </c>
      <c r="AC122">
        <f>MID($E122,7,1)</f>
        <v/>
      </c>
      <c r="AD122">
        <f>MID($E122,8,1)</f>
        <v/>
      </c>
      <c r="AE122">
        <f>MID($E122,9,1)</f>
        <v/>
      </c>
      <c r="AF122">
        <f>MID($E122,10,1)</f>
        <v/>
      </c>
    </row>
    <row r="123">
      <c r="A123" s="4" t="inlineStr">
        <is>
          <t>DN122</t>
        </is>
      </c>
      <c r="B123" s="4" t="n">
        <v>2</v>
      </c>
      <c r="C123" s="4" t="n">
        <v>3</v>
      </c>
      <c r="D123" s="5" t="inlineStr">
        <is>
          <t>GCTAACCTCC</t>
        </is>
      </c>
      <c r="E123" s="5" t="inlineStr">
        <is>
          <t>TGATATCGGT</t>
        </is>
      </c>
      <c r="F123" s="4">
        <f>LEN(SUBSTITUTE(SUBSTITUTE(D123,"A",""),"T",""))</f>
        <v/>
      </c>
      <c r="G123" s="4">
        <f>LEN(SUBSTITUTE(SUBSTITUTE(E123,"A",""),"T",""))</f>
        <v/>
      </c>
      <c r="H123" s="4" t="n">
        <v>-2.76</v>
      </c>
      <c r="I123" s="4" t="n">
        <v>-0.6</v>
      </c>
      <c r="J123" s="4" t="n">
        <v>-2.35</v>
      </c>
      <c r="K123" s="4" t="n">
        <v>-1.45</v>
      </c>
      <c r="M123">
        <f>MID($D123,1,1)</f>
        <v/>
      </c>
      <c r="N123">
        <f>MID($D123,2,1)</f>
        <v/>
      </c>
      <c r="O123">
        <f>MID($D123,3,1)</f>
        <v/>
      </c>
      <c r="P123">
        <f>MID($D123,4,1)</f>
        <v/>
      </c>
      <c r="Q123">
        <f>MID($D123,5,1)</f>
        <v/>
      </c>
      <c r="R123">
        <f>MID($D123,6,1)</f>
        <v/>
      </c>
      <c r="S123">
        <f>MID($D123,7,1)</f>
        <v/>
      </c>
      <c r="T123">
        <f>MID($D123,8,1)</f>
        <v/>
      </c>
      <c r="U123">
        <f>MID($D123,9,1)</f>
        <v/>
      </c>
      <c r="V123">
        <f>MID($D123,10,1)</f>
        <v/>
      </c>
      <c r="W123">
        <f>MID($E123,1,1)</f>
        <v/>
      </c>
      <c r="X123">
        <f>MID($E123,2,1)</f>
        <v/>
      </c>
      <c r="Y123">
        <f>MID($E123,3,1)</f>
        <v/>
      </c>
      <c r="Z123">
        <f>MID($E123,4,1)</f>
        <v/>
      </c>
      <c r="AA123">
        <f>MID($E123,5,1)</f>
        <v/>
      </c>
      <c r="AB123">
        <f>MID($E123,6,1)</f>
        <v/>
      </c>
      <c r="AC123">
        <f>MID($E123,7,1)</f>
        <v/>
      </c>
      <c r="AD123">
        <f>MID($E123,8,1)</f>
        <v/>
      </c>
      <c r="AE123">
        <f>MID($E123,9,1)</f>
        <v/>
      </c>
      <c r="AF123">
        <f>MID($E123,10,1)</f>
        <v/>
      </c>
    </row>
    <row r="124">
      <c r="A124" s="4" t="inlineStr">
        <is>
          <t>DN123</t>
        </is>
      </c>
      <c r="B124" s="4" t="n">
        <v>2</v>
      </c>
      <c r="C124" s="4" t="n">
        <v>3</v>
      </c>
      <c r="D124" s="5" t="inlineStr">
        <is>
          <t>TGTACCTTAG</t>
        </is>
      </c>
      <c r="E124" s="5" t="inlineStr">
        <is>
          <t>CTGTCGAAGC</t>
        </is>
      </c>
      <c r="F124" s="4">
        <f>LEN(SUBSTITUTE(SUBSTITUTE(D124,"A",""),"T",""))</f>
        <v/>
      </c>
      <c r="G124" s="4">
        <f>LEN(SUBSTITUTE(SUBSTITUTE(E124,"A",""),"T",""))</f>
        <v/>
      </c>
      <c r="H124" s="4" t="n">
        <v>-1.67</v>
      </c>
      <c r="I124" s="4" t="n">
        <v>0.38</v>
      </c>
      <c r="J124" s="4" t="n">
        <v>-4.1</v>
      </c>
      <c r="K124" s="4" t="n">
        <v>-0.89</v>
      </c>
      <c r="M124">
        <f>MID($D124,1,1)</f>
        <v/>
      </c>
      <c r="N124">
        <f>MID($D124,2,1)</f>
        <v/>
      </c>
      <c r="O124">
        <f>MID($D124,3,1)</f>
        <v/>
      </c>
      <c r="P124">
        <f>MID($D124,4,1)</f>
        <v/>
      </c>
      <c r="Q124">
        <f>MID($D124,5,1)</f>
        <v/>
      </c>
      <c r="R124">
        <f>MID($D124,6,1)</f>
        <v/>
      </c>
      <c r="S124">
        <f>MID($D124,7,1)</f>
        <v/>
      </c>
      <c r="T124">
        <f>MID($D124,8,1)</f>
        <v/>
      </c>
      <c r="U124">
        <f>MID($D124,9,1)</f>
        <v/>
      </c>
      <c r="V124">
        <f>MID($D124,10,1)</f>
        <v/>
      </c>
      <c r="W124">
        <f>MID($E124,1,1)</f>
        <v/>
      </c>
      <c r="X124">
        <f>MID($E124,2,1)</f>
        <v/>
      </c>
      <c r="Y124">
        <f>MID($E124,3,1)</f>
        <v/>
      </c>
      <c r="Z124">
        <f>MID($E124,4,1)</f>
        <v/>
      </c>
      <c r="AA124">
        <f>MID($E124,5,1)</f>
        <v/>
      </c>
      <c r="AB124">
        <f>MID($E124,6,1)</f>
        <v/>
      </c>
      <c r="AC124">
        <f>MID($E124,7,1)</f>
        <v/>
      </c>
      <c r="AD124">
        <f>MID($E124,8,1)</f>
        <v/>
      </c>
      <c r="AE124">
        <f>MID($E124,9,1)</f>
        <v/>
      </c>
      <c r="AF124">
        <f>MID($E124,10,1)</f>
        <v/>
      </c>
    </row>
    <row r="125">
      <c r="A125" s="4" t="inlineStr">
        <is>
          <t>DN124</t>
        </is>
      </c>
      <c r="B125" s="4" t="n">
        <v>2</v>
      </c>
      <c r="C125" s="4" t="n">
        <v>3</v>
      </c>
      <c r="D125" s="5" t="inlineStr">
        <is>
          <t>CCGCTAGCTA</t>
        </is>
      </c>
      <c r="E125" s="5" t="inlineStr">
        <is>
          <t>CGGCAAGTGA</t>
        </is>
      </c>
      <c r="F125" s="4">
        <f>LEN(SUBSTITUTE(SUBSTITUTE(D125,"A",""),"T",""))</f>
        <v/>
      </c>
      <c r="G125" s="4">
        <f>LEN(SUBSTITUTE(SUBSTITUTE(E125,"A",""),"T",""))</f>
        <v/>
      </c>
      <c r="H125" s="4" t="n">
        <v>-2.41</v>
      </c>
      <c r="I125" s="4" t="n">
        <v>-1.62</v>
      </c>
      <c r="J125" s="4" t="n">
        <v>-3.68</v>
      </c>
      <c r="K125" s="4" t="n">
        <v>-2.89</v>
      </c>
      <c r="M125">
        <f>MID($D125,1,1)</f>
        <v/>
      </c>
      <c r="N125">
        <f>MID($D125,2,1)</f>
        <v/>
      </c>
      <c r="O125">
        <f>MID($D125,3,1)</f>
        <v/>
      </c>
      <c r="P125">
        <f>MID($D125,4,1)</f>
        <v/>
      </c>
      <c r="Q125">
        <f>MID($D125,5,1)</f>
        <v/>
      </c>
      <c r="R125">
        <f>MID($D125,6,1)</f>
        <v/>
      </c>
      <c r="S125">
        <f>MID($D125,7,1)</f>
        <v/>
      </c>
      <c r="T125">
        <f>MID($D125,8,1)</f>
        <v/>
      </c>
      <c r="U125">
        <f>MID($D125,9,1)</f>
        <v/>
      </c>
      <c r="V125">
        <f>MID($D125,10,1)</f>
        <v/>
      </c>
      <c r="W125">
        <f>MID($E125,1,1)</f>
        <v/>
      </c>
      <c r="X125">
        <f>MID($E125,2,1)</f>
        <v/>
      </c>
      <c r="Y125">
        <f>MID($E125,3,1)</f>
        <v/>
      </c>
      <c r="Z125">
        <f>MID($E125,4,1)</f>
        <v/>
      </c>
      <c r="AA125">
        <f>MID($E125,5,1)</f>
        <v/>
      </c>
      <c r="AB125">
        <f>MID($E125,6,1)</f>
        <v/>
      </c>
      <c r="AC125">
        <f>MID($E125,7,1)</f>
        <v/>
      </c>
      <c r="AD125">
        <f>MID($E125,8,1)</f>
        <v/>
      </c>
      <c r="AE125">
        <f>MID($E125,9,1)</f>
        <v/>
      </c>
      <c r="AF125">
        <f>MID($E125,10,1)</f>
        <v/>
      </c>
    </row>
    <row r="126">
      <c r="A126" s="4" t="inlineStr">
        <is>
          <t>DN125</t>
        </is>
      </c>
      <c r="B126" s="4" t="n">
        <v>2</v>
      </c>
      <c r="C126" s="4" t="n">
        <v>3</v>
      </c>
      <c r="D126" s="5" t="inlineStr">
        <is>
          <t>GCTGGTCACA</t>
        </is>
      </c>
      <c r="E126" s="5" t="inlineStr">
        <is>
          <t>CGCGCCTTAT</t>
        </is>
      </c>
      <c r="F126" s="4">
        <f>LEN(SUBSTITUTE(SUBSTITUTE(D126,"A",""),"T",""))</f>
        <v/>
      </c>
      <c r="G126" s="4">
        <f>LEN(SUBSTITUTE(SUBSTITUTE(E126,"A",""),"T",""))</f>
        <v/>
      </c>
      <c r="H126" s="4" t="n">
        <v>-2.87</v>
      </c>
      <c r="I126" s="4" t="n">
        <v>-1.15</v>
      </c>
      <c r="J126" s="4" t="n">
        <v>-3.86</v>
      </c>
      <c r="K126" s="4" t="n">
        <v>-1.82</v>
      </c>
      <c r="M126">
        <f>MID($D126,1,1)</f>
        <v/>
      </c>
      <c r="N126">
        <f>MID($D126,2,1)</f>
        <v/>
      </c>
      <c r="O126">
        <f>MID($D126,3,1)</f>
        <v/>
      </c>
      <c r="P126">
        <f>MID($D126,4,1)</f>
        <v/>
      </c>
      <c r="Q126">
        <f>MID($D126,5,1)</f>
        <v/>
      </c>
      <c r="R126">
        <f>MID($D126,6,1)</f>
        <v/>
      </c>
      <c r="S126">
        <f>MID($D126,7,1)</f>
        <v/>
      </c>
      <c r="T126">
        <f>MID($D126,8,1)</f>
        <v/>
      </c>
      <c r="U126">
        <f>MID($D126,9,1)</f>
        <v/>
      </c>
      <c r="V126">
        <f>MID($D126,10,1)</f>
        <v/>
      </c>
      <c r="W126">
        <f>MID($E126,1,1)</f>
        <v/>
      </c>
      <c r="X126">
        <f>MID($E126,2,1)</f>
        <v/>
      </c>
      <c r="Y126">
        <f>MID($E126,3,1)</f>
        <v/>
      </c>
      <c r="Z126">
        <f>MID($E126,4,1)</f>
        <v/>
      </c>
      <c r="AA126">
        <f>MID($E126,5,1)</f>
        <v/>
      </c>
      <c r="AB126">
        <f>MID($E126,6,1)</f>
        <v/>
      </c>
      <c r="AC126">
        <f>MID($E126,7,1)</f>
        <v/>
      </c>
      <c r="AD126">
        <f>MID($E126,8,1)</f>
        <v/>
      </c>
      <c r="AE126">
        <f>MID($E126,9,1)</f>
        <v/>
      </c>
      <c r="AF126">
        <f>MID($E126,10,1)</f>
        <v/>
      </c>
    </row>
    <row r="127">
      <c r="A127" s="4" t="inlineStr">
        <is>
          <t>DN126</t>
        </is>
      </c>
      <c r="B127" s="4" t="n">
        <v>2</v>
      </c>
      <c r="C127" s="4" t="n">
        <v>3</v>
      </c>
      <c r="D127" s="5" t="inlineStr">
        <is>
          <t>GTTACAGGAT</t>
        </is>
      </c>
      <c r="E127" s="5" t="inlineStr">
        <is>
          <t>CATTGACGCC</t>
        </is>
      </c>
      <c r="F127" s="4">
        <f>LEN(SUBSTITUTE(SUBSTITUTE(D127,"A",""),"T",""))</f>
        <v/>
      </c>
      <c r="G127" s="4">
        <f>LEN(SUBSTITUTE(SUBSTITUTE(E127,"A",""),"T",""))</f>
        <v/>
      </c>
      <c r="H127" s="4" t="n">
        <v>-3.28</v>
      </c>
      <c r="I127" s="4" t="n">
        <v>-1.32</v>
      </c>
      <c r="J127" s="4" t="n">
        <v>-3.51</v>
      </c>
      <c r="K127" s="4" t="n">
        <v>-1.57</v>
      </c>
      <c r="M127">
        <f>MID($D127,1,1)</f>
        <v/>
      </c>
      <c r="N127">
        <f>MID($D127,2,1)</f>
        <v/>
      </c>
      <c r="O127">
        <f>MID($D127,3,1)</f>
        <v/>
      </c>
      <c r="P127">
        <f>MID($D127,4,1)</f>
        <v/>
      </c>
      <c r="Q127">
        <f>MID($D127,5,1)</f>
        <v/>
      </c>
      <c r="R127">
        <f>MID($D127,6,1)</f>
        <v/>
      </c>
      <c r="S127">
        <f>MID($D127,7,1)</f>
        <v/>
      </c>
      <c r="T127">
        <f>MID($D127,8,1)</f>
        <v/>
      </c>
      <c r="U127">
        <f>MID($D127,9,1)</f>
        <v/>
      </c>
      <c r="V127">
        <f>MID($D127,10,1)</f>
        <v/>
      </c>
      <c r="W127">
        <f>MID($E127,1,1)</f>
        <v/>
      </c>
      <c r="X127">
        <f>MID($E127,2,1)</f>
        <v/>
      </c>
      <c r="Y127">
        <f>MID($E127,3,1)</f>
        <v/>
      </c>
      <c r="Z127">
        <f>MID($E127,4,1)</f>
        <v/>
      </c>
      <c r="AA127">
        <f>MID($E127,5,1)</f>
        <v/>
      </c>
      <c r="AB127">
        <f>MID($E127,6,1)</f>
        <v/>
      </c>
      <c r="AC127">
        <f>MID($E127,7,1)</f>
        <v/>
      </c>
      <c r="AD127">
        <f>MID($E127,8,1)</f>
        <v/>
      </c>
      <c r="AE127">
        <f>MID($E127,9,1)</f>
        <v/>
      </c>
      <c r="AF127">
        <f>MID($E127,10,1)</f>
        <v/>
      </c>
    </row>
    <row r="128">
      <c r="A128" s="4" t="inlineStr">
        <is>
          <t>DN127</t>
        </is>
      </c>
      <c r="B128" s="4" t="n">
        <v>2</v>
      </c>
      <c r="C128" s="4" t="n">
        <v>3</v>
      </c>
      <c r="D128" s="5" t="inlineStr">
        <is>
          <t>CCGTACAACG</t>
        </is>
      </c>
      <c r="E128" s="5" t="inlineStr">
        <is>
          <t>TGTGGTATAG</t>
        </is>
      </c>
      <c r="F128" s="4">
        <f>LEN(SUBSTITUTE(SUBSTITUTE(D128,"A",""),"T",""))</f>
        <v/>
      </c>
      <c r="G128" s="4">
        <f>LEN(SUBSTITUTE(SUBSTITUTE(E128,"A",""),"T",""))</f>
        <v/>
      </c>
      <c r="H128" s="4" t="n">
        <v>-2.57</v>
      </c>
      <c r="I128" s="4" t="n">
        <v>-2.29</v>
      </c>
      <c r="J128" s="4" t="n">
        <v>-2.12</v>
      </c>
      <c r="K128" s="4" t="n">
        <v>-0.6899999999999999</v>
      </c>
      <c r="M128">
        <f>MID($D128,1,1)</f>
        <v/>
      </c>
      <c r="N128">
        <f>MID($D128,2,1)</f>
        <v/>
      </c>
      <c r="O128">
        <f>MID($D128,3,1)</f>
        <v/>
      </c>
      <c r="P128">
        <f>MID($D128,4,1)</f>
        <v/>
      </c>
      <c r="Q128">
        <f>MID($D128,5,1)</f>
        <v/>
      </c>
      <c r="R128">
        <f>MID($D128,6,1)</f>
        <v/>
      </c>
      <c r="S128">
        <f>MID($D128,7,1)</f>
        <v/>
      </c>
      <c r="T128">
        <f>MID($D128,8,1)</f>
        <v/>
      </c>
      <c r="U128">
        <f>MID($D128,9,1)</f>
        <v/>
      </c>
      <c r="V128">
        <f>MID($D128,10,1)</f>
        <v/>
      </c>
      <c r="W128">
        <f>MID($E128,1,1)</f>
        <v/>
      </c>
      <c r="X128">
        <f>MID($E128,2,1)</f>
        <v/>
      </c>
      <c r="Y128">
        <f>MID($E128,3,1)</f>
        <v/>
      </c>
      <c r="Z128">
        <f>MID($E128,4,1)</f>
        <v/>
      </c>
      <c r="AA128">
        <f>MID($E128,5,1)</f>
        <v/>
      </c>
      <c r="AB128">
        <f>MID($E128,6,1)</f>
        <v/>
      </c>
      <c r="AC128">
        <f>MID($E128,7,1)</f>
        <v/>
      </c>
      <c r="AD128">
        <f>MID($E128,8,1)</f>
        <v/>
      </c>
      <c r="AE128">
        <f>MID($E128,9,1)</f>
        <v/>
      </c>
      <c r="AF128">
        <f>MID($E128,10,1)</f>
        <v/>
      </c>
    </row>
    <row r="129">
      <c r="A129" s="4" t="inlineStr">
        <is>
          <t>DN128</t>
        </is>
      </c>
      <c r="B129" s="4" t="n">
        <v>2</v>
      </c>
      <c r="C129" s="4" t="n">
        <v>3</v>
      </c>
      <c r="D129" s="5" t="inlineStr">
        <is>
          <t>CCTGTAGTGG</t>
        </is>
      </c>
      <c r="E129" s="5" t="inlineStr">
        <is>
          <t>GTACTTGTCT</t>
        </is>
      </c>
      <c r="F129" s="4">
        <f>LEN(SUBSTITUTE(SUBSTITUTE(D129,"A",""),"T",""))</f>
        <v/>
      </c>
      <c r="G129" s="4">
        <f>LEN(SUBSTITUTE(SUBSTITUTE(E129,"A",""),"T",""))</f>
        <v/>
      </c>
      <c r="H129" s="4" t="n">
        <v>-1.82</v>
      </c>
      <c r="I129" s="4" t="n">
        <v>-0.72</v>
      </c>
      <c r="J129" s="4" t="n">
        <v>-2.27</v>
      </c>
      <c r="K129" s="4" t="n">
        <v>-1.01</v>
      </c>
      <c r="M129">
        <f>MID($D129,1,1)</f>
        <v/>
      </c>
      <c r="N129">
        <f>MID($D129,2,1)</f>
        <v/>
      </c>
      <c r="O129">
        <f>MID($D129,3,1)</f>
        <v/>
      </c>
      <c r="P129">
        <f>MID($D129,4,1)</f>
        <v/>
      </c>
      <c r="Q129">
        <f>MID($D129,5,1)</f>
        <v/>
      </c>
      <c r="R129">
        <f>MID($D129,6,1)</f>
        <v/>
      </c>
      <c r="S129">
        <f>MID($D129,7,1)</f>
        <v/>
      </c>
      <c r="T129">
        <f>MID($D129,8,1)</f>
        <v/>
      </c>
      <c r="U129">
        <f>MID($D129,9,1)</f>
        <v/>
      </c>
      <c r="V129">
        <f>MID($D129,10,1)</f>
        <v/>
      </c>
      <c r="W129">
        <f>MID($E129,1,1)</f>
        <v/>
      </c>
      <c r="X129">
        <f>MID($E129,2,1)</f>
        <v/>
      </c>
      <c r="Y129">
        <f>MID($E129,3,1)</f>
        <v/>
      </c>
      <c r="Z129">
        <f>MID($E129,4,1)</f>
        <v/>
      </c>
      <c r="AA129">
        <f>MID($E129,5,1)</f>
        <v/>
      </c>
      <c r="AB129">
        <f>MID($E129,6,1)</f>
        <v/>
      </c>
      <c r="AC129">
        <f>MID($E129,7,1)</f>
        <v/>
      </c>
      <c r="AD129">
        <f>MID($E129,8,1)</f>
        <v/>
      </c>
      <c r="AE129">
        <f>MID($E129,9,1)</f>
        <v/>
      </c>
      <c r="AF129">
        <f>MID($E129,10,1)</f>
        <v/>
      </c>
    </row>
    <row r="130">
      <c r="A130" s="4" t="inlineStr">
        <is>
          <t>DN129</t>
        </is>
      </c>
      <c r="B130" s="4" t="n">
        <v>2</v>
      </c>
      <c r="C130" s="4" t="n">
        <v>3</v>
      </c>
      <c r="D130" s="5" t="inlineStr">
        <is>
          <t>AGGTGAGGAG</t>
        </is>
      </c>
      <c r="E130" s="5" t="inlineStr">
        <is>
          <t>AGGACCAGAA</t>
        </is>
      </c>
      <c r="F130" s="4">
        <f>LEN(SUBSTITUTE(SUBSTITUTE(D130,"A",""),"T",""))</f>
        <v/>
      </c>
      <c r="G130" s="4">
        <f>LEN(SUBSTITUTE(SUBSTITUTE(E130,"A",""),"T",""))</f>
        <v/>
      </c>
      <c r="H130" s="4" t="n">
        <v>-5.52</v>
      </c>
      <c r="I130" s="4" t="n">
        <v>-2.55</v>
      </c>
      <c r="J130" s="4" t="n">
        <v>-2.94</v>
      </c>
      <c r="K130" s="4" t="n">
        <v>-1.53</v>
      </c>
      <c r="M130">
        <f>MID($D130,1,1)</f>
        <v/>
      </c>
      <c r="N130">
        <f>MID($D130,2,1)</f>
        <v/>
      </c>
      <c r="O130">
        <f>MID($D130,3,1)</f>
        <v/>
      </c>
      <c r="P130">
        <f>MID($D130,4,1)</f>
        <v/>
      </c>
      <c r="Q130">
        <f>MID($D130,5,1)</f>
        <v/>
      </c>
      <c r="R130">
        <f>MID($D130,6,1)</f>
        <v/>
      </c>
      <c r="S130">
        <f>MID($D130,7,1)</f>
        <v/>
      </c>
      <c r="T130">
        <f>MID($D130,8,1)</f>
        <v/>
      </c>
      <c r="U130">
        <f>MID($D130,9,1)</f>
        <v/>
      </c>
      <c r="V130">
        <f>MID($D130,10,1)</f>
        <v/>
      </c>
      <c r="W130">
        <f>MID($E130,1,1)</f>
        <v/>
      </c>
      <c r="X130">
        <f>MID($E130,2,1)</f>
        <v/>
      </c>
      <c r="Y130">
        <f>MID($E130,3,1)</f>
        <v/>
      </c>
      <c r="Z130">
        <f>MID($E130,4,1)</f>
        <v/>
      </c>
      <c r="AA130">
        <f>MID($E130,5,1)</f>
        <v/>
      </c>
      <c r="AB130">
        <f>MID($E130,6,1)</f>
        <v/>
      </c>
      <c r="AC130">
        <f>MID($E130,7,1)</f>
        <v/>
      </c>
      <c r="AD130">
        <f>MID($E130,8,1)</f>
        <v/>
      </c>
      <c r="AE130">
        <f>MID($E130,9,1)</f>
        <v/>
      </c>
      <c r="AF130">
        <f>MID($E130,10,1)</f>
        <v/>
      </c>
    </row>
    <row r="131">
      <c r="A131" s="4" t="inlineStr">
        <is>
          <t>DN130</t>
        </is>
      </c>
      <c r="B131" s="4" t="n">
        <v>2</v>
      </c>
      <c r="C131" s="4" t="n">
        <v>3</v>
      </c>
      <c r="D131" s="5" t="inlineStr">
        <is>
          <t>GAAGCTGGTT</t>
        </is>
      </c>
      <c r="E131" s="5" t="inlineStr">
        <is>
          <t>GCACTGGAAC</t>
        </is>
      </c>
      <c r="F131" s="4">
        <f>LEN(SUBSTITUTE(SUBSTITUTE(D131,"A",""),"T",""))</f>
        <v/>
      </c>
      <c r="G131" s="4">
        <f>LEN(SUBSTITUTE(SUBSTITUTE(E131,"A",""),"T",""))</f>
        <v/>
      </c>
      <c r="H131" s="4" t="n">
        <v>-3.86</v>
      </c>
      <c r="I131" s="4" t="n">
        <v>-1.61</v>
      </c>
      <c r="J131" s="4" t="n">
        <v>-2.84</v>
      </c>
      <c r="K131" s="4" t="n">
        <v>-1.08</v>
      </c>
      <c r="M131">
        <f>MID($D131,1,1)</f>
        <v/>
      </c>
      <c r="N131">
        <f>MID($D131,2,1)</f>
        <v/>
      </c>
      <c r="O131">
        <f>MID($D131,3,1)</f>
        <v/>
      </c>
      <c r="P131">
        <f>MID($D131,4,1)</f>
        <v/>
      </c>
      <c r="Q131">
        <f>MID($D131,5,1)</f>
        <v/>
      </c>
      <c r="R131">
        <f>MID($D131,6,1)</f>
        <v/>
      </c>
      <c r="S131">
        <f>MID($D131,7,1)</f>
        <v/>
      </c>
      <c r="T131">
        <f>MID($D131,8,1)</f>
        <v/>
      </c>
      <c r="U131">
        <f>MID($D131,9,1)</f>
        <v/>
      </c>
      <c r="V131">
        <f>MID($D131,10,1)</f>
        <v/>
      </c>
      <c r="W131">
        <f>MID($E131,1,1)</f>
        <v/>
      </c>
      <c r="X131">
        <f>MID($E131,2,1)</f>
        <v/>
      </c>
      <c r="Y131">
        <f>MID($E131,3,1)</f>
        <v/>
      </c>
      <c r="Z131">
        <f>MID($E131,4,1)</f>
        <v/>
      </c>
      <c r="AA131">
        <f>MID($E131,5,1)</f>
        <v/>
      </c>
      <c r="AB131">
        <f>MID($E131,6,1)</f>
        <v/>
      </c>
      <c r="AC131">
        <f>MID($E131,7,1)</f>
        <v/>
      </c>
      <c r="AD131">
        <f>MID($E131,8,1)</f>
        <v/>
      </c>
      <c r="AE131">
        <f>MID($E131,9,1)</f>
        <v/>
      </c>
      <c r="AF131">
        <f>MID($E131,10,1)</f>
        <v/>
      </c>
    </row>
    <row r="132">
      <c r="A132" s="4" t="inlineStr">
        <is>
          <t>DN131</t>
        </is>
      </c>
      <c r="B132" s="4" t="n">
        <v>2</v>
      </c>
      <c r="C132" s="4" t="n">
        <v>3</v>
      </c>
      <c r="D132" s="5" t="inlineStr">
        <is>
          <t>GCGGATGTCT</t>
        </is>
      </c>
      <c r="E132" s="5" t="inlineStr">
        <is>
          <t>CGAAGAACAG</t>
        </is>
      </c>
      <c r="F132" s="4">
        <f>LEN(SUBSTITUTE(SUBSTITUTE(D132,"A",""),"T",""))</f>
        <v/>
      </c>
      <c r="G132" s="4">
        <f>LEN(SUBSTITUTE(SUBSTITUTE(E132,"A",""),"T",""))</f>
        <v/>
      </c>
      <c r="H132" s="4" t="n">
        <v>-3.4</v>
      </c>
      <c r="I132" s="4" t="n">
        <v>-2.27</v>
      </c>
      <c r="J132" s="4" t="n">
        <v>-3.24</v>
      </c>
      <c r="K132" s="4" t="n">
        <v>-1.89</v>
      </c>
      <c r="M132">
        <f>MID($D132,1,1)</f>
        <v/>
      </c>
      <c r="N132">
        <f>MID($D132,2,1)</f>
        <v/>
      </c>
      <c r="O132">
        <f>MID($D132,3,1)</f>
        <v/>
      </c>
      <c r="P132">
        <f>MID($D132,4,1)</f>
        <v/>
      </c>
      <c r="Q132">
        <f>MID($D132,5,1)</f>
        <v/>
      </c>
      <c r="R132">
        <f>MID($D132,6,1)</f>
        <v/>
      </c>
      <c r="S132">
        <f>MID($D132,7,1)</f>
        <v/>
      </c>
      <c r="T132">
        <f>MID($D132,8,1)</f>
        <v/>
      </c>
      <c r="U132">
        <f>MID($D132,9,1)</f>
        <v/>
      </c>
      <c r="V132">
        <f>MID($D132,10,1)</f>
        <v/>
      </c>
      <c r="W132">
        <f>MID($E132,1,1)</f>
        <v/>
      </c>
      <c r="X132">
        <f>MID($E132,2,1)</f>
        <v/>
      </c>
      <c r="Y132">
        <f>MID($E132,3,1)</f>
        <v/>
      </c>
      <c r="Z132">
        <f>MID($E132,4,1)</f>
        <v/>
      </c>
      <c r="AA132">
        <f>MID($E132,5,1)</f>
        <v/>
      </c>
      <c r="AB132">
        <f>MID($E132,6,1)</f>
        <v/>
      </c>
      <c r="AC132">
        <f>MID($E132,7,1)</f>
        <v/>
      </c>
      <c r="AD132">
        <f>MID($E132,8,1)</f>
        <v/>
      </c>
      <c r="AE132">
        <f>MID($E132,9,1)</f>
        <v/>
      </c>
      <c r="AF132">
        <f>MID($E132,10,1)</f>
        <v/>
      </c>
    </row>
    <row r="133">
      <c r="A133" s="4" t="inlineStr">
        <is>
          <t>DN132</t>
        </is>
      </c>
      <c r="B133" s="4" t="n">
        <v>2</v>
      </c>
      <c r="C133" s="4" t="n">
        <v>3</v>
      </c>
      <c r="D133" s="5" t="inlineStr">
        <is>
          <t>CGAGTCGCTT</t>
        </is>
      </c>
      <c r="E133" s="5" t="inlineStr">
        <is>
          <t>AATGACTGGA</t>
        </is>
      </c>
      <c r="F133" s="4">
        <f>LEN(SUBSTITUTE(SUBSTITUTE(D133,"A",""),"T",""))</f>
        <v/>
      </c>
      <c r="G133" s="4">
        <f>LEN(SUBSTITUTE(SUBSTITUTE(E133,"A",""),"T",""))</f>
        <v/>
      </c>
      <c r="H133" s="4" t="n">
        <v>-3.65</v>
      </c>
      <c r="I133" s="4" t="n">
        <v>-0.88</v>
      </c>
      <c r="J133" s="4" t="n">
        <v>-2.84</v>
      </c>
      <c r="K133" s="4" t="n">
        <v>-1.08</v>
      </c>
      <c r="M133">
        <f>MID($D133,1,1)</f>
        <v/>
      </c>
      <c r="N133">
        <f>MID($D133,2,1)</f>
        <v/>
      </c>
      <c r="O133">
        <f>MID($D133,3,1)</f>
        <v/>
      </c>
      <c r="P133">
        <f>MID($D133,4,1)</f>
        <v/>
      </c>
      <c r="Q133">
        <f>MID($D133,5,1)</f>
        <v/>
      </c>
      <c r="R133">
        <f>MID($D133,6,1)</f>
        <v/>
      </c>
      <c r="S133">
        <f>MID($D133,7,1)</f>
        <v/>
      </c>
      <c r="T133">
        <f>MID($D133,8,1)</f>
        <v/>
      </c>
      <c r="U133">
        <f>MID($D133,9,1)</f>
        <v/>
      </c>
      <c r="V133">
        <f>MID($D133,10,1)</f>
        <v/>
      </c>
      <c r="W133">
        <f>MID($E133,1,1)</f>
        <v/>
      </c>
      <c r="X133">
        <f>MID($E133,2,1)</f>
        <v/>
      </c>
      <c r="Y133">
        <f>MID($E133,3,1)</f>
        <v/>
      </c>
      <c r="Z133">
        <f>MID($E133,4,1)</f>
        <v/>
      </c>
      <c r="AA133">
        <f>MID($E133,5,1)</f>
        <v/>
      </c>
      <c r="AB133">
        <f>MID($E133,6,1)</f>
        <v/>
      </c>
      <c r="AC133">
        <f>MID($E133,7,1)</f>
        <v/>
      </c>
      <c r="AD133">
        <f>MID($E133,8,1)</f>
        <v/>
      </c>
      <c r="AE133">
        <f>MID($E133,9,1)</f>
        <v/>
      </c>
      <c r="AF133">
        <f>MID($E133,10,1)</f>
        <v/>
      </c>
    </row>
    <row r="134">
      <c r="A134" s="4" t="inlineStr">
        <is>
          <t>DN133</t>
        </is>
      </c>
      <c r="B134" s="4" t="n">
        <v>2</v>
      </c>
      <c r="C134" s="4" t="n">
        <v>3</v>
      </c>
      <c r="D134" s="5" t="inlineStr">
        <is>
          <t>GTCCTAGACC</t>
        </is>
      </c>
      <c r="E134" s="5" t="inlineStr">
        <is>
          <t>CGTCCTATTG</t>
        </is>
      </c>
      <c r="F134" s="4">
        <f>LEN(SUBSTITUTE(SUBSTITUTE(D134,"A",""),"T",""))</f>
        <v/>
      </c>
      <c r="G134" s="4">
        <f>LEN(SUBSTITUTE(SUBSTITUTE(E134,"A",""),"T",""))</f>
        <v/>
      </c>
      <c r="H134" s="4" t="n">
        <v>-1.66</v>
      </c>
      <c r="I134" s="4" t="n">
        <v>-0.92</v>
      </c>
      <c r="J134" s="4" t="n">
        <v>-1.81</v>
      </c>
      <c r="K134" s="4" t="n">
        <v>-0.17</v>
      </c>
      <c r="M134">
        <f>MID($D134,1,1)</f>
        <v/>
      </c>
      <c r="N134">
        <f>MID($D134,2,1)</f>
        <v/>
      </c>
      <c r="O134">
        <f>MID($D134,3,1)</f>
        <v/>
      </c>
      <c r="P134">
        <f>MID($D134,4,1)</f>
        <v/>
      </c>
      <c r="Q134">
        <f>MID($D134,5,1)</f>
        <v/>
      </c>
      <c r="R134">
        <f>MID($D134,6,1)</f>
        <v/>
      </c>
      <c r="S134">
        <f>MID($D134,7,1)</f>
        <v/>
      </c>
      <c r="T134">
        <f>MID($D134,8,1)</f>
        <v/>
      </c>
      <c r="U134">
        <f>MID($D134,9,1)</f>
        <v/>
      </c>
      <c r="V134">
        <f>MID($D134,10,1)</f>
        <v/>
      </c>
      <c r="W134">
        <f>MID($E134,1,1)</f>
        <v/>
      </c>
      <c r="X134">
        <f>MID($E134,2,1)</f>
        <v/>
      </c>
      <c r="Y134">
        <f>MID($E134,3,1)</f>
        <v/>
      </c>
      <c r="Z134">
        <f>MID($E134,4,1)</f>
        <v/>
      </c>
      <c r="AA134">
        <f>MID($E134,5,1)</f>
        <v/>
      </c>
      <c r="AB134">
        <f>MID($E134,6,1)</f>
        <v/>
      </c>
      <c r="AC134">
        <f>MID($E134,7,1)</f>
        <v/>
      </c>
      <c r="AD134">
        <f>MID($E134,8,1)</f>
        <v/>
      </c>
      <c r="AE134">
        <f>MID($E134,9,1)</f>
        <v/>
      </c>
      <c r="AF134">
        <f>MID($E134,10,1)</f>
        <v/>
      </c>
    </row>
    <row r="135">
      <c r="A135" s="4" t="inlineStr">
        <is>
          <t>DN134</t>
        </is>
      </c>
      <c r="B135" s="4" t="n">
        <v>2</v>
      </c>
      <c r="C135" s="4" t="n">
        <v>3</v>
      </c>
      <c r="D135" s="5" t="inlineStr">
        <is>
          <t>GCCTGGTGTA</t>
        </is>
      </c>
      <c r="E135" s="5" t="inlineStr">
        <is>
          <t>GTCCGTCCAT</t>
        </is>
      </c>
      <c r="F135" s="4">
        <f>LEN(SUBSTITUTE(SUBSTITUTE(D135,"A",""),"T",""))</f>
        <v/>
      </c>
      <c r="G135" s="4">
        <f>LEN(SUBSTITUTE(SUBSTITUTE(E135,"A",""),"T",""))</f>
        <v/>
      </c>
      <c r="H135" s="4" t="n">
        <v>-2.38</v>
      </c>
      <c r="I135" s="4" t="n">
        <v>-2.38</v>
      </c>
      <c r="J135" s="4" t="n">
        <v>-2.81</v>
      </c>
      <c r="K135" s="4" t="n">
        <v>0</v>
      </c>
      <c r="M135">
        <f>MID($D135,1,1)</f>
        <v/>
      </c>
      <c r="N135">
        <f>MID($D135,2,1)</f>
        <v/>
      </c>
      <c r="O135">
        <f>MID($D135,3,1)</f>
        <v/>
      </c>
      <c r="P135">
        <f>MID($D135,4,1)</f>
        <v/>
      </c>
      <c r="Q135">
        <f>MID($D135,5,1)</f>
        <v/>
      </c>
      <c r="R135">
        <f>MID($D135,6,1)</f>
        <v/>
      </c>
      <c r="S135">
        <f>MID($D135,7,1)</f>
        <v/>
      </c>
      <c r="T135">
        <f>MID($D135,8,1)</f>
        <v/>
      </c>
      <c r="U135">
        <f>MID($D135,9,1)</f>
        <v/>
      </c>
      <c r="V135">
        <f>MID($D135,10,1)</f>
        <v/>
      </c>
      <c r="W135">
        <f>MID($E135,1,1)</f>
        <v/>
      </c>
      <c r="X135">
        <f>MID($E135,2,1)</f>
        <v/>
      </c>
      <c r="Y135">
        <f>MID($E135,3,1)</f>
        <v/>
      </c>
      <c r="Z135">
        <f>MID($E135,4,1)</f>
        <v/>
      </c>
      <c r="AA135">
        <f>MID($E135,5,1)</f>
        <v/>
      </c>
      <c r="AB135">
        <f>MID($E135,6,1)</f>
        <v/>
      </c>
      <c r="AC135">
        <f>MID($E135,7,1)</f>
        <v/>
      </c>
      <c r="AD135">
        <f>MID($E135,8,1)</f>
        <v/>
      </c>
      <c r="AE135">
        <f>MID($E135,9,1)</f>
        <v/>
      </c>
      <c r="AF135">
        <f>MID($E135,10,1)</f>
        <v/>
      </c>
    </row>
    <row r="136">
      <c r="A136" s="4" t="inlineStr">
        <is>
          <t>DN135</t>
        </is>
      </c>
      <c r="B136" s="4" t="n">
        <v>2</v>
      </c>
      <c r="C136" s="4" t="n">
        <v>3</v>
      </c>
      <c r="D136" s="5" t="inlineStr">
        <is>
          <t>AGGCCTCAAG</t>
        </is>
      </c>
      <c r="E136" s="5" t="inlineStr">
        <is>
          <t>AAGGTACAAC</t>
        </is>
      </c>
      <c r="F136" s="4">
        <f>LEN(SUBSTITUTE(SUBSTITUTE(D136,"A",""),"T",""))</f>
        <v/>
      </c>
      <c r="G136" s="4">
        <f>LEN(SUBSTITUTE(SUBSTITUTE(E136,"A",""),"T",""))</f>
        <v/>
      </c>
      <c r="H136" s="4" t="n">
        <v>-3.23</v>
      </c>
      <c r="I136" s="4" t="n">
        <v>-3</v>
      </c>
      <c r="J136" s="4" t="n">
        <v>-2.27</v>
      </c>
      <c r="K136" s="4" t="n">
        <v>-0.75</v>
      </c>
      <c r="M136">
        <f>MID($D136,1,1)</f>
        <v/>
      </c>
      <c r="N136">
        <f>MID($D136,2,1)</f>
        <v/>
      </c>
      <c r="O136">
        <f>MID($D136,3,1)</f>
        <v/>
      </c>
      <c r="P136">
        <f>MID($D136,4,1)</f>
        <v/>
      </c>
      <c r="Q136">
        <f>MID($D136,5,1)</f>
        <v/>
      </c>
      <c r="R136">
        <f>MID($D136,6,1)</f>
        <v/>
      </c>
      <c r="S136">
        <f>MID($D136,7,1)</f>
        <v/>
      </c>
      <c r="T136">
        <f>MID($D136,8,1)</f>
        <v/>
      </c>
      <c r="U136">
        <f>MID($D136,9,1)</f>
        <v/>
      </c>
      <c r="V136">
        <f>MID($D136,10,1)</f>
        <v/>
      </c>
      <c r="W136">
        <f>MID($E136,1,1)</f>
        <v/>
      </c>
      <c r="X136">
        <f>MID($E136,2,1)</f>
        <v/>
      </c>
      <c r="Y136">
        <f>MID($E136,3,1)</f>
        <v/>
      </c>
      <c r="Z136">
        <f>MID($E136,4,1)</f>
        <v/>
      </c>
      <c r="AA136">
        <f>MID($E136,5,1)</f>
        <v/>
      </c>
      <c r="AB136">
        <f>MID($E136,6,1)</f>
        <v/>
      </c>
      <c r="AC136">
        <f>MID($E136,7,1)</f>
        <v/>
      </c>
      <c r="AD136">
        <f>MID($E136,8,1)</f>
        <v/>
      </c>
      <c r="AE136">
        <f>MID($E136,9,1)</f>
        <v/>
      </c>
      <c r="AF136">
        <f>MID($E136,10,1)</f>
        <v/>
      </c>
    </row>
    <row r="137">
      <c r="A137" s="4" t="inlineStr">
        <is>
          <t>DN136</t>
        </is>
      </c>
      <c r="B137" s="4" t="n">
        <v>2</v>
      </c>
      <c r="C137" s="4" t="n">
        <v>3</v>
      </c>
      <c r="D137" s="5" t="inlineStr">
        <is>
          <t>ATCTCATAGC</t>
        </is>
      </c>
      <c r="E137" s="5" t="inlineStr">
        <is>
          <t>CGGTCTGGAT</t>
        </is>
      </c>
      <c r="F137" s="4">
        <f>LEN(SUBSTITUTE(SUBSTITUTE(D137,"A",""),"T",""))</f>
        <v/>
      </c>
      <c r="G137" s="4">
        <f>LEN(SUBSTITUTE(SUBSTITUTE(E137,"A",""),"T",""))</f>
        <v/>
      </c>
      <c r="H137" s="4" t="n">
        <v>-1.39</v>
      </c>
      <c r="I137" s="4" t="n">
        <v>-0.85</v>
      </c>
      <c r="J137" s="4" t="n">
        <v>-3.57</v>
      </c>
      <c r="K137" s="4" t="n">
        <v>-1.37</v>
      </c>
      <c r="M137">
        <f>MID($D137,1,1)</f>
        <v/>
      </c>
      <c r="N137">
        <f>MID($D137,2,1)</f>
        <v/>
      </c>
      <c r="O137">
        <f>MID($D137,3,1)</f>
        <v/>
      </c>
      <c r="P137">
        <f>MID($D137,4,1)</f>
        <v/>
      </c>
      <c r="Q137">
        <f>MID($D137,5,1)</f>
        <v/>
      </c>
      <c r="R137">
        <f>MID($D137,6,1)</f>
        <v/>
      </c>
      <c r="S137">
        <f>MID($D137,7,1)</f>
        <v/>
      </c>
      <c r="T137">
        <f>MID($D137,8,1)</f>
        <v/>
      </c>
      <c r="U137">
        <f>MID($D137,9,1)</f>
        <v/>
      </c>
      <c r="V137">
        <f>MID($D137,10,1)</f>
        <v/>
      </c>
      <c r="W137">
        <f>MID($E137,1,1)</f>
        <v/>
      </c>
      <c r="X137">
        <f>MID($E137,2,1)</f>
        <v/>
      </c>
      <c r="Y137">
        <f>MID($E137,3,1)</f>
        <v/>
      </c>
      <c r="Z137">
        <f>MID($E137,4,1)</f>
        <v/>
      </c>
      <c r="AA137">
        <f>MID($E137,5,1)</f>
        <v/>
      </c>
      <c r="AB137">
        <f>MID($E137,6,1)</f>
        <v/>
      </c>
      <c r="AC137">
        <f>MID($E137,7,1)</f>
        <v/>
      </c>
      <c r="AD137">
        <f>MID($E137,8,1)</f>
        <v/>
      </c>
      <c r="AE137">
        <f>MID($E137,9,1)</f>
        <v/>
      </c>
      <c r="AF137">
        <f>MID($E137,10,1)</f>
        <v/>
      </c>
    </row>
    <row r="138">
      <c r="A138" s="4" t="inlineStr">
        <is>
          <t>DN137</t>
        </is>
      </c>
      <c r="B138" s="4" t="n">
        <v>2</v>
      </c>
      <c r="C138" s="4" t="n">
        <v>3</v>
      </c>
      <c r="D138" s="5" t="inlineStr">
        <is>
          <t>ACTGGCTCTC</t>
        </is>
      </c>
      <c r="E138" s="5" t="inlineStr">
        <is>
          <t>CATCGAACCT</t>
        </is>
      </c>
      <c r="F138" s="4">
        <f>LEN(SUBSTITUTE(SUBSTITUTE(D138,"A",""),"T",""))</f>
        <v/>
      </c>
      <c r="G138" s="4">
        <f>LEN(SUBSTITUTE(SUBSTITUTE(E138,"A",""),"T",""))</f>
        <v/>
      </c>
      <c r="H138" s="4" t="n">
        <v>-3.21</v>
      </c>
      <c r="I138" s="4" t="n">
        <v>-2.89</v>
      </c>
      <c r="J138" s="4" t="n">
        <v>-4.17</v>
      </c>
      <c r="K138" s="4" t="n">
        <v>-0.9</v>
      </c>
      <c r="M138">
        <f>MID($D138,1,1)</f>
        <v/>
      </c>
      <c r="N138">
        <f>MID($D138,2,1)</f>
        <v/>
      </c>
      <c r="O138">
        <f>MID($D138,3,1)</f>
        <v/>
      </c>
      <c r="P138">
        <f>MID($D138,4,1)</f>
        <v/>
      </c>
      <c r="Q138">
        <f>MID($D138,5,1)</f>
        <v/>
      </c>
      <c r="R138">
        <f>MID($D138,6,1)</f>
        <v/>
      </c>
      <c r="S138">
        <f>MID($D138,7,1)</f>
        <v/>
      </c>
      <c r="T138">
        <f>MID($D138,8,1)</f>
        <v/>
      </c>
      <c r="U138">
        <f>MID($D138,9,1)</f>
        <v/>
      </c>
      <c r="V138">
        <f>MID($D138,10,1)</f>
        <v/>
      </c>
      <c r="W138">
        <f>MID($E138,1,1)</f>
        <v/>
      </c>
      <c r="X138">
        <f>MID($E138,2,1)</f>
        <v/>
      </c>
      <c r="Y138">
        <f>MID($E138,3,1)</f>
        <v/>
      </c>
      <c r="Z138">
        <f>MID($E138,4,1)</f>
        <v/>
      </c>
      <c r="AA138">
        <f>MID($E138,5,1)</f>
        <v/>
      </c>
      <c r="AB138">
        <f>MID($E138,6,1)</f>
        <v/>
      </c>
      <c r="AC138">
        <f>MID($E138,7,1)</f>
        <v/>
      </c>
      <c r="AD138">
        <f>MID($E138,8,1)</f>
        <v/>
      </c>
      <c r="AE138">
        <f>MID($E138,9,1)</f>
        <v/>
      </c>
      <c r="AF138">
        <f>MID($E138,10,1)</f>
        <v/>
      </c>
    </row>
    <row r="139">
      <c r="A139" s="4" t="inlineStr">
        <is>
          <t>DN138</t>
        </is>
      </c>
      <c r="B139" s="4" t="n">
        <v>2</v>
      </c>
      <c r="C139" s="4" t="n">
        <v>3</v>
      </c>
      <c r="D139" s="5" t="inlineStr">
        <is>
          <t>CGGCCAACAA</t>
        </is>
      </c>
      <c r="E139" s="5" t="inlineStr">
        <is>
          <t>ACAATGAACC</t>
        </is>
      </c>
      <c r="F139" s="4">
        <f>LEN(SUBSTITUTE(SUBSTITUTE(D139,"A",""),"T",""))</f>
        <v/>
      </c>
      <c r="G139" s="4">
        <f>LEN(SUBSTITUTE(SUBSTITUTE(E139,"A",""),"T",""))</f>
        <v/>
      </c>
      <c r="H139" s="4" t="n">
        <v>-3.11</v>
      </c>
      <c r="I139" s="4" t="n">
        <v>-2.6</v>
      </c>
      <c r="J139" s="4" t="n">
        <v>-1.84</v>
      </c>
      <c r="K139" s="4" t="n">
        <v>-1.84</v>
      </c>
      <c r="M139">
        <f>MID($D139,1,1)</f>
        <v/>
      </c>
      <c r="N139">
        <f>MID($D139,2,1)</f>
        <v/>
      </c>
      <c r="O139">
        <f>MID($D139,3,1)</f>
        <v/>
      </c>
      <c r="P139">
        <f>MID($D139,4,1)</f>
        <v/>
      </c>
      <c r="Q139">
        <f>MID($D139,5,1)</f>
        <v/>
      </c>
      <c r="R139">
        <f>MID($D139,6,1)</f>
        <v/>
      </c>
      <c r="S139">
        <f>MID($D139,7,1)</f>
        <v/>
      </c>
      <c r="T139">
        <f>MID($D139,8,1)</f>
        <v/>
      </c>
      <c r="U139">
        <f>MID($D139,9,1)</f>
        <v/>
      </c>
      <c r="V139">
        <f>MID($D139,10,1)</f>
        <v/>
      </c>
      <c r="W139">
        <f>MID($E139,1,1)</f>
        <v/>
      </c>
      <c r="X139">
        <f>MID($E139,2,1)</f>
        <v/>
      </c>
      <c r="Y139">
        <f>MID($E139,3,1)</f>
        <v/>
      </c>
      <c r="Z139">
        <f>MID($E139,4,1)</f>
        <v/>
      </c>
      <c r="AA139">
        <f>MID($E139,5,1)</f>
        <v/>
      </c>
      <c r="AB139">
        <f>MID($E139,6,1)</f>
        <v/>
      </c>
      <c r="AC139">
        <f>MID($E139,7,1)</f>
        <v/>
      </c>
      <c r="AD139">
        <f>MID($E139,8,1)</f>
        <v/>
      </c>
      <c r="AE139">
        <f>MID($E139,9,1)</f>
        <v/>
      </c>
      <c r="AF139">
        <f>MID($E139,10,1)</f>
        <v/>
      </c>
    </row>
    <row r="140">
      <c r="A140" s="4" t="inlineStr">
        <is>
          <t>DN139</t>
        </is>
      </c>
      <c r="B140" s="4" t="n">
        <v>2</v>
      </c>
      <c r="C140" s="4" t="n">
        <v>3</v>
      </c>
      <c r="D140" s="5" t="inlineStr">
        <is>
          <t>GTCTGGACAG</t>
        </is>
      </c>
      <c r="E140" s="5" t="inlineStr">
        <is>
          <t>GCAGACCTAG</t>
        </is>
      </c>
      <c r="F140" s="4">
        <f>LEN(SUBSTITUTE(SUBSTITUTE(D140,"A",""),"T",""))</f>
        <v/>
      </c>
      <c r="G140" s="4">
        <f>LEN(SUBSTITUTE(SUBSTITUTE(E140,"A",""),"T",""))</f>
        <v/>
      </c>
      <c r="H140" s="4" t="n">
        <v>-3.28</v>
      </c>
      <c r="I140" s="4" t="n">
        <v>-1.74</v>
      </c>
      <c r="J140" s="4" t="n">
        <v>-3.42</v>
      </c>
      <c r="K140" s="4" t="n">
        <v>-1.1</v>
      </c>
      <c r="M140">
        <f>MID($D140,1,1)</f>
        <v/>
      </c>
      <c r="N140">
        <f>MID($D140,2,1)</f>
        <v/>
      </c>
      <c r="O140">
        <f>MID($D140,3,1)</f>
        <v/>
      </c>
      <c r="P140">
        <f>MID($D140,4,1)</f>
        <v/>
      </c>
      <c r="Q140">
        <f>MID($D140,5,1)</f>
        <v/>
      </c>
      <c r="R140">
        <f>MID($D140,6,1)</f>
        <v/>
      </c>
      <c r="S140">
        <f>MID($D140,7,1)</f>
        <v/>
      </c>
      <c r="T140">
        <f>MID($D140,8,1)</f>
        <v/>
      </c>
      <c r="U140">
        <f>MID($D140,9,1)</f>
        <v/>
      </c>
      <c r="V140">
        <f>MID($D140,10,1)</f>
        <v/>
      </c>
      <c r="W140">
        <f>MID($E140,1,1)</f>
        <v/>
      </c>
      <c r="X140">
        <f>MID($E140,2,1)</f>
        <v/>
      </c>
      <c r="Y140">
        <f>MID($E140,3,1)</f>
        <v/>
      </c>
      <c r="Z140">
        <f>MID($E140,4,1)</f>
        <v/>
      </c>
      <c r="AA140">
        <f>MID($E140,5,1)</f>
        <v/>
      </c>
      <c r="AB140">
        <f>MID($E140,6,1)</f>
        <v/>
      </c>
      <c r="AC140">
        <f>MID($E140,7,1)</f>
        <v/>
      </c>
      <c r="AD140">
        <f>MID($E140,8,1)</f>
        <v/>
      </c>
      <c r="AE140">
        <f>MID($E140,9,1)</f>
        <v/>
      </c>
      <c r="AF140">
        <f>MID($E140,10,1)</f>
        <v/>
      </c>
    </row>
    <row r="141">
      <c r="A141" s="4" t="inlineStr">
        <is>
          <t>DN140</t>
        </is>
      </c>
      <c r="B141" s="4" t="n">
        <v>2</v>
      </c>
      <c r="C141" s="4" t="n">
        <v>3</v>
      </c>
      <c r="D141" s="5" t="inlineStr">
        <is>
          <t>ATACCTCTGT</t>
        </is>
      </c>
      <c r="E141" s="5" t="inlineStr">
        <is>
          <t>TTATCTTGCG</t>
        </is>
      </c>
      <c r="F141" s="4">
        <f>LEN(SUBSTITUTE(SUBSTITUTE(D141,"A",""),"T",""))</f>
        <v/>
      </c>
      <c r="G141" s="4">
        <f>LEN(SUBSTITUTE(SUBSTITUTE(E141,"A",""),"T",""))</f>
        <v/>
      </c>
      <c r="H141" s="4" t="n">
        <v>-2.19</v>
      </c>
      <c r="I141" s="4" t="n">
        <v>-0.2</v>
      </c>
      <c r="J141" s="4" t="n">
        <v>-2.3</v>
      </c>
      <c r="K141" s="4" t="n">
        <v>-0.17</v>
      </c>
      <c r="M141">
        <f>MID($D141,1,1)</f>
        <v/>
      </c>
      <c r="N141">
        <f>MID($D141,2,1)</f>
        <v/>
      </c>
      <c r="O141">
        <f>MID($D141,3,1)</f>
        <v/>
      </c>
      <c r="P141">
        <f>MID($D141,4,1)</f>
        <v/>
      </c>
      <c r="Q141">
        <f>MID($D141,5,1)</f>
        <v/>
      </c>
      <c r="R141">
        <f>MID($D141,6,1)</f>
        <v/>
      </c>
      <c r="S141">
        <f>MID($D141,7,1)</f>
        <v/>
      </c>
      <c r="T141">
        <f>MID($D141,8,1)</f>
        <v/>
      </c>
      <c r="U141">
        <f>MID($D141,9,1)</f>
        <v/>
      </c>
      <c r="V141">
        <f>MID($D141,10,1)</f>
        <v/>
      </c>
      <c r="W141">
        <f>MID($E141,1,1)</f>
        <v/>
      </c>
      <c r="X141">
        <f>MID($E141,2,1)</f>
        <v/>
      </c>
      <c r="Y141">
        <f>MID($E141,3,1)</f>
        <v/>
      </c>
      <c r="Z141">
        <f>MID($E141,4,1)</f>
        <v/>
      </c>
      <c r="AA141">
        <f>MID($E141,5,1)</f>
        <v/>
      </c>
      <c r="AB141">
        <f>MID($E141,6,1)</f>
        <v/>
      </c>
      <c r="AC141">
        <f>MID($E141,7,1)</f>
        <v/>
      </c>
      <c r="AD141">
        <f>MID($E141,8,1)</f>
        <v/>
      </c>
      <c r="AE141">
        <f>MID($E141,9,1)</f>
        <v/>
      </c>
      <c r="AF141">
        <f>MID($E141,10,1)</f>
        <v/>
      </c>
    </row>
    <row r="142">
      <c r="A142" s="4" t="inlineStr">
        <is>
          <t>DN141</t>
        </is>
      </c>
      <c r="B142" s="4" t="n">
        <v>2</v>
      </c>
      <c r="C142" s="4" t="n">
        <v>3</v>
      </c>
      <c r="D142" s="5" t="inlineStr">
        <is>
          <t>ACTCCGCTAC</t>
        </is>
      </c>
      <c r="E142" s="5" t="inlineStr">
        <is>
          <t>GTAAGTACTG</t>
        </is>
      </c>
      <c r="F142" s="4">
        <f>LEN(SUBSTITUTE(SUBSTITUTE(D142,"A",""),"T",""))</f>
        <v/>
      </c>
      <c r="G142" s="4">
        <f>LEN(SUBSTITUTE(SUBSTITUTE(E142,"A",""),"T",""))</f>
        <v/>
      </c>
      <c r="H142" s="4" t="n">
        <v>-3.53</v>
      </c>
      <c r="I142" s="4" t="n">
        <v>-0.66</v>
      </c>
      <c r="J142" s="4" t="n">
        <v>-1.45</v>
      </c>
      <c r="K142" s="4" t="n">
        <v>-0.39</v>
      </c>
      <c r="M142">
        <f>MID($D142,1,1)</f>
        <v/>
      </c>
      <c r="N142">
        <f>MID($D142,2,1)</f>
        <v/>
      </c>
      <c r="O142">
        <f>MID($D142,3,1)</f>
        <v/>
      </c>
      <c r="P142">
        <f>MID($D142,4,1)</f>
        <v/>
      </c>
      <c r="Q142">
        <f>MID($D142,5,1)</f>
        <v/>
      </c>
      <c r="R142">
        <f>MID($D142,6,1)</f>
        <v/>
      </c>
      <c r="S142">
        <f>MID($D142,7,1)</f>
        <v/>
      </c>
      <c r="T142">
        <f>MID($D142,8,1)</f>
        <v/>
      </c>
      <c r="U142">
        <f>MID($D142,9,1)</f>
        <v/>
      </c>
      <c r="V142">
        <f>MID($D142,10,1)</f>
        <v/>
      </c>
      <c r="W142">
        <f>MID($E142,1,1)</f>
        <v/>
      </c>
      <c r="X142">
        <f>MID($E142,2,1)</f>
        <v/>
      </c>
      <c r="Y142">
        <f>MID($E142,3,1)</f>
        <v/>
      </c>
      <c r="Z142">
        <f>MID($E142,4,1)</f>
        <v/>
      </c>
      <c r="AA142">
        <f>MID($E142,5,1)</f>
        <v/>
      </c>
      <c r="AB142">
        <f>MID($E142,6,1)</f>
        <v/>
      </c>
      <c r="AC142">
        <f>MID($E142,7,1)</f>
        <v/>
      </c>
      <c r="AD142">
        <f>MID($E142,8,1)</f>
        <v/>
      </c>
      <c r="AE142">
        <f>MID($E142,9,1)</f>
        <v/>
      </c>
      <c r="AF142">
        <f>MID($E142,10,1)</f>
        <v/>
      </c>
    </row>
    <row r="143">
      <c r="A143" s="4" t="inlineStr">
        <is>
          <t>DN142</t>
        </is>
      </c>
      <c r="B143" s="4" t="n">
        <v>2</v>
      </c>
      <c r="C143" s="4" t="n">
        <v>3</v>
      </c>
      <c r="D143" s="5" t="inlineStr">
        <is>
          <t>GAGGAGCTAC</t>
        </is>
      </c>
      <c r="E143" s="5" t="inlineStr">
        <is>
          <t>GTAAGGCATT</t>
        </is>
      </c>
      <c r="F143" s="4">
        <f>LEN(SUBSTITUTE(SUBSTITUTE(D143,"A",""),"T",""))</f>
        <v/>
      </c>
      <c r="G143" s="4">
        <f>LEN(SUBSTITUTE(SUBSTITUTE(E143,"A",""),"T",""))</f>
        <v/>
      </c>
      <c r="H143" s="4" t="n">
        <v>-3.08</v>
      </c>
      <c r="I143" s="4" t="n">
        <v>-1.91</v>
      </c>
      <c r="J143" s="4" t="n">
        <v>-2.51</v>
      </c>
      <c r="K143" s="4" t="n">
        <v>-2.5</v>
      </c>
      <c r="M143">
        <f>MID($D143,1,1)</f>
        <v/>
      </c>
      <c r="N143">
        <f>MID($D143,2,1)</f>
        <v/>
      </c>
      <c r="O143">
        <f>MID($D143,3,1)</f>
        <v/>
      </c>
      <c r="P143">
        <f>MID($D143,4,1)</f>
        <v/>
      </c>
      <c r="Q143">
        <f>MID($D143,5,1)</f>
        <v/>
      </c>
      <c r="R143">
        <f>MID($D143,6,1)</f>
        <v/>
      </c>
      <c r="S143">
        <f>MID($D143,7,1)</f>
        <v/>
      </c>
      <c r="T143">
        <f>MID($D143,8,1)</f>
        <v/>
      </c>
      <c r="U143">
        <f>MID($D143,9,1)</f>
        <v/>
      </c>
      <c r="V143">
        <f>MID($D143,10,1)</f>
        <v/>
      </c>
      <c r="W143">
        <f>MID($E143,1,1)</f>
        <v/>
      </c>
      <c r="X143">
        <f>MID($E143,2,1)</f>
        <v/>
      </c>
      <c r="Y143">
        <f>MID($E143,3,1)</f>
        <v/>
      </c>
      <c r="Z143">
        <f>MID($E143,4,1)</f>
        <v/>
      </c>
      <c r="AA143">
        <f>MID($E143,5,1)</f>
        <v/>
      </c>
      <c r="AB143">
        <f>MID($E143,6,1)</f>
        <v/>
      </c>
      <c r="AC143">
        <f>MID($E143,7,1)</f>
        <v/>
      </c>
      <c r="AD143">
        <f>MID($E143,8,1)</f>
        <v/>
      </c>
      <c r="AE143">
        <f>MID($E143,9,1)</f>
        <v/>
      </c>
      <c r="AF143">
        <f>MID($E143,10,1)</f>
        <v/>
      </c>
    </row>
    <row r="144">
      <c r="A144" s="4" t="inlineStr">
        <is>
          <t>DN143</t>
        </is>
      </c>
      <c r="B144" s="4" t="n">
        <v>2</v>
      </c>
      <c r="C144" s="4" t="n">
        <v>3</v>
      </c>
      <c r="D144" s="5" t="inlineStr">
        <is>
          <t>CAATGGTCCA</t>
        </is>
      </c>
      <c r="E144" s="5" t="inlineStr">
        <is>
          <t>GACCTGTTCA</t>
        </is>
      </c>
      <c r="F144" s="4">
        <f>LEN(SUBSTITUTE(SUBSTITUTE(D144,"A",""),"T",""))</f>
        <v/>
      </c>
      <c r="G144" s="4">
        <f>LEN(SUBSTITUTE(SUBSTITUTE(E144,"A",""),"T",""))</f>
        <v/>
      </c>
      <c r="H144" s="4" t="n">
        <v>-2.93</v>
      </c>
      <c r="I144" s="4" t="n">
        <v>-1.15</v>
      </c>
      <c r="J144" s="4" t="n">
        <v>-2.46</v>
      </c>
      <c r="K144" s="4" t="n">
        <v>-0.04</v>
      </c>
      <c r="M144">
        <f>MID($D144,1,1)</f>
        <v/>
      </c>
      <c r="N144">
        <f>MID($D144,2,1)</f>
        <v/>
      </c>
      <c r="O144">
        <f>MID($D144,3,1)</f>
        <v/>
      </c>
      <c r="P144">
        <f>MID($D144,4,1)</f>
        <v/>
      </c>
      <c r="Q144">
        <f>MID($D144,5,1)</f>
        <v/>
      </c>
      <c r="R144">
        <f>MID($D144,6,1)</f>
        <v/>
      </c>
      <c r="S144">
        <f>MID($D144,7,1)</f>
        <v/>
      </c>
      <c r="T144">
        <f>MID($D144,8,1)</f>
        <v/>
      </c>
      <c r="U144">
        <f>MID($D144,9,1)</f>
        <v/>
      </c>
      <c r="V144">
        <f>MID($D144,10,1)</f>
        <v/>
      </c>
      <c r="W144">
        <f>MID($E144,1,1)</f>
        <v/>
      </c>
      <c r="X144">
        <f>MID($E144,2,1)</f>
        <v/>
      </c>
      <c r="Y144">
        <f>MID($E144,3,1)</f>
        <v/>
      </c>
      <c r="Z144">
        <f>MID($E144,4,1)</f>
        <v/>
      </c>
      <c r="AA144">
        <f>MID($E144,5,1)</f>
        <v/>
      </c>
      <c r="AB144">
        <f>MID($E144,6,1)</f>
        <v/>
      </c>
      <c r="AC144">
        <f>MID($E144,7,1)</f>
        <v/>
      </c>
      <c r="AD144">
        <f>MID($E144,8,1)</f>
        <v/>
      </c>
      <c r="AE144">
        <f>MID($E144,9,1)</f>
        <v/>
      </c>
      <c r="AF144">
        <f>MID($E144,10,1)</f>
        <v/>
      </c>
    </row>
    <row r="145">
      <c r="A145" s="4" t="inlineStr">
        <is>
          <t>DN144</t>
        </is>
      </c>
      <c r="B145" s="4" t="n">
        <v>2</v>
      </c>
      <c r="C145" s="4" t="n">
        <v>3</v>
      </c>
      <c r="D145" s="5" t="inlineStr">
        <is>
          <t>TACGGTGAGG</t>
        </is>
      </c>
      <c r="E145" s="5" t="inlineStr">
        <is>
          <t>GTCACCTGTA</t>
        </is>
      </c>
      <c r="F145" s="4">
        <f>LEN(SUBSTITUTE(SUBSTITUTE(D145,"A",""),"T",""))</f>
        <v/>
      </c>
      <c r="G145" s="4">
        <f>LEN(SUBSTITUTE(SUBSTITUTE(E145,"A",""),"T",""))</f>
        <v/>
      </c>
      <c r="H145" s="4" t="n">
        <v>-4.39</v>
      </c>
      <c r="I145" s="4" t="n">
        <v>-2.22</v>
      </c>
      <c r="J145" s="4" t="n">
        <v>-2.3</v>
      </c>
      <c r="K145" s="4" t="n">
        <v>-0.37</v>
      </c>
      <c r="M145">
        <f>MID($D145,1,1)</f>
        <v/>
      </c>
      <c r="N145">
        <f>MID($D145,2,1)</f>
        <v/>
      </c>
      <c r="O145">
        <f>MID($D145,3,1)</f>
        <v/>
      </c>
      <c r="P145">
        <f>MID($D145,4,1)</f>
        <v/>
      </c>
      <c r="Q145">
        <f>MID($D145,5,1)</f>
        <v/>
      </c>
      <c r="R145">
        <f>MID($D145,6,1)</f>
        <v/>
      </c>
      <c r="S145">
        <f>MID($D145,7,1)</f>
        <v/>
      </c>
      <c r="T145">
        <f>MID($D145,8,1)</f>
        <v/>
      </c>
      <c r="U145">
        <f>MID($D145,9,1)</f>
        <v/>
      </c>
      <c r="V145">
        <f>MID($D145,10,1)</f>
        <v/>
      </c>
      <c r="W145">
        <f>MID($E145,1,1)</f>
        <v/>
      </c>
      <c r="X145">
        <f>MID($E145,2,1)</f>
        <v/>
      </c>
      <c r="Y145">
        <f>MID($E145,3,1)</f>
        <v/>
      </c>
      <c r="Z145">
        <f>MID($E145,4,1)</f>
        <v/>
      </c>
      <c r="AA145">
        <f>MID($E145,5,1)</f>
        <v/>
      </c>
      <c r="AB145">
        <f>MID($E145,6,1)</f>
        <v/>
      </c>
      <c r="AC145">
        <f>MID($E145,7,1)</f>
        <v/>
      </c>
      <c r="AD145">
        <f>MID($E145,8,1)</f>
        <v/>
      </c>
      <c r="AE145">
        <f>MID($E145,9,1)</f>
        <v/>
      </c>
      <c r="AF145">
        <f>MID($E145,10,1)</f>
        <v/>
      </c>
    </row>
    <row r="146">
      <c r="A146" s="4" t="inlineStr">
        <is>
          <t>DN145</t>
        </is>
      </c>
      <c r="B146" s="4" t="n">
        <v>2</v>
      </c>
      <c r="C146" s="4" t="n">
        <v>4</v>
      </c>
      <c r="D146" s="5" t="inlineStr">
        <is>
          <t>CCTTCTACTC</t>
        </is>
      </c>
      <c r="E146" s="5" t="inlineStr">
        <is>
          <t>GCGGTGTTGA</t>
        </is>
      </c>
      <c r="F146" s="4">
        <f>LEN(SUBSTITUTE(SUBSTITUTE(D146,"A",""),"T",""))</f>
        <v/>
      </c>
      <c r="G146" s="4">
        <f>LEN(SUBSTITUTE(SUBSTITUTE(E146,"A",""),"T",""))</f>
        <v/>
      </c>
      <c r="H146" s="4" t="n">
        <v>-1.31</v>
      </c>
      <c r="I146" s="4" t="n">
        <v>0</v>
      </c>
      <c r="J146" s="4" t="n">
        <v>-2.71</v>
      </c>
      <c r="K146" s="4" t="n">
        <v>-2.7</v>
      </c>
      <c r="M146">
        <f>MID($D146,1,1)</f>
        <v/>
      </c>
      <c r="N146">
        <f>MID($D146,2,1)</f>
        <v/>
      </c>
      <c r="O146">
        <f>MID($D146,3,1)</f>
        <v/>
      </c>
      <c r="P146">
        <f>MID($D146,4,1)</f>
        <v/>
      </c>
      <c r="Q146">
        <f>MID($D146,5,1)</f>
        <v/>
      </c>
      <c r="R146">
        <f>MID($D146,6,1)</f>
        <v/>
      </c>
      <c r="S146">
        <f>MID($D146,7,1)</f>
        <v/>
      </c>
      <c r="T146">
        <f>MID($D146,8,1)</f>
        <v/>
      </c>
      <c r="U146">
        <f>MID($D146,9,1)</f>
        <v/>
      </c>
      <c r="V146">
        <f>MID($D146,10,1)</f>
        <v/>
      </c>
      <c r="W146">
        <f>MID($E146,1,1)</f>
        <v/>
      </c>
      <c r="X146">
        <f>MID($E146,2,1)</f>
        <v/>
      </c>
      <c r="Y146">
        <f>MID($E146,3,1)</f>
        <v/>
      </c>
      <c r="Z146">
        <f>MID($E146,4,1)</f>
        <v/>
      </c>
      <c r="AA146">
        <f>MID($E146,5,1)</f>
        <v/>
      </c>
      <c r="AB146">
        <f>MID($E146,6,1)</f>
        <v/>
      </c>
      <c r="AC146">
        <f>MID($E146,7,1)</f>
        <v/>
      </c>
      <c r="AD146">
        <f>MID($E146,8,1)</f>
        <v/>
      </c>
      <c r="AE146">
        <f>MID($E146,9,1)</f>
        <v/>
      </c>
      <c r="AF146">
        <f>MID($E146,10,1)</f>
        <v/>
      </c>
    </row>
    <row r="147">
      <c r="A147" s="4" t="inlineStr">
        <is>
          <t>DN146</t>
        </is>
      </c>
      <c r="B147" s="4" t="n">
        <v>2</v>
      </c>
      <c r="C147" s="4" t="n">
        <v>4</v>
      </c>
      <c r="D147" s="5" t="inlineStr">
        <is>
          <t>AGATAGGCCG</t>
        </is>
      </c>
      <c r="E147" s="5" t="inlineStr">
        <is>
          <t>GACTTAGCGG</t>
        </is>
      </c>
      <c r="F147" s="4">
        <f>LEN(SUBSTITUTE(SUBSTITUTE(D147,"A",""),"T",""))</f>
        <v/>
      </c>
      <c r="G147" s="4">
        <f>LEN(SUBSTITUTE(SUBSTITUTE(E147,"A",""),"T",""))</f>
        <v/>
      </c>
      <c r="H147" s="4" t="n">
        <v>-3.48</v>
      </c>
      <c r="I147" s="4" t="n">
        <v>-2.16</v>
      </c>
      <c r="J147" s="4" t="n">
        <v>-3.11</v>
      </c>
      <c r="K147" s="4" t="n">
        <v>-2.93</v>
      </c>
      <c r="M147">
        <f>MID($D147,1,1)</f>
        <v/>
      </c>
      <c r="N147">
        <f>MID($D147,2,1)</f>
        <v/>
      </c>
      <c r="O147">
        <f>MID($D147,3,1)</f>
        <v/>
      </c>
      <c r="P147">
        <f>MID($D147,4,1)</f>
        <v/>
      </c>
      <c r="Q147">
        <f>MID($D147,5,1)</f>
        <v/>
      </c>
      <c r="R147">
        <f>MID($D147,6,1)</f>
        <v/>
      </c>
      <c r="S147">
        <f>MID($D147,7,1)</f>
        <v/>
      </c>
      <c r="T147">
        <f>MID($D147,8,1)</f>
        <v/>
      </c>
      <c r="U147">
        <f>MID($D147,9,1)</f>
        <v/>
      </c>
      <c r="V147">
        <f>MID($D147,10,1)</f>
        <v/>
      </c>
      <c r="W147">
        <f>MID($E147,1,1)</f>
        <v/>
      </c>
      <c r="X147">
        <f>MID($E147,2,1)</f>
        <v/>
      </c>
      <c r="Y147">
        <f>MID($E147,3,1)</f>
        <v/>
      </c>
      <c r="Z147">
        <f>MID($E147,4,1)</f>
        <v/>
      </c>
      <c r="AA147">
        <f>MID($E147,5,1)</f>
        <v/>
      </c>
      <c r="AB147">
        <f>MID($E147,6,1)</f>
        <v/>
      </c>
      <c r="AC147">
        <f>MID($E147,7,1)</f>
        <v/>
      </c>
      <c r="AD147">
        <f>MID($E147,8,1)</f>
        <v/>
      </c>
      <c r="AE147">
        <f>MID($E147,9,1)</f>
        <v/>
      </c>
      <c r="AF147">
        <f>MID($E147,10,1)</f>
        <v/>
      </c>
    </row>
    <row r="148">
      <c r="A148" s="4" t="inlineStr">
        <is>
          <t>DN147</t>
        </is>
      </c>
      <c r="B148" s="4" t="n">
        <v>2</v>
      </c>
      <c r="C148" s="4" t="n">
        <v>4</v>
      </c>
      <c r="D148" s="5" t="inlineStr">
        <is>
          <t>TTCGGACGAC</t>
        </is>
      </c>
      <c r="E148" s="5" t="inlineStr">
        <is>
          <t>GTTCGTAAGT</t>
        </is>
      </c>
      <c r="F148" s="4">
        <f>LEN(SUBSTITUTE(SUBSTITUTE(D148,"A",""),"T",""))</f>
        <v/>
      </c>
      <c r="G148" s="4">
        <f>LEN(SUBSTITUTE(SUBSTITUTE(E148,"A",""),"T",""))</f>
        <v/>
      </c>
      <c r="H148" s="4" t="n">
        <v>-3.36</v>
      </c>
      <c r="I148" s="4" t="n">
        <v>-2.21</v>
      </c>
      <c r="J148" s="4" t="n">
        <v>-2.58</v>
      </c>
      <c r="K148" s="4" t="n">
        <v>-0.16</v>
      </c>
      <c r="M148">
        <f>MID($D148,1,1)</f>
        <v/>
      </c>
      <c r="N148">
        <f>MID($D148,2,1)</f>
        <v/>
      </c>
      <c r="O148">
        <f>MID($D148,3,1)</f>
        <v/>
      </c>
      <c r="P148">
        <f>MID($D148,4,1)</f>
        <v/>
      </c>
      <c r="Q148">
        <f>MID($D148,5,1)</f>
        <v/>
      </c>
      <c r="R148">
        <f>MID($D148,6,1)</f>
        <v/>
      </c>
      <c r="S148">
        <f>MID($D148,7,1)</f>
        <v/>
      </c>
      <c r="T148">
        <f>MID($D148,8,1)</f>
        <v/>
      </c>
      <c r="U148">
        <f>MID($D148,9,1)</f>
        <v/>
      </c>
      <c r="V148">
        <f>MID($D148,10,1)</f>
        <v/>
      </c>
      <c r="W148">
        <f>MID($E148,1,1)</f>
        <v/>
      </c>
      <c r="X148">
        <f>MID($E148,2,1)</f>
        <v/>
      </c>
      <c r="Y148">
        <f>MID($E148,3,1)</f>
        <v/>
      </c>
      <c r="Z148">
        <f>MID($E148,4,1)</f>
        <v/>
      </c>
      <c r="AA148">
        <f>MID($E148,5,1)</f>
        <v/>
      </c>
      <c r="AB148">
        <f>MID($E148,6,1)</f>
        <v/>
      </c>
      <c r="AC148">
        <f>MID($E148,7,1)</f>
        <v/>
      </c>
      <c r="AD148">
        <f>MID($E148,8,1)</f>
        <v/>
      </c>
      <c r="AE148">
        <f>MID($E148,9,1)</f>
        <v/>
      </c>
      <c r="AF148">
        <f>MID($E148,10,1)</f>
        <v/>
      </c>
    </row>
    <row r="149">
      <c r="A149" s="4" t="inlineStr">
        <is>
          <t>DN148</t>
        </is>
      </c>
      <c r="B149" s="4" t="n">
        <v>2</v>
      </c>
      <c r="C149" s="4" t="n">
        <v>4</v>
      </c>
      <c r="D149" s="5" t="inlineStr">
        <is>
          <t>GCAATGGTGG</t>
        </is>
      </c>
      <c r="E149" s="5" t="inlineStr">
        <is>
          <t>GTTCCGCTCT</t>
        </is>
      </c>
      <c r="F149" s="4">
        <f>LEN(SUBSTITUTE(SUBSTITUTE(D149,"A",""),"T",""))</f>
        <v/>
      </c>
      <c r="G149" s="4">
        <f>LEN(SUBSTITUTE(SUBSTITUTE(E149,"A",""),"T",""))</f>
        <v/>
      </c>
      <c r="H149" s="4" t="n">
        <v>-3.56</v>
      </c>
      <c r="I149" s="4" t="n">
        <v>-1.88</v>
      </c>
      <c r="J149" s="4" t="n">
        <v>-2.83</v>
      </c>
      <c r="K149" s="4" t="n">
        <v>-0.63</v>
      </c>
      <c r="M149">
        <f>MID($D149,1,1)</f>
        <v/>
      </c>
      <c r="N149">
        <f>MID($D149,2,1)</f>
        <v/>
      </c>
      <c r="O149">
        <f>MID($D149,3,1)</f>
        <v/>
      </c>
      <c r="P149">
        <f>MID($D149,4,1)</f>
        <v/>
      </c>
      <c r="Q149">
        <f>MID($D149,5,1)</f>
        <v/>
      </c>
      <c r="R149">
        <f>MID($D149,6,1)</f>
        <v/>
      </c>
      <c r="S149">
        <f>MID($D149,7,1)</f>
        <v/>
      </c>
      <c r="T149">
        <f>MID($D149,8,1)</f>
        <v/>
      </c>
      <c r="U149">
        <f>MID($D149,9,1)</f>
        <v/>
      </c>
      <c r="V149">
        <f>MID($D149,10,1)</f>
        <v/>
      </c>
      <c r="W149">
        <f>MID($E149,1,1)</f>
        <v/>
      </c>
      <c r="X149">
        <f>MID($E149,2,1)</f>
        <v/>
      </c>
      <c r="Y149">
        <f>MID($E149,3,1)</f>
        <v/>
      </c>
      <c r="Z149">
        <f>MID($E149,4,1)</f>
        <v/>
      </c>
      <c r="AA149">
        <f>MID($E149,5,1)</f>
        <v/>
      </c>
      <c r="AB149">
        <f>MID($E149,6,1)</f>
        <v/>
      </c>
      <c r="AC149">
        <f>MID($E149,7,1)</f>
        <v/>
      </c>
      <c r="AD149">
        <f>MID($E149,8,1)</f>
        <v/>
      </c>
      <c r="AE149">
        <f>MID($E149,9,1)</f>
        <v/>
      </c>
      <c r="AF149">
        <f>MID($E149,10,1)</f>
        <v/>
      </c>
    </row>
    <row r="150">
      <c r="A150" s="4" t="inlineStr">
        <is>
          <t>DN149</t>
        </is>
      </c>
      <c r="B150" s="4" t="n">
        <v>2</v>
      </c>
      <c r="C150" s="4" t="n">
        <v>4</v>
      </c>
      <c r="D150" s="5" t="inlineStr">
        <is>
          <t>CCACATTACG</t>
        </is>
      </c>
      <c r="E150" s="5" t="inlineStr">
        <is>
          <t>TGCTGCAGTT</t>
        </is>
      </c>
      <c r="F150" s="4">
        <f>LEN(SUBSTITUTE(SUBSTITUTE(D150,"A",""),"T",""))</f>
        <v/>
      </c>
      <c r="G150" s="4">
        <f>LEN(SUBSTITUTE(SUBSTITUTE(E150,"A",""),"T",""))</f>
        <v/>
      </c>
      <c r="H150" s="4" t="n">
        <v>-1.7</v>
      </c>
      <c r="I150" s="4" t="n">
        <v>-1.11</v>
      </c>
      <c r="J150" s="4" t="n">
        <v>-3.73</v>
      </c>
      <c r="K150" s="4" t="n">
        <v>-0.99</v>
      </c>
      <c r="M150">
        <f>MID($D150,1,1)</f>
        <v/>
      </c>
      <c r="N150">
        <f>MID($D150,2,1)</f>
        <v/>
      </c>
      <c r="O150">
        <f>MID($D150,3,1)</f>
        <v/>
      </c>
      <c r="P150">
        <f>MID($D150,4,1)</f>
        <v/>
      </c>
      <c r="Q150">
        <f>MID($D150,5,1)</f>
        <v/>
      </c>
      <c r="R150">
        <f>MID($D150,6,1)</f>
        <v/>
      </c>
      <c r="S150">
        <f>MID($D150,7,1)</f>
        <v/>
      </c>
      <c r="T150">
        <f>MID($D150,8,1)</f>
        <v/>
      </c>
      <c r="U150">
        <f>MID($D150,9,1)</f>
        <v/>
      </c>
      <c r="V150">
        <f>MID($D150,10,1)</f>
        <v/>
      </c>
      <c r="W150">
        <f>MID($E150,1,1)</f>
        <v/>
      </c>
      <c r="X150">
        <f>MID($E150,2,1)</f>
        <v/>
      </c>
      <c r="Y150">
        <f>MID($E150,3,1)</f>
        <v/>
      </c>
      <c r="Z150">
        <f>MID($E150,4,1)</f>
        <v/>
      </c>
      <c r="AA150">
        <f>MID($E150,5,1)</f>
        <v/>
      </c>
      <c r="AB150">
        <f>MID($E150,6,1)</f>
        <v/>
      </c>
      <c r="AC150">
        <f>MID($E150,7,1)</f>
        <v/>
      </c>
      <c r="AD150">
        <f>MID($E150,8,1)</f>
        <v/>
      </c>
      <c r="AE150">
        <f>MID($E150,9,1)</f>
        <v/>
      </c>
      <c r="AF150">
        <f>MID($E150,10,1)</f>
        <v/>
      </c>
    </row>
    <row r="151">
      <c r="A151" s="4" t="inlineStr">
        <is>
          <t>DN150</t>
        </is>
      </c>
      <c r="B151" s="4" t="n">
        <v>2</v>
      </c>
      <c r="C151" s="4" t="n">
        <v>4</v>
      </c>
      <c r="D151" s="5" t="inlineStr">
        <is>
          <t>CATACCGTCC</t>
        </is>
      </c>
      <c r="E151" s="5" t="inlineStr">
        <is>
          <t>GTGAGGTTCA</t>
        </is>
      </c>
      <c r="F151" s="4">
        <f>LEN(SUBSTITUTE(SUBSTITUTE(D151,"A",""),"T",""))</f>
        <v/>
      </c>
      <c r="G151" s="4">
        <f>LEN(SUBSTITUTE(SUBSTITUTE(E151,"A",""),"T",""))</f>
        <v/>
      </c>
      <c r="H151" s="4" t="n">
        <v>-3.13</v>
      </c>
      <c r="I151" s="4" t="n">
        <v>0</v>
      </c>
      <c r="J151" s="4" t="n">
        <v>-3.88</v>
      </c>
      <c r="K151" s="4" t="n">
        <v>-2.14</v>
      </c>
      <c r="M151">
        <f>MID($D151,1,1)</f>
        <v/>
      </c>
      <c r="N151">
        <f>MID($D151,2,1)</f>
        <v/>
      </c>
      <c r="O151">
        <f>MID($D151,3,1)</f>
        <v/>
      </c>
      <c r="P151">
        <f>MID($D151,4,1)</f>
        <v/>
      </c>
      <c r="Q151">
        <f>MID($D151,5,1)</f>
        <v/>
      </c>
      <c r="R151">
        <f>MID($D151,6,1)</f>
        <v/>
      </c>
      <c r="S151">
        <f>MID($D151,7,1)</f>
        <v/>
      </c>
      <c r="T151">
        <f>MID($D151,8,1)</f>
        <v/>
      </c>
      <c r="U151">
        <f>MID($D151,9,1)</f>
        <v/>
      </c>
      <c r="V151">
        <f>MID($D151,10,1)</f>
        <v/>
      </c>
      <c r="W151">
        <f>MID($E151,1,1)</f>
        <v/>
      </c>
      <c r="X151">
        <f>MID($E151,2,1)</f>
        <v/>
      </c>
      <c r="Y151">
        <f>MID($E151,3,1)</f>
        <v/>
      </c>
      <c r="Z151">
        <f>MID($E151,4,1)</f>
        <v/>
      </c>
      <c r="AA151">
        <f>MID($E151,5,1)</f>
        <v/>
      </c>
      <c r="AB151">
        <f>MID($E151,6,1)</f>
        <v/>
      </c>
      <c r="AC151">
        <f>MID($E151,7,1)</f>
        <v/>
      </c>
      <c r="AD151">
        <f>MID($E151,8,1)</f>
        <v/>
      </c>
      <c r="AE151">
        <f>MID($E151,9,1)</f>
        <v/>
      </c>
      <c r="AF151">
        <f>MID($E151,10,1)</f>
        <v/>
      </c>
    </row>
    <row r="152">
      <c r="A152" s="4" t="inlineStr">
        <is>
          <t>DN151</t>
        </is>
      </c>
      <c r="B152" s="4" t="n">
        <v>2</v>
      </c>
      <c r="C152" s="4" t="n">
        <v>4</v>
      </c>
      <c r="D152" s="5" t="inlineStr">
        <is>
          <t>GACTTGAATG</t>
        </is>
      </c>
      <c r="E152" s="5" t="inlineStr">
        <is>
          <t>AGCTTCTTAG</t>
        </is>
      </c>
      <c r="F152" s="4">
        <f>LEN(SUBSTITUTE(SUBSTITUTE(D152,"A",""),"T",""))</f>
        <v/>
      </c>
      <c r="G152" s="4">
        <f>LEN(SUBSTITUTE(SUBSTITUTE(E152,"A",""),"T",""))</f>
        <v/>
      </c>
      <c r="H152" s="4" t="n">
        <v>-1.97</v>
      </c>
      <c r="I152" s="4" t="n">
        <v>-1.15</v>
      </c>
      <c r="J152" s="4" t="n">
        <v>-1.83</v>
      </c>
      <c r="K152" s="4" t="n">
        <v>-1.75</v>
      </c>
      <c r="M152">
        <f>MID($D152,1,1)</f>
        <v/>
      </c>
      <c r="N152">
        <f>MID($D152,2,1)</f>
        <v/>
      </c>
      <c r="O152">
        <f>MID($D152,3,1)</f>
        <v/>
      </c>
      <c r="P152">
        <f>MID($D152,4,1)</f>
        <v/>
      </c>
      <c r="Q152">
        <f>MID($D152,5,1)</f>
        <v/>
      </c>
      <c r="R152">
        <f>MID($D152,6,1)</f>
        <v/>
      </c>
      <c r="S152">
        <f>MID($D152,7,1)</f>
        <v/>
      </c>
      <c r="T152">
        <f>MID($D152,8,1)</f>
        <v/>
      </c>
      <c r="U152">
        <f>MID($D152,9,1)</f>
        <v/>
      </c>
      <c r="V152">
        <f>MID($D152,10,1)</f>
        <v/>
      </c>
      <c r="W152">
        <f>MID($E152,1,1)</f>
        <v/>
      </c>
      <c r="X152">
        <f>MID($E152,2,1)</f>
        <v/>
      </c>
      <c r="Y152">
        <f>MID($E152,3,1)</f>
        <v/>
      </c>
      <c r="Z152">
        <f>MID($E152,4,1)</f>
        <v/>
      </c>
      <c r="AA152">
        <f>MID($E152,5,1)</f>
        <v/>
      </c>
      <c r="AB152">
        <f>MID($E152,6,1)</f>
        <v/>
      </c>
      <c r="AC152">
        <f>MID($E152,7,1)</f>
        <v/>
      </c>
      <c r="AD152">
        <f>MID($E152,8,1)</f>
        <v/>
      </c>
      <c r="AE152">
        <f>MID($E152,9,1)</f>
        <v/>
      </c>
      <c r="AF152">
        <f>MID($E152,10,1)</f>
        <v/>
      </c>
    </row>
    <row r="153">
      <c r="A153" s="4" t="inlineStr">
        <is>
          <t>DN152</t>
        </is>
      </c>
      <c r="B153" s="4" t="n">
        <v>2</v>
      </c>
      <c r="C153" s="4" t="n">
        <v>4</v>
      </c>
      <c r="D153" s="5" t="inlineStr">
        <is>
          <t>GCTCGTTGAT</t>
        </is>
      </c>
      <c r="E153" s="5" t="inlineStr">
        <is>
          <t>AGGCACTGCA</t>
        </is>
      </c>
      <c r="F153" s="4">
        <f>LEN(SUBSTITUTE(SUBSTITUTE(D153,"A",""),"T",""))</f>
        <v/>
      </c>
      <c r="G153" s="4">
        <f>LEN(SUBSTITUTE(SUBSTITUTE(E153,"A",""),"T",""))</f>
        <v/>
      </c>
      <c r="H153" s="4" t="n">
        <v>-2.5</v>
      </c>
      <c r="I153" s="4" t="n">
        <v>-0.6</v>
      </c>
      <c r="J153" s="4" t="n">
        <v>-2.52</v>
      </c>
      <c r="K153" s="4" t="n">
        <v>-2.28</v>
      </c>
      <c r="M153">
        <f>MID($D153,1,1)</f>
        <v/>
      </c>
      <c r="N153">
        <f>MID($D153,2,1)</f>
        <v/>
      </c>
      <c r="O153">
        <f>MID($D153,3,1)</f>
        <v/>
      </c>
      <c r="P153">
        <f>MID($D153,4,1)</f>
        <v/>
      </c>
      <c r="Q153">
        <f>MID($D153,5,1)</f>
        <v/>
      </c>
      <c r="R153">
        <f>MID($D153,6,1)</f>
        <v/>
      </c>
      <c r="S153">
        <f>MID($D153,7,1)</f>
        <v/>
      </c>
      <c r="T153">
        <f>MID($D153,8,1)</f>
        <v/>
      </c>
      <c r="U153">
        <f>MID($D153,9,1)</f>
        <v/>
      </c>
      <c r="V153">
        <f>MID($D153,10,1)</f>
        <v/>
      </c>
      <c r="W153">
        <f>MID($E153,1,1)</f>
        <v/>
      </c>
      <c r="X153">
        <f>MID($E153,2,1)</f>
        <v/>
      </c>
      <c r="Y153">
        <f>MID($E153,3,1)</f>
        <v/>
      </c>
      <c r="Z153">
        <f>MID($E153,4,1)</f>
        <v/>
      </c>
      <c r="AA153">
        <f>MID($E153,5,1)</f>
        <v/>
      </c>
      <c r="AB153">
        <f>MID($E153,6,1)</f>
        <v/>
      </c>
      <c r="AC153">
        <f>MID($E153,7,1)</f>
        <v/>
      </c>
      <c r="AD153">
        <f>MID($E153,8,1)</f>
        <v/>
      </c>
      <c r="AE153">
        <f>MID($E153,9,1)</f>
        <v/>
      </c>
      <c r="AF153">
        <f>MID($E153,10,1)</f>
        <v/>
      </c>
    </row>
    <row r="154">
      <c r="A154" s="4" t="inlineStr">
        <is>
          <t>DN153</t>
        </is>
      </c>
      <c r="B154" s="4" t="n">
        <v>2</v>
      </c>
      <c r="C154" s="4" t="n">
        <v>4</v>
      </c>
      <c r="D154" s="5" t="inlineStr">
        <is>
          <t>AGGACGTTAT</t>
        </is>
      </c>
      <c r="E154" s="5" t="inlineStr">
        <is>
          <t>TGCGGTAGCA</t>
        </is>
      </c>
      <c r="F154" s="4">
        <f>LEN(SUBSTITUTE(SUBSTITUTE(D154,"A",""),"T",""))</f>
        <v/>
      </c>
      <c r="G154" s="4">
        <f>LEN(SUBSTITUTE(SUBSTITUTE(E154,"A",""),"T",""))</f>
        <v/>
      </c>
      <c r="H154" s="4" t="n">
        <v>-3.18</v>
      </c>
      <c r="I154" s="4" t="n">
        <v>-3.18</v>
      </c>
      <c r="J154" s="4" t="n">
        <v>-3.19</v>
      </c>
      <c r="K154" s="4" t="n">
        <v>-3.01</v>
      </c>
      <c r="M154">
        <f>MID($D154,1,1)</f>
        <v/>
      </c>
      <c r="N154">
        <f>MID($D154,2,1)</f>
        <v/>
      </c>
      <c r="O154">
        <f>MID($D154,3,1)</f>
        <v/>
      </c>
      <c r="P154">
        <f>MID($D154,4,1)</f>
        <v/>
      </c>
      <c r="Q154">
        <f>MID($D154,5,1)</f>
        <v/>
      </c>
      <c r="R154">
        <f>MID($D154,6,1)</f>
        <v/>
      </c>
      <c r="S154">
        <f>MID($D154,7,1)</f>
        <v/>
      </c>
      <c r="T154">
        <f>MID($D154,8,1)</f>
        <v/>
      </c>
      <c r="U154">
        <f>MID($D154,9,1)</f>
        <v/>
      </c>
      <c r="V154">
        <f>MID($D154,10,1)</f>
        <v/>
      </c>
      <c r="W154">
        <f>MID($E154,1,1)</f>
        <v/>
      </c>
      <c r="X154">
        <f>MID($E154,2,1)</f>
        <v/>
      </c>
      <c r="Y154">
        <f>MID($E154,3,1)</f>
        <v/>
      </c>
      <c r="Z154">
        <f>MID($E154,4,1)</f>
        <v/>
      </c>
      <c r="AA154">
        <f>MID($E154,5,1)</f>
        <v/>
      </c>
      <c r="AB154">
        <f>MID($E154,6,1)</f>
        <v/>
      </c>
      <c r="AC154">
        <f>MID($E154,7,1)</f>
        <v/>
      </c>
      <c r="AD154">
        <f>MID($E154,8,1)</f>
        <v/>
      </c>
      <c r="AE154">
        <f>MID($E154,9,1)</f>
        <v/>
      </c>
      <c r="AF154">
        <f>MID($E154,10,1)</f>
        <v/>
      </c>
    </row>
    <row r="155">
      <c r="A155" s="4" t="inlineStr">
        <is>
          <t>DN154</t>
        </is>
      </c>
      <c r="B155" s="4" t="n">
        <v>2</v>
      </c>
      <c r="C155" s="4" t="n">
        <v>4</v>
      </c>
      <c r="D155" s="5" t="inlineStr">
        <is>
          <t>TGCTATGGCC</t>
        </is>
      </c>
      <c r="E155" s="5" t="inlineStr">
        <is>
          <t>GATACCACAG</t>
        </is>
      </c>
      <c r="F155" s="4">
        <f>LEN(SUBSTITUTE(SUBSTITUTE(D155,"A",""),"T",""))</f>
        <v/>
      </c>
      <c r="G155" s="4">
        <f>LEN(SUBSTITUTE(SUBSTITUTE(E155,"A",""),"T",""))</f>
        <v/>
      </c>
      <c r="H155" s="4" t="n">
        <v>-3.7</v>
      </c>
      <c r="I155" s="4" t="n">
        <v>-2.46</v>
      </c>
      <c r="J155" s="4" t="n">
        <v>-1.56</v>
      </c>
      <c r="K155" s="4" t="n">
        <v>-0.46</v>
      </c>
      <c r="M155">
        <f>MID($D155,1,1)</f>
        <v/>
      </c>
      <c r="N155">
        <f>MID($D155,2,1)</f>
        <v/>
      </c>
      <c r="O155">
        <f>MID($D155,3,1)</f>
        <v/>
      </c>
      <c r="P155">
        <f>MID($D155,4,1)</f>
        <v/>
      </c>
      <c r="Q155">
        <f>MID($D155,5,1)</f>
        <v/>
      </c>
      <c r="R155">
        <f>MID($D155,6,1)</f>
        <v/>
      </c>
      <c r="S155">
        <f>MID($D155,7,1)</f>
        <v/>
      </c>
      <c r="T155">
        <f>MID($D155,8,1)</f>
        <v/>
      </c>
      <c r="U155">
        <f>MID($D155,9,1)</f>
        <v/>
      </c>
      <c r="V155">
        <f>MID($D155,10,1)</f>
        <v/>
      </c>
      <c r="W155">
        <f>MID($E155,1,1)</f>
        <v/>
      </c>
      <c r="X155">
        <f>MID($E155,2,1)</f>
        <v/>
      </c>
      <c r="Y155">
        <f>MID($E155,3,1)</f>
        <v/>
      </c>
      <c r="Z155">
        <f>MID($E155,4,1)</f>
        <v/>
      </c>
      <c r="AA155">
        <f>MID($E155,5,1)</f>
        <v/>
      </c>
      <c r="AB155">
        <f>MID($E155,6,1)</f>
        <v/>
      </c>
      <c r="AC155">
        <f>MID($E155,7,1)</f>
        <v/>
      </c>
      <c r="AD155">
        <f>MID($E155,8,1)</f>
        <v/>
      </c>
      <c r="AE155">
        <f>MID($E155,9,1)</f>
        <v/>
      </c>
      <c r="AF155">
        <f>MID($E155,10,1)</f>
        <v/>
      </c>
    </row>
    <row r="156">
      <c r="A156" s="4" t="inlineStr">
        <is>
          <t>DN155</t>
        </is>
      </c>
      <c r="B156" s="4" t="n">
        <v>2</v>
      </c>
      <c r="C156" s="4" t="n">
        <v>4</v>
      </c>
      <c r="D156" s="5" t="inlineStr">
        <is>
          <t>TCTGTTGGTT</t>
        </is>
      </c>
      <c r="E156" s="5" t="inlineStr">
        <is>
          <t>CCTTGACCAG</t>
        </is>
      </c>
      <c r="F156" s="4">
        <f>LEN(SUBSTITUTE(SUBSTITUTE(D156,"A",""),"T",""))</f>
        <v/>
      </c>
      <c r="G156" s="4">
        <f>LEN(SUBSTITUTE(SUBSTITUTE(E156,"A",""),"T",""))</f>
        <v/>
      </c>
      <c r="H156" s="4" t="n">
        <v>-3.34</v>
      </c>
      <c r="I156" s="4" t="n">
        <v>-1.16</v>
      </c>
      <c r="J156" s="4" t="n">
        <v>-2.13</v>
      </c>
      <c r="K156" s="4" t="n">
        <v>-0.39</v>
      </c>
      <c r="M156">
        <f>MID($D156,1,1)</f>
        <v/>
      </c>
      <c r="N156">
        <f>MID($D156,2,1)</f>
        <v/>
      </c>
      <c r="O156">
        <f>MID($D156,3,1)</f>
        <v/>
      </c>
      <c r="P156">
        <f>MID($D156,4,1)</f>
        <v/>
      </c>
      <c r="Q156">
        <f>MID($D156,5,1)</f>
        <v/>
      </c>
      <c r="R156">
        <f>MID($D156,6,1)</f>
        <v/>
      </c>
      <c r="S156">
        <f>MID($D156,7,1)</f>
        <v/>
      </c>
      <c r="T156">
        <f>MID($D156,8,1)</f>
        <v/>
      </c>
      <c r="U156">
        <f>MID($D156,9,1)</f>
        <v/>
      </c>
      <c r="V156">
        <f>MID($D156,10,1)</f>
        <v/>
      </c>
      <c r="W156">
        <f>MID($E156,1,1)</f>
        <v/>
      </c>
      <c r="X156">
        <f>MID($E156,2,1)</f>
        <v/>
      </c>
      <c r="Y156">
        <f>MID($E156,3,1)</f>
        <v/>
      </c>
      <c r="Z156">
        <f>MID($E156,4,1)</f>
        <v/>
      </c>
      <c r="AA156">
        <f>MID($E156,5,1)</f>
        <v/>
      </c>
      <c r="AB156">
        <f>MID($E156,6,1)</f>
        <v/>
      </c>
      <c r="AC156">
        <f>MID($E156,7,1)</f>
        <v/>
      </c>
      <c r="AD156">
        <f>MID($E156,8,1)</f>
        <v/>
      </c>
      <c r="AE156">
        <f>MID($E156,9,1)</f>
        <v/>
      </c>
      <c r="AF156">
        <f>MID($E156,10,1)</f>
        <v/>
      </c>
    </row>
    <row r="157">
      <c r="A157" s="4" t="inlineStr">
        <is>
          <t>DN156</t>
        </is>
      </c>
      <c r="B157" s="4" t="n">
        <v>2</v>
      </c>
      <c r="C157" s="4" t="n">
        <v>4</v>
      </c>
      <c r="D157" s="5" t="inlineStr">
        <is>
          <t>GTGCATGCTT</t>
        </is>
      </c>
      <c r="E157" s="5" t="inlineStr">
        <is>
          <t>TATCCATGAC</t>
        </is>
      </c>
      <c r="F157" s="4">
        <f>LEN(SUBSTITUTE(SUBSTITUTE(D157,"A",""),"T",""))</f>
        <v/>
      </c>
      <c r="G157" s="4">
        <f>LEN(SUBSTITUTE(SUBSTITUTE(E157,"A",""),"T",""))</f>
        <v/>
      </c>
      <c r="H157" s="4" t="n">
        <v>-3.9</v>
      </c>
      <c r="I157" s="4" t="n">
        <v>-1.15</v>
      </c>
      <c r="J157" s="4" t="n">
        <v>-2.69</v>
      </c>
      <c r="K157" s="4" t="n">
        <v>-0.49</v>
      </c>
      <c r="M157">
        <f>MID($D157,1,1)</f>
        <v/>
      </c>
      <c r="N157">
        <f>MID($D157,2,1)</f>
        <v/>
      </c>
      <c r="O157">
        <f>MID($D157,3,1)</f>
        <v/>
      </c>
      <c r="P157">
        <f>MID($D157,4,1)</f>
        <v/>
      </c>
      <c r="Q157">
        <f>MID($D157,5,1)</f>
        <v/>
      </c>
      <c r="R157">
        <f>MID($D157,6,1)</f>
        <v/>
      </c>
      <c r="S157">
        <f>MID($D157,7,1)</f>
        <v/>
      </c>
      <c r="T157">
        <f>MID($D157,8,1)</f>
        <v/>
      </c>
      <c r="U157">
        <f>MID($D157,9,1)</f>
        <v/>
      </c>
      <c r="V157">
        <f>MID($D157,10,1)</f>
        <v/>
      </c>
      <c r="W157">
        <f>MID($E157,1,1)</f>
        <v/>
      </c>
      <c r="X157">
        <f>MID($E157,2,1)</f>
        <v/>
      </c>
      <c r="Y157">
        <f>MID($E157,3,1)</f>
        <v/>
      </c>
      <c r="Z157">
        <f>MID($E157,4,1)</f>
        <v/>
      </c>
      <c r="AA157">
        <f>MID($E157,5,1)</f>
        <v/>
      </c>
      <c r="AB157">
        <f>MID($E157,6,1)</f>
        <v/>
      </c>
      <c r="AC157">
        <f>MID($E157,7,1)</f>
        <v/>
      </c>
      <c r="AD157">
        <f>MID($E157,8,1)</f>
        <v/>
      </c>
      <c r="AE157">
        <f>MID($E157,9,1)</f>
        <v/>
      </c>
      <c r="AF157">
        <f>MID($E157,10,1)</f>
        <v/>
      </c>
    </row>
    <row r="158">
      <c r="A158" s="4" t="inlineStr">
        <is>
          <t>DN157</t>
        </is>
      </c>
      <c r="B158" s="4" t="n">
        <v>2</v>
      </c>
      <c r="C158" s="4" t="n">
        <v>4</v>
      </c>
      <c r="D158" s="5" t="inlineStr">
        <is>
          <t>TGGCATTAGA</t>
        </is>
      </c>
      <c r="E158" s="5" t="inlineStr">
        <is>
          <t>GCTCGCATTC</t>
        </is>
      </c>
      <c r="F158" s="4">
        <f>LEN(SUBSTITUTE(SUBSTITUTE(D158,"A",""),"T",""))</f>
        <v/>
      </c>
      <c r="G158" s="4">
        <f>LEN(SUBSTITUTE(SUBSTITUTE(E158,"A",""),"T",""))</f>
        <v/>
      </c>
      <c r="H158" s="4" t="n">
        <v>-2.37</v>
      </c>
      <c r="I158" s="4" t="n">
        <v>-2.37</v>
      </c>
      <c r="J158" s="4" t="n">
        <v>-3.31</v>
      </c>
      <c r="K158" s="4" t="n">
        <v>-0.57</v>
      </c>
      <c r="M158">
        <f>MID($D158,1,1)</f>
        <v/>
      </c>
      <c r="N158">
        <f>MID($D158,2,1)</f>
        <v/>
      </c>
      <c r="O158">
        <f>MID($D158,3,1)</f>
        <v/>
      </c>
      <c r="P158">
        <f>MID($D158,4,1)</f>
        <v/>
      </c>
      <c r="Q158">
        <f>MID($D158,5,1)</f>
        <v/>
      </c>
      <c r="R158">
        <f>MID($D158,6,1)</f>
        <v/>
      </c>
      <c r="S158">
        <f>MID($D158,7,1)</f>
        <v/>
      </c>
      <c r="T158">
        <f>MID($D158,8,1)</f>
        <v/>
      </c>
      <c r="U158">
        <f>MID($D158,9,1)</f>
        <v/>
      </c>
      <c r="V158">
        <f>MID($D158,10,1)</f>
        <v/>
      </c>
      <c r="W158">
        <f>MID($E158,1,1)</f>
        <v/>
      </c>
      <c r="X158">
        <f>MID($E158,2,1)</f>
        <v/>
      </c>
      <c r="Y158">
        <f>MID($E158,3,1)</f>
        <v/>
      </c>
      <c r="Z158">
        <f>MID($E158,4,1)</f>
        <v/>
      </c>
      <c r="AA158">
        <f>MID($E158,5,1)</f>
        <v/>
      </c>
      <c r="AB158">
        <f>MID($E158,6,1)</f>
        <v/>
      </c>
      <c r="AC158">
        <f>MID($E158,7,1)</f>
        <v/>
      </c>
      <c r="AD158">
        <f>MID($E158,8,1)</f>
        <v/>
      </c>
      <c r="AE158">
        <f>MID($E158,9,1)</f>
        <v/>
      </c>
      <c r="AF158">
        <f>MID($E158,10,1)</f>
        <v/>
      </c>
    </row>
    <row r="159">
      <c r="A159" s="4" t="inlineStr">
        <is>
          <t>DN158</t>
        </is>
      </c>
      <c r="B159" s="4" t="n">
        <v>2</v>
      </c>
      <c r="C159" s="4" t="n">
        <v>4</v>
      </c>
      <c r="D159" s="5" t="inlineStr">
        <is>
          <t>CACGCTTCCA</t>
        </is>
      </c>
      <c r="E159" s="5" t="inlineStr">
        <is>
          <t>GCGTAAGCGA</t>
        </is>
      </c>
      <c r="F159" s="4">
        <f>LEN(SUBSTITUTE(SUBSTITUTE(D159,"A",""),"T",""))</f>
        <v/>
      </c>
      <c r="G159" s="4">
        <f>LEN(SUBSTITUTE(SUBSTITUTE(E159,"A",""),"T",""))</f>
        <v/>
      </c>
      <c r="H159" s="4" t="n">
        <v>-3.56</v>
      </c>
      <c r="I159" s="4" t="n">
        <v>-1.41</v>
      </c>
      <c r="J159" s="4" t="n">
        <v>-2.81</v>
      </c>
      <c r="K159" s="4" t="n">
        <v>-0.82</v>
      </c>
      <c r="M159">
        <f>MID($D159,1,1)</f>
        <v/>
      </c>
      <c r="N159">
        <f>MID($D159,2,1)</f>
        <v/>
      </c>
      <c r="O159">
        <f>MID($D159,3,1)</f>
        <v/>
      </c>
      <c r="P159">
        <f>MID($D159,4,1)</f>
        <v/>
      </c>
      <c r="Q159">
        <f>MID($D159,5,1)</f>
        <v/>
      </c>
      <c r="R159">
        <f>MID($D159,6,1)</f>
        <v/>
      </c>
      <c r="S159">
        <f>MID($D159,7,1)</f>
        <v/>
      </c>
      <c r="T159">
        <f>MID($D159,8,1)</f>
        <v/>
      </c>
      <c r="U159">
        <f>MID($D159,9,1)</f>
        <v/>
      </c>
      <c r="V159">
        <f>MID($D159,10,1)</f>
        <v/>
      </c>
      <c r="W159">
        <f>MID($E159,1,1)</f>
        <v/>
      </c>
      <c r="X159">
        <f>MID($E159,2,1)</f>
        <v/>
      </c>
      <c r="Y159">
        <f>MID($E159,3,1)</f>
        <v/>
      </c>
      <c r="Z159">
        <f>MID($E159,4,1)</f>
        <v/>
      </c>
      <c r="AA159">
        <f>MID($E159,5,1)</f>
        <v/>
      </c>
      <c r="AB159">
        <f>MID($E159,6,1)</f>
        <v/>
      </c>
      <c r="AC159">
        <f>MID($E159,7,1)</f>
        <v/>
      </c>
      <c r="AD159">
        <f>MID($E159,8,1)</f>
        <v/>
      </c>
      <c r="AE159">
        <f>MID($E159,9,1)</f>
        <v/>
      </c>
      <c r="AF159">
        <f>MID($E159,10,1)</f>
        <v/>
      </c>
    </row>
    <row r="160">
      <c r="A160" s="4" t="inlineStr">
        <is>
          <t>DN159</t>
        </is>
      </c>
      <c r="B160" s="4" t="n">
        <v>2</v>
      </c>
      <c r="C160" s="4" t="n">
        <v>4</v>
      </c>
      <c r="D160" s="5" t="inlineStr">
        <is>
          <t>GTTGACGAGC</t>
        </is>
      </c>
      <c r="E160" s="5" t="inlineStr">
        <is>
          <t>TTACGTTGGT</t>
        </is>
      </c>
      <c r="F160" s="4">
        <f>LEN(SUBSTITUTE(SUBSTITUTE(D160,"A",""),"T",""))</f>
        <v/>
      </c>
      <c r="G160" s="4">
        <f>LEN(SUBSTITUTE(SUBSTITUTE(E160,"A",""),"T",""))</f>
        <v/>
      </c>
      <c r="H160" s="4" t="n">
        <v>-3.44</v>
      </c>
      <c r="I160" s="4" t="n">
        <v>-2.21</v>
      </c>
      <c r="J160" s="4" t="n">
        <v>-2.52</v>
      </c>
      <c r="K160" s="4" t="n">
        <v>-1.7</v>
      </c>
      <c r="M160">
        <f>MID($D160,1,1)</f>
        <v/>
      </c>
      <c r="N160">
        <f>MID($D160,2,1)</f>
        <v/>
      </c>
      <c r="O160">
        <f>MID($D160,3,1)</f>
        <v/>
      </c>
      <c r="P160">
        <f>MID($D160,4,1)</f>
        <v/>
      </c>
      <c r="Q160">
        <f>MID($D160,5,1)</f>
        <v/>
      </c>
      <c r="R160">
        <f>MID($D160,6,1)</f>
        <v/>
      </c>
      <c r="S160">
        <f>MID($D160,7,1)</f>
        <v/>
      </c>
      <c r="T160">
        <f>MID($D160,8,1)</f>
        <v/>
      </c>
      <c r="U160">
        <f>MID($D160,9,1)</f>
        <v/>
      </c>
      <c r="V160">
        <f>MID($D160,10,1)</f>
        <v/>
      </c>
      <c r="W160">
        <f>MID($E160,1,1)</f>
        <v/>
      </c>
      <c r="X160">
        <f>MID($E160,2,1)</f>
        <v/>
      </c>
      <c r="Y160">
        <f>MID($E160,3,1)</f>
        <v/>
      </c>
      <c r="Z160">
        <f>MID($E160,4,1)</f>
        <v/>
      </c>
      <c r="AA160">
        <f>MID($E160,5,1)</f>
        <v/>
      </c>
      <c r="AB160">
        <f>MID($E160,6,1)</f>
        <v/>
      </c>
      <c r="AC160">
        <f>MID($E160,7,1)</f>
        <v/>
      </c>
      <c r="AD160">
        <f>MID($E160,8,1)</f>
        <v/>
      </c>
      <c r="AE160">
        <f>MID($E160,9,1)</f>
        <v/>
      </c>
      <c r="AF160">
        <f>MID($E160,10,1)</f>
        <v/>
      </c>
    </row>
    <row r="161">
      <c r="A161" s="4" t="inlineStr">
        <is>
          <t>DN160</t>
        </is>
      </c>
      <c r="B161" s="4" t="n">
        <v>2</v>
      </c>
      <c r="C161" s="4" t="n">
        <v>4</v>
      </c>
      <c r="D161" s="5" t="inlineStr">
        <is>
          <t>ACAACCGATT</t>
        </is>
      </c>
      <c r="E161" s="5" t="inlineStr">
        <is>
          <t>AGCCACACGT</t>
        </is>
      </c>
      <c r="F161" s="4">
        <f>LEN(SUBSTITUTE(SUBSTITUTE(D161,"A",""),"T",""))</f>
        <v/>
      </c>
      <c r="G161" s="4">
        <f>LEN(SUBSTITUTE(SUBSTITUTE(E161,"A",""),"T",""))</f>
        <v/>
      </c>
      <c r="H161" s="4" t="n">
        <v>-3.43</v>
      </c>
      <c r="I161" s="4" t="n">
        <v>-0.7</v>
      </c>
      <c r="J161" s="4" t="n">
        <v>-3.22</v>
      </c>
      <c r="K161" s="4" t="n">
        <v>-2.89</v>
      </c>
      <c r="M161">
        <f>MID($D161,1,1)</f>
        <v/>
      </c>
      <c r="N161">
        <f>MID($D161,2,1)</f>
        <v/>
      </c>
      <c r="O161">
        <f>MID($D161,3,1)</f>
        <v/>
      </c>
      <c r="P161">
        <f>MID($D161,4,1)</f>
        <v/>
      </c>
      <c r="Q161">
        <f>MID($D161,5,1)</f>
        <v/>
      </c>
      <c r="R161">
        <f>MID($D161,6,1)</f>
        <v/>
      </c>
      <c r="S161">
        <f>MID($D161,7,1)</f>
        <v/>
      </c>
      <c r="T161">
        <f>MID($D161,8,1)</f>
        <v/>
      </c>
      <c r="U161">
        <f>MID($D161,9,1)</f>
        <v/>
      </c>
      <c r="V161">
        <f>MID($D161,10,1)</f>
        <v/>
      </c>
      <c r="W161">
        <f>MID($E161,1,1)</f>
        <v/>
      </c>
      <c r="X161">
        <f>MID($E161,2,1)</f>
        <v/>
      </c>
      <c r="Y161">
        <f>MID($E161,3,1)</f>
        <v/>
      </c>
      <c r="Z161">
        <f>MID($E161,4,1)</f>
        <v/>
      </c>
      <c r="AA161">
        <f>MID($E161,5,1)</f>
        <v/>
      </c>
      <c r="AB161">
        <f>MID($E161,6,1)</f>
        <v/>
      </c>
      <c r="AC161">
        <f>MID($E161,7,1)</f>
        <v/>
      </c>
      <c r="AD161">
        <f>MID($E161,8,1)</f>
        <v/>
      </c>
      <c r="AE161">
        <f>MID($E161,9,1)</f>
        <v/>
      </c>
      <c r="AF161">
        <f>MID($E161,10,1)</f>
        <v/>
      </c>
    </row>
    <row r="162">
      <c r="A162" s="4" t="inlineStr">
        <is>
          <t>DN161</t>
        </is>
      </c>
      <c r="B162" s="4" t="n">
        <v>2</v>
      </c>
      <c r="C162" s="4" t="n">
        <v>4</v>
      </c>
      <c r="D162" s="5" t="inlineStr">
        <is>
          <t>AGGAATACTC</t>
        </is>
      </c>
      <c r="E162" s="5" t="inlineStr">
        <is>
          <t>GTTGTGGAAT</t>
        </is>
      </c>
      <c r="F162" s="4">
        <f>LEN(SUBSTITUTE(SUBSTITUTE(D162,"A",""),"T",""))</f>
        <v/>
      </c>
      <c r="G162" s="4">
        <f>LEN(SUBSTITUTE(SUBSTITUTE(E162,"A",""),"T",""))</f>
        <v/>
      </c>
      <c r="H162" s="4" t="n">
        <v>-1.76</v>
      </c>
      <c r="I162" s="4" t="n">
        <v>-1.32</v>
      </c>
      <c r="J162" s="4" t="n">
        <v>-3.21</v>
      </c>
      <c r="K162" s="4" t="n">
        <v>-1.28</v>
      </c>
      <c r="M162">
        <f>MID($D162,1,1)</f>
        <v/>
      </c>
      <c r="N162">
        <f>MID($D162,2,1)</f>
        <v/>
      </c>
      <c r="O162">
        <f>MID($D162,3,1)</f>
        <v/>
      </c>
      <c r="P162">
        <f>MID($D162,4,1)</f>
        <v/>
      </c>
      <c r="Q162">
        <f>MID($D162,5,1)</f>
        <v/>
      </c>
      <c r="R162">
        <f>MID($D162,6,1)</f>
        <v/>
      </c>
      <c r="S162">
        <f>MID($D162,7,1)</f>
        <v/>
      </c>
      <c r="T162">
        <f>MID($D162,8,1)</f>
        <v/>
      </c>
      <c r="U162">
        <f>MID($D162,9,1)</f>
        <v/>
      </c>
      <c r="V162">
        <f>MID($D162,10,1)</f>
        <v/>
      </c>
      <c r="W162">
        <f>MID($E162,1,1)</f>
        <v/>
      </c>
      <c r="X162">
        <f>MID($E162,2,1)</f>
        <v/>
      </c>
      <c r="Y162">
        <f>MID($E162,3,1)</f>
        <v/>
      </c>
      <c r="Z162">
        <f>MID($E162,4,1)</f>
        <v/>
      </c>
      <c r="AA162">
        <f>MID($E162,5,1)</f>
        <v/>
      </c>
      <c r="AB162">
        <f>MID($E162,6,1)</f>
        <v/>
      </c>
      <c r="AC162">
        <f>MID($E162,7,1)</f>
        <v/>
      </c>
      <c r="AD162">
        <f>MID($E162,8,1)</f>
        <v/>
      </c>
      <c r="AE162">
        <f>MID($E162,9,1)</f>
        <v/>
      </c>
      <c r="AF162">
        <f>MID($E162,10,1)</f>
        <v/>
      </c>
    </row>
    <row r="163">
      <c r="A163" s="4" t="inlineStr">
        <is>
          <t>DN162</t>
        </is>
      </c>
      <c r="B163" s="4" t="n">
        <v>2</v>
      </c>
      <c r="C163" s="4" t="n">
        <v>4</v>
      </c>
      <c r="D163" s="5" t="inlineStr">
        <is>
          <t>CGTGGCAATC</t>
        </is>
      </c>
      <c r="E163" s="5" t="inlineStr">
        <is>
          <t>CTATCAATCC</t>
        </is>
      </c>
      <c r="F163" s="4">
        <f>LEN(SUBSTITUTE(SUBSTITUTE(D163,"A",""),"T",""))</f>
        <v/>
      </c>
      <c r="G163" s="4">
        <f>LEN(SUBSTITUTE(SUBSTITUTE(E163,"A",""),"T",""))</f>
        <v/>
      </c>
      <c r="H163" s="4" t="n">
        <v>-3.87</v>
      </c>
      <c r="I163" s="4" t="n">
        <v>-2.37</v>
      </c>
      <c r="J163" s="4" t="n">
        <v>-1.21</v>
      </c>
      <c r="K163" s="4" t="n">
        <v>0</v>
      </c>
      <c r="M163">
        <f>MID($D163,1,1)</f>
        <v/>
      </c>
      <c r="N163">
        <f>MID($D163,2,1)</f>
        <v/>
      </c>
      <c r="O163">
        <f>MID($D163,3,1)</f>
        <v/>
      </c>
      <c r="P163">
        <f>MID($D163,4,1)</f>
        <v/>
      </c>
      <c r="Q163">
        <f>MID($D163,5,1)</f>
        <v/>
      </c>
      <c r="R163">
        <f>MID($D163,6,1)</f>
        <v/>
      </c>
      <c r="S163">
        <f>MID($D163,7,1)</f>
        <v/>
      </c>
      <c r="T163">
        <f>MID($D163,8,1)</f>
        <v/>
      </c>
      <c r="U163">
        <f>MID($D163,9,1)</f>
        <v/>
      </c>
      <c r="V163">
        <f>MID($D163,10,1)</f>
        <v/>
      </c>
      <c r="W163">
        <f>MID($E163,1,1)</f>
        <v/>
      </c>
      <c r="X163">
        <f>MID($E163,2,1)</f>
        <v/>
      </c>
      <c r="Y163">
        <f>MID($E163,3,1)</f>
        <v/>
      </c>
      <c r="Z163">
        <f>MID($E163,4,1)</f>
        <v/>
      </c>
      <c r="AA163">
        <f>MID($E163,5,1)</f>
        <v/>
      </c>
      <c r="AB163">
        <f>MID($E163,6,1)</f>
        <v/>
      </c>
      <c r="AC163">
        <f>MID($E163,7,1)</f>
        <v/>
      </c>
      <c r="AD163">
        <f>MID($E163,8,1)</f>
        <v/>
      </c>
      <c r="AE163">
        <f>MID($E163,9,1)</f>
        <v/>
      </c>
      <c r="AF163">
        <f>MID($E163,10,1)</f>
        <v/>
      </c>
    </row>
    <row r="164">
      <c r="A164" s="4" t="inlineStr">
        <is>
          <t>DN163</t>
        </is>
      </c>
      <c r="B164" s="4" t="n">
        <v>2</v>
      </c>
      <c r="C164" s="4" t="n">
        <v>4</v>
      </c>
      <c r="D164" s="5" t="inlineStr">
        <is>
          <t>CTGTGACCTT</t>
        </is>
      </c>
      <c r="E164" s="5" t="inlineStr">
        <is>
          <t>ATCAAGGTTG</t>
        </is>
      </c>
      <c r="F164" s="4">
        <f>LEN(SUBSTITUTE(SUBSTITUTE(D164,"A",""),"T",""))</f>
        <v/>
      </c>
      <c r="G164" s="4">
        <f>LEN(SUBSTITUTE(SUBSTITUTE(E164,"A",""),"T",""))</f>
        <v/>
      </c>
      <c r="H164" s="4" t="n">
        <v>-2.87</v>
      </c>
      <c r="I164" s="4" t="n">
        <v>-1.27</v>
      </c>
      <c r="J164" s="4" t="n">
        <v>-2.79</v>
      </c>
      <c r="K164" s="4" t="n">
        <v>-1.57</v>
      </c>
      <c r="M164">
        <f>MID($D164,1,1)</f>
        <v/>
      </c>
      <c r="N164">
        <f>MID($D164,2,1)</f>
        <v/>
      </c>
      <c r="O164">
        <f>MID($D164,3,1)</f>
        <v/>
      </c>
      <c r="P164">
        <f>MID($D164,4,1)</f>
        <v/>
      </c>
      <c r="Q164">
        <f>MID($D164,5,1)</f>
        <v/>
      </c>
      <c r="R164">
        <f>MID($D164,6,1)</f>
        <v/>
      </c>
      <c r="S164">
        <f>MID($D164,7,1)</f>
        <v/>
      </c>
      <c r="T164">
        <f>MID($D164,8,1)</f>
        <v/>
      </c>
      <c r="U164">
        <f>MID($D164,9,1)</f>
        <v/>
      </c>
      <c r="V164">
        <f>MID($D164,10,1)</f>
        <v/>
      </c>
      <c r="W164">
        <f>MID($E164,1,1)</f>
        <v/>
      </c>
      <c r="X164">
        <f>MID($E164,2,1)</f>
        <v/>
      </c>
      <c r="Y164">
        <f>MID($E164,3,1)</f>
        <v/>
      </c>
      <c r="Z164">
        <f>MID($E164,4,1)</f>
        <v/>
      </c>
      <c r="AA164">
        <f>MID($E164,5,1)</f>
        <v/>
      </c>
      <c r="AB164">
        <f>MID($E164,6,1)</f>
        <v/>
      </c>
      <c r="AC164">
        <f>MID($E164,7,1)</f>
        <v/>
      </c>
      <c r="AD164">
        <f>MID($E164,8,1)</f>
        <v/>
      </c>
      <c r="AE164">
        <f>MID($E164,9,1)</f>
        <v/>
      </c>
      <c r="AF164">
        <f>MID($E164,10,1)</f>
        <v/>
      </c>
    </row>
    <row r="165">
      <c r="A165" s="4" t="inlineStr">
        <is>
          <t>DN164</t>
        </is>
      </c>
      <c r="B165" s="4" t="n">
        <v>2</v>
      </c>
      <c r="C165" s="4" t="n">
        <v>4</v>
      </c>
      <c r="D165" s="5" t="inlineStr">
        <is>
          <t>CCGACAGTAA</t>
        </is>
      </c>
      <c r="E165" s="5" t="inlineStr">
        <is>
          <t>GCTTCCTGGT</t>
        </is>
      </c>
      <c r="F165" s="4">
        <f>LEN(SUBSTITUTE(SUBSTITUTE(D165,"A",""),"T",""))</f>
        <v/>
      </c>
      <c r="G165" s="4">
        <f>LEN(SUBSTITUTE(SUBSTITUTE(E165,"A",""),"T",""))</f>
        <v/>
      </c>
      <c r="H165" s="4" t="n">
        <v>-2.79</v>
      </c>
      <c r="I165" s="4" t="n">
        <v>-1.82</v>
      </c>
      <c r="J165" s="4" t="n">
        <v>-1.95</v>
      </c>
      <c r="K165" s="4" t="n">
        <v>-1.6</v>
      </c>
      <c r="M165">
        <f>MID($D165,1,1)</f>
        <v/>
      </c>
      <c r="N165">
        <f>MID($D165,2,1)</f>
        <v/>
      </c>
      <c r="O165">
        <f>MID($D165,3,1)</f>
        <v/>
      </c>
      <c r="P165">
        <f>MID($D165,4,1)</f>
        <v/>
      </c>
      <c r="Q165">
        <f>MID($D165,5,1)</f>
        <v/>
      </c>
      <c r="R165">
        <f>MID($D165,6,1)</f>
        <v/>
      </c>
      <c r="S165">
        <f>MID($D165,7,1)</f>
        <v/>
      </c>
      <c r="T165">
        <f>MID($D165,8,1)</f>
        <v/>
      </c>
      <c r="U165">
        <f>MID($D165,9,1)</f>
        <v/>
      </c>
      <c r="V165">
        <f>MID($D165,10,1)</f>
        <v/>
      </c>
      <c r="W165">
        <f>MID($E165,1,1)</f>
        <v/>
      </c>
      <c r="X165">
        <f>MID($E165,2,1)</f>
        <v/>
      </c>
      <c r="Y165">
        <f>MID($E165,3,1)</f>
        <v/>
      </c>
      <c r="Z165">
        <f>MID($E165,4,1)</f>
        <v/>
      </c>
      <c r="AA165">
        <f>MID($E165,5,1)</f>
        <v/>
      </c>
      <c r="AB165">
        <f>MID($E165,6,1)</f>
        <v/>
      </c>
      <c r="AC165">
        <f>MID($E165,7,1)</f>
        <v/>
      </c>
      <c r="AD165">
        <f>MID($E165,8,1)</f>
        <v/>
      </c>
      <c r="AE165">
        <f>MID($E165,9,1)</f>
        <v/>
      </c>
      <c r="AF165">
        <f>MID($E165,10,1)</f>
        <v/>
      </c>
    </row>
    <row r="166">
      <c r="A166" s="4" t="inlineStr">
        <is>
          <t>DN165</t>
        </is>
      </c>
      <c r="B166" s="4" t="n">
        <v>2</v>
      </c>
      <c r="C166" s="4" t="n">
        <v>4</v>
      </c>
      <c r="D166" s="5" t="inlineStr">
        <is>
          <t>GCTTAGGTAA</t>
        </is>
      </c>
      <c r="E166" s="5" t="inlineStr">
        <is>
          <t>AGAGCAACTA</t>
        </is>
      </c>
      <c r="F166" s="4">
        <f>LEN(SUBSTITUTE(SUBSTITUTE(D166,"A",""),"T",""))</f>
        <v/>
      </c>
      <c r="G166" s="4">
        <f>LEN(SUBSTITUTE(SUBSTITUTE(E166,"A",""),"T",""))</f>
        <v/>
      </c>
      <c r="H166" s="4" t="n">
        <v>-2.01</v>
      </c>
      <c r="I166" s="4" t="n">
        <v>-0.92</v>
      </c>
      <c r="J166" s="4" t="n">
        <v>-2.87</v>
      </c>
      <c r="K166" s="4" t="n">
        <v>-1.58</v>
      </c>
      <c r="M166">
        <f>MID($D166,1,1)</f>
        <v/>
      </c>
      <c r="N166">
        <f>MID($D166,2,1)</f>
        <v/>
      </c>
      <c r="O166">
        <f>MID($D166,3,1)</f>
        <v/>
      </c>
      <c r="P166">
        <f>MID($D166,4,1)</f>
        <v/>
      </c>
      <c r="Q166">
        <f>MID($D166,5,1)</f>
        <v/>
      </c>
      <c r="R166">
        <f>MID($D166,6,1)</f>
        <v/>
      </c>
      <c r="S166">
        <f>MID($D166,7,1)</f>
        <v/>
      </c>
      <c r="T166">
        <f>MID($D166,8,1)</f>
        <v/>
      </c>
      <c r="U166">
        <f>MID($D166,9,1)</f>
        <v/>
      </c>
      <c r="V166">
        <f>MID($D166,10,1)</f>
        <v/>
      </c>
      <c r="W166">
        <f>MID($E166,1,1)</f>
        <v/>
      </c>
      <c r="X166">
        <f>MID($E166,2,1)</f>
        <v/>
      </c>
      <c r="Y166">
        <f>MID($E166,3,1)</f>
        <v/>
      </c>
      <c r="Z166">
        <f>MID($E166,4,1)</f>
        <v/>
      </c>
      <c r="AA166">
        <f>MID($E166,5,1)</f>
        <v/>
      </c>
      <c r="AB166">
        <f>MID($E166,6,1)</f>
        <v/>
      </c>
      <c r="AC166">
        <f>MID($E166,7,1)</f>
        <v/>
      </c>
      <c r="AD166">
        <f>MID($E166,8,1)</f>
        <v/>
      </c>
      <c r="AE166">
        <f>MID($E166,9,1)</f>
        <v/>
      </c>
      <c r="AF166">
        <f>MID($E166,10,1)</f>
        <v/>
      </c>
    </row>
    <row r="167">
      <c r="A167" s="4" t="inlineStr">
        <is>
          <t>DN166</t>
        </is>
      </c>
      <c r="B167" s="4" t="n">
        <v>2</v>
      </c>
      <c r="C167" s="4" t="n">
        <v>4</v>
      </c>
      <c r="D167" s="5" t="inlineStr">
        <is>
          <t>ACTCGACTCA</t>
        </is>
      </c>
      <c r="E167" s="5" t="inlineStr">
        <is>
          <t>AGGTCTAGCC</t>
        </is>
      </c>
      <c r="F167" s="4">
        <f>LEN(SUBSTITUTE(SUBSTITUTE(D167,"A",""),"T",""))</f>
        <v/>
      </c>
      <c r="G167" s="4">
        <f>LEN(SUBSTITUTE(SUBSTITUTE(E167,"A",""),"T",""))</f>
        <v/>
      </c>
      <c r="H167" s="4" t="n">
        <v>-2.73</v>
      </c>
      <c r="I167" s="4" t="n">
        <v>-2.71</v>
      </c>
      <c r="J167" s="4" t="n">
        <v>-2.55</v>
      </c>
      <c r="K167" s="4" t="n">
        <v>-1.56</v>
      </c>
      <c r="M167">
        <f>MID($D167,1,1)</f>
        <v/>
      </c>
      <c r="N167">
        <f>MID($D167,2,1)</f>
        <v/>
      </c>
      <c r="O167">
        <f>MID($D167,3,1)</f>
        <v/>
      </c>
      <c r="P167">
        <f>MID($D167,4,1)</f>
        <v/>
      </c>
      <c r="Q167">
        <f>MID($D167,5,1)</f>
        <v/>
      </c>
      <c r="R167">
        <f>MID($D167,6,1)</f>
        <v/>
      </c>
      <c r="S167">
        <f>MID($D167,7,1)</f>
        <v/>
      </c>
      <c r="T167">
        <f>MID($D167,8,1)</f>
        <v/>
      </c>
      <c r="U167">
        <f>MID($D167,9,1)</f>
        <v/>
      </c>
      <c r="V167">
        <f>MID($D167,10,1)</f>
        <v/>
      </c>
      <c r="W167">
        <f>MID($E167,1,1)</f>
        <v/>
      </c>
      <c r="X167">
        <f>MID($E167,2,1)</f>
        <v/>
      </c>
      <c r="Y167">
        <f>MID($E167,3,1)</f>
        <v/>
      </c>
      <c r="Z167">
        <f>MID($E167,4,1)</f>
        <v/>
      </c>
      <c r="AA167">
        <f>MID($E167,5,1)</f>
        <v/>
      </c>
      <c r="AB167">
        <f>MID($E167,6,1)</f>
        <v/>
      </c>
      <c r="AC167">
        <f>MID($E167,7,1)</f>
        <v/>
      </c>
      <c r="AD167">
        <f>MID($E167,8,1)</f>
        <v/>
      </c>
      <c r="AE167">
        <f>MID($E167,9,1)</f>
        <v/>
      </c>
      <c r="AF167">
        <f>MID($E167,10,1)</f>
        <v/>
      </c>
    </row>
    <row r="168">
      <c r="A168" s="4" t="inlineStr">
        <is>
          <t>DN167</t>
        </is>
      </c>
      <c r="B168" s="4" t="n">
        <v>2</v>
      </c>
      <c r="C168" s="4" t="n">
        <v>4</v>
      </c>
      <c r="D168" s="5" t="inlineStr">
        <is>
          <t>GTTGCCATGG</t>
        </is>
      </c>
      <c r="E168" s="5" t="inlineStr">
        <is>
          <t>ACGTAGCATG</t>
        </is>
      </c>
      <c r="F168" s="4">
        <f>LEN(SUBSTITUTE(SUBSTITUTE(D168,"A",""),"T",""))</f>
        <v/>
      </c>
      <c r="G168" s="4">
        <f>LEN(SUBSTITUTE(SUBSTITUTE(E168,"A",""),"T",""))</f>
        <v/>
      </c>
      <c r="H168" s="4" t="n">
        <v>-3.65</v>
      </c>
      <c r="I168" s="4" t="n">
        <v>-1.82</v>
      </c>
      <c r="J168" s="4" t="n">
        <v>-3.82</v>
      </c>
      <c r="K168" s="4" t="n">
        <v>-1.72</v>
      </c>
      <c r="M168">
        <f>MID($D168,1,1)</f>
        <v/>
      </c>
      <c r="N168">
        <f>MID($D168,2,1)</f>
        <v/>
      </c>
      <c r="O168">
        <f>MID($D168,3,1)</f>
        <v/>
      </c>
      <c r="P168">
        <f>MID($D168,4,1)</f>
        <v/>
      </c>
      <c r="Q168">
        <f>MID($D168,5,1)</f>
        <v/>
      </c>
      <c r="R168">
        <f>MID($D168,6,1)</f>
        <v/>
      </c>
      <c r="S168">
        <f>MID($D168,7,1)</f>
        <v/>
      </c>
      <c r="T168">
        <f>MID($D168,8,1)</f>
        <v/>
      </c>
      <c r="U168">
        <f>MID($D168,9,1)</f>
        <v/>
      </c>
      <c r="V168">
        <f>MID($D168,10,1)</f>
        <v/>
      </c>
      <c r="W168">
        <f>MID($E168,1,1)</f>
        <v/>
      </c>
      <c r="X168">
        <f>MID($E168,2,1)</f>
        <v/>
      </c>
      <c r="Y168">
        <f>MID($E168,3,1)</f>
        <v/>
      </c>
      <c r="Z168">
        <f>MID($E168,4,1)</f>
        <v/>
      </c>
      <c r="AA168">
        <f>MID($E168,5,1)</f>
        <v/>
      </c>
      <c r="AB168">
        <f>MID($E168,6,1)</f>
        <v/>
      </c>
      <c r="AC168">
        <f>MID($E168,7,1)</f>
        <v/>
      </c>
      <c r="AD168">
        <f>MID($E168,8,1)</f>
        <v/>
      </c>
      <c r="AE168">
        <f>MID($E168,9,1)</f>
        <v/>
      </c>
      <c r="AF168">
        <f>MID($E168,10,1)</f>
        <v/>
      </c>
    </row>
    <row r="169">
      <c r="A169" s="4" t="inlineStr">
        <is>
          <t>DN168</t>
        </is>
      </c>
      <c r="B169" s="4" t="n">
        <v>2</v>
      </c>
      <c r="C169" s="4" t="n">
        <v>4</v>
      </c>
      <c r="D169" s="5" t="inlineStr">
        <is>
          <t>GTGGTTCATT</t>
        </is>
      </c>
      <c r="E169" s="5" t="inlineStr">
        <is>
          <t>CGGTTCCACT</t>
        </is>
      </c>
      <c r="F169" s="4">
        <f>LEN(SUBSTITUTE(SUBSTITUTE(D169,"A",""),"T",""))</f>
        <v/>
      </c>
      <c r="G169" s="4">
        <f>LEN(SUBSTITUTE(SUBSTITUTE(E169,"A",""),"T",""))</f>
        <v/>
      </c>
      <c r="H169" s="4" t="n">
        <v>-2.33</v>
      </c>
      <c r="I169" s="4" t="n">
        <v>-1.16</v>
      </c>
      <c r="J169" s="4" t="n">
        <v>-3.28</v>
      </c>
      <c r="K169" s="4" t="n">
        <v>-1.06</v>
      </c>
      <c r="M169">
        <f>MID($D169,1,1)</f>
        <v/>
      </c>
      <c r="N169">
        <f>MID($D169,2,1)</f>
        <v/>
      </c>
      <c r="O169">
        <f>MID($D169,3,1)</f>
        <v/>
      </c>
      <c r="P169">
        <f>MID($D169,4,1)</f>
        <v/>
      </c>
      <c r="Q169">
        <f>MID($D169,5,1)</f>
        <v/>
      </c>
      <c r="R169">
        <f>MID($D169,6,1)</f>
        <v/>
      </c>
      <c r="S169">
        <f>MID($D169,7,1)</f>
        <v/>
      </c>
      <c r="T169">
        <f>MID($D169,8,1)</f>
        <v/>
      </c>
      <c r="U169">
        <f>MID($D169,9,1)</f>
        <v/>
      </c>
      <c r="V169">
        <f>MID($D169,10,1)</f>
        <v/>
      </c>
      <c r="W169">
        <f>MID($E169,1,1)</f>
        <v/>
      </c>
      <c r="X169">
        <f>MID($E169,2,1)</f>
        <v/>
      </c>
      <c r="Y169">
        <f>MID($E169,3,1)</f>
        <v/>
      </c>
      <c r="Z169">
        <f>MID($E169,4,1)</f>
        <v/>
      </c>
      <c r="AA169">
        <f>MID($E169,5,1)</f>
        <v/>
      </c>
      <c r="AB169">
        <f>MID($E169,6,1)</f>
        <v/>
      </c>
      <c r="AC169">
        <f>MID($E169,7,1)</f>
        <v/>
      </c>
      <c r="AD169">
        <f>MID($E169,8,1)</f>
        <v/>
      </c>
      <c r="AE169">
        <f>MID($E169,9,1)</f>
        <v/>
      </c>
      <c r="AF169">
        <f>MID($E169,10,1)</f>
        <v/>
      </c>
    </row>
    <row r="170">
      <c r="A170" s="4" t="inlineStr">
        <is>
          <t>DN169</t>
        </is>
      </c>
      <c r="B170" s="4" t="n">
        <v>2</v>
      </c>
      <c r="C170" s="4" t="n">
        <v>4</v>
      </c>
      <c r="D170" s="5" t="inlineStr">
        <is>
          <t>TGGCCACCTT</t>
        </is>
      </c>
      <c r="E170" s="5" t="inlineStr">
        <is>
          <t>CGATTACTAG</t>
        </is>
      </c>
      <c r="F170" s="4">
        <f>LEN(SUBSTITUTE(SUBSTITUTE(D170,"A",""),"T",""))</f>
        <v/>
      </c>
      <c r="G170" s="4">
        <f>LEN(SUBSTITUTE(SUBSTITUTE(E170,"A",""),"T",""))</f>
        <v/>
      </c>
      <c r="H170" s="4" t="n">
        <v>-3.49</v>
      </c>
      <c r="I170" s="4" t="n">
        <v>-2.08</v>
      </c>
      <c r="J170" s="4" t="n">
        <v>-1.94</v>
      </c>
      <c r="K170" s="4" t="n">
        <v>-0.45</v>
      </c>
      <c r="M170">
        <f>MID($D170,1,1)</f>
        <v/>
      </c>
      <c r="N170">
        <f>MID($D170,2,1)</f>
        <v/>
      </c>
      <c r="O170">
        <f>MID($D170,3,1)</f>
        <v/>
      </c>
      <c r="P170">
        <f>MID($D170,4,1)</f>
        <v/>
      </c>
      <c r="Q170">
        <f>MID($D170,5,1)</f>
        <v/>
      </c>
      <c r="R170">
        <f>MID($D170,6,1)</f>
        <v/>
      </c>
      <c r="S170">
        <f>MID($D170,7,1)</f>
        <v/>
      </c>
      <c r="T170">
        <f>MID($D170,8,1)</f>
        <v/>
      </c>
      <c r="U170">
        <f>MID($D170,9,1)</f>
        <v/>
      </c>
      <c r="V170">
        <f>MID($D170,10,1)</f>
        <v/>
      </c>
      <c r="W170">
        <f>MID($E170,1,1)</f>
        <v/>
      </c>
      <c r="X170">
        <f>MID($E170,2,1)</f>
        <v/>
      </c>
      <c r="Y170">
        <f>MID($E170,3,1)</f>
        <v/>
      </c>
      <c r="Z170">
        <f>MID($E170,4,1)</f>
        <v/>
      </c>
      <c r="AA170">
        <f>MID($E170,5,1)</f>
        <v/>
      </c>
      <c r="AB170">
        <f>MID($E170,6,1)</f>
        <v/>
      </c>
      <c r="AC170">
        <f>MID($E170,7,1)</f>
        <v/>
      </c>
      <c r="AD170">
        <f>MID($E170,8,1)</f>
        <v/>
      </c>
      <c r="AE170">
        <f>MID($E170,9,1)</f>
        <v/>
      </c>
      <c r="AF170">
        <f>MID($E170,10,1)</f>
        <v/>
      </c>
    </row>
    <row r="171">
      <c r="A171" s="4" t="inlineStr">
        <is>
          <t>DN170</t>
        </is>
      </c>
      <c r="B171" s="4" t="n">
        <v>2</v>
      </c>
      <c r="C171" s="4" t="n">
        <v>4</v>
      </c>
      <c r="D171" s="5" t="inlineStr">
        <is>
          <t>ACGCATTCAT</t>
        </is>
      </c>
      <c r="E171" s="5" t="inlineStr">
        <is>
          <t>GATCACAAGA</t>
        </is>
      </c>
      <c r="F171" s="4">
        <f>LEN(SUBSTITUTE(SUBSTITUTE(D171,"A",""),"T",""))</f>
        <v/>
      </c>
      <c r="G171" s="4">
        <f>LEN(SUBSTITUTE(SUBSTITUTE(E171,"A",""),"T",""))</f>
        <v/>
      </c>
      <c r="H171" s="4" t="n">
        <v>-3.02</v>
      </c>
      <c r="I171" s="4" t="n">
        <v>-1</v>
      </c>
      <c r="J171" s="4" t="n">
        <v>-2.61</v>
      </c>
      <c r="K171" s="4" t="n">
        <v>-0.19</v>
      </c>
      <c r="M171">
        <f>MID($D171,1,1)</f>
        <v/>
      </c>
      <c r="N171">
        <f>MID($D171,2,1)</f>
        <v/>
      </c>
      <c r="O171">
        <f>MID($D171,3,1)</f>
        <v/>
      </c>
      <c r="P171">
        <f>MID($D171,4,1)</f>
        <v/>
      </c>
      <c r="Q171">
        <f>MID($D171,5,1)</f>
        <v/>
      </c>
      <c r="R171">
        <f>MID($D171,6,1)</f>
        <v/>
      </c>
      <c r="S171">
        <f>MID($D171,7,1)</f>
        <v/>
      </c>
      <c r="T171">
        <f>MID($D171,8,1)</f>
        <v/>
      </c>
      <c r="U171">
        <f>MID($D171,9,1)</f>
        <v/>
      </c>
      <c r="V171">
        <f>MID($D171,10,1)</f>
        <v/>
      </c>
      <c r="W171">
        <f>MID($E171,1,1)</f>
        <v/>
      </c>
      <c r="X171">
        <f>MID($E171,2,1)</f>
        <v/>
      </c>
      <c r="Y171">
        <f>MID($E171,3,1)</f>
        <v/>
      </c>
      <c r="Z171">
        <f>MID($E171,4,1)</f>
        <v/>
      </c>
      <c r="AA171">
        <f>MID($E171,5,1)</f>
        <v/>
      </c>
      <c r="AB171">
        <f>MID($E171,6,1)</f>
        <v/>
      </c>
      <c r="AC171">
        <f>MID($E171,7,1)</f>
        <v/>
      </c>
      <c r="AD171">
        <f>MID($E171,8,1)</f>
        <v/>
      </c>
      <c r="AE171">
        <f>MID($E171,9,1)</f>
        <v/>
      </c>
      <c r="AF171">
        <f>MID($E171,10,1)</f>
        <v/>
      </c>
    </row>
    <row r="172">
      <c r="A172" s="4" t="inlineStr">
        <is>
          <t>DN171</t>
        </is>
      </c>
      <c r="B172" s="4" t="n">
        <v>2</v>
      </c>
      <c r="C172" s="4" t="n">
        <v>4</v>
      </c>
      <c r="D172" s="5" t="inlineStr">
        <is>
          <t>GTGTCACTCA</t>
        </is>
      </c>
      <c r="E172" s="5" t="inlineStr">
        <is>
          <t>TCTCCAGCAT</t>
        </is>
      </c>
      <c r="F172" s="4">
        <f>LEN(SUBSTITUTE(SUBSTITUTE(D172,"A",""),"T",""))</f>
        <v/>
      </c>
      <c r="G172" s="4">
        <f>LEN(SUBSTITUTE(SUBSTITUTE(E172,"A",""),"T",""))</f>
        <v/>
      </c>
      <c r="H172" s="4" t="n">
        <v>-1.92</v>
      </c>
      <c r="I172" s="4" t="n">
        <v>-0.76</v>
      </c>
      <c r="J172" s="4" t="n">
        <v>-3.42</v>
      </c>
      <c r="K172" s="4" t="n">
        <v>-1.62</v>
      </c>
      <c r="M172">
        <f>MID($D172,1,1)</f>
        <v/>
      </c>
      <c r="N172">
        <f>MID($D172,2,1)</f>
        <v/>
      </c>
      <c r="O172">
        <f>MID($D172,3,1)</f>
        <v/>
      </c>
      <c r="P172">
        <f>MID($D172,4,1)</f>
        <v/>
      </c>
      <c r="Q172">
        <f>MID($D172,5,1)</f>
        <v/>
      </c>
      <c r="R172">
        <f>MID($D172,6,1)</f>
        <v/>
      </c>
      <c r="S172">
        <f>MID($D172,7,1)</f>
        <v/>
      </c>
      <c r="T172">
        <f>MID($D172,8,1)</f>
        <v/>
      </c>
      <c r="U172">
        <f>MID($D172,9,1)</f>
        <v/>
      </c>
      <c r="V172">
        <f>MID($D172,10,1)</f>
        <v/>
      </c>
      <c r="W172">
        <f>MID($E172,1,1)</f>
        <v/>
      </c>
      <c r="X172">
        <f>MID($E172,2,1)</f>
        <v/>
      </c>
      <c r="Y172">
        <f>MID($E172,3,1)</f>
        <v/>
      </c>
      <c r="Z172">
        <f>MID($E172,4,1)</f>
        <v/>
      </c>
      <c r="AA172">
        <f>MID($E172,5,1)</f>
        <v/>
      </c>
      <c r="AB172">
        <f>MID($E172,6,1)</f>
        <v/>
      </c>
      <c r="AC172">
        <f>MID($E172,7,1)</f>
        <v/>
      </c>
      <c r="AD172">
        <f>MID($E172,8,1)</f>
        <v/>
      </c>
      <c r="AE172">
        <f>MID($E172,9,1)</f>
        <v/>
      </c>
      <c r="AF172">
        <f>MID($E172,10,1)</f>
        <v/>
      </c>
    </row>
    <row r="173">
      <c r="A173" s="4" t="inlineStr">
        <is>
          <t>DN172</t>
        </is>
      </c>
      <c r="B173" s="4" t="n">
        <v>2</v>
      </c>
      <c r="C173" s="4" t="n">
        <v>4</v>
      </c>
      <c r="D173" s="5" t="inlineStr">
        <is>
          <t>CATTAGCACT</t>
        </is>
      </c>
      <c r="E173" s="5" t="inlineStr">
        <is>
          <t>GAGGATAGGA</t>
        </is>
      </c>
      <c r="F173" s="4">
        <f>LEN(SUBSTITUTE(SUBSTITUTE(D173,"A",""),"T",""))</f>
        <v/>
      </c>
      <c r="G173" s="4">
        <f>LEN(SUBSTITUTE(SUBSTITUTE(E173,"A",""),"T",""))</f>
        <v/>
      </c>
      <c r="H173" s="4" t="n">
        <v>-2.36</v>
      </c>
      <c r="I173" s="4" t="n">
        <v>-1.29</v>
      </c>
      <c r="J173" s="4" t="n">
        <v>-2.33</v>
      </c>
      <c r="K173" s="4" t="n">
        <v>-1.79</v>
      </c>
      <c r="M173">
        <f>MID($D173,1,1)</f>
        <v/>
      </c>
      <c r="N173">
        <f>MID($D173,2,1)</f>
        <v/>
      </c>
      <c r="O173">
        <f>MID($D173,3,1)</f>
        <v/>
      </c>
      <c r="P173">
        <f>MID($D173,4,1)</f>
        <v/>
      </c>
      <c r="Q173">
        <f>MID($D173,5,1)</f>
        <v/>
      </c>
      <c r="R173">
        <f>MID($D173,6,1)</f>
        <v/>
      </c>
      <c r="S173">
        <f>MID($D173,7,1)</f>
        <v/>
      </c>
      <c r="T173">
        <f>MID($D173,8,1)</f>
        <v/>
      </c>
      <c r="U173">
        <f>MID($D173,9,1)</f>
        <v/>
      </c>
      <c r="V173">
        <f>MID($D173,10,1)</f>
        <v/>
      </c>
      <c r="W173">
        <f>MID($E173,1,1)</f>
        <v/>
      </c>
      <c r="X173">
        <f>MID($E173,2,1)</f>
        <v/>
      </c>
      <c r="Y173">
        <f>MID($E173,3,1)</f>
        <v/>
      </c>
      <c r="Z173">
        <f>MID($E173,4,1)</f>
        <v/>
      </c>
      <c r="AA173">
        <f>MID($E173,5,1)</f>
        <v/>
      </c>
      <c r="AB173">
        <f>MID($E173,6,1)</f>
        <v/>
      </c>
      <c r="AC173">
        <f>MID($E173,7,1)</f>
        <v/>
      </c>
      <c r="AD173">
        <f>MID($E173,8,1)</f>
        <v/>
      </c>
      <c r="AE173">
        <f>MID($E173,9,1)</f>
        <v/>
      </c>
      <c r="AF173">
        <f>MID($E173,10,1)</f>
        <v/>
      </c>
    </row>
    <row r="174">
      <c r="A174" s="4" t="inlineStr">
        <is>
          <t>DN173</t>
        </is>
      </c>
      <c r="B174" s="4" t="n">
        <v>2</v>
      </c>
      <c r="C174" s="4" t="n">
        <v>4</v>
      </c>
      <c r="D174" s="5" t="inlineStr">
        <is>
          <t>TATTCACGGT</t>
        </is>
      </c>
      <c r="E174" s="5" t="inlineStr">
        <is>
          <t>CAGGCCTTGA</t>
        </is>
      </c>
      <c r="F174" s="4">
        <f>LEN(SUBSTITUTE(SUBSTITUTE(D174,"A",""),"T",""))</f>
        <v/>
      </c>
      <c r="G174" s="4">
        <f>LEN(SUBSTITUTE(SUBSTITUTE(E174,"A",""),"T",""))</f>
        <v/>
      </c>
      <c r="H174" s="4" t="n">
        <v>-2.72</v>
      </c>
      <c r="I174" s="4" t="n">
        <v>-1.7</v>
      </c>
      <c r="J174" s="4" t="n">
        <v>-3.42</v>
      </c>
      <c r="K174" s="4" t="n">
        <v>-2.05</v>
      </c>
      <c r="M174">
        <f>MID($D174,1,1)</f>
        <v/>
      </c>
      <c r="N174">
        <f>MID($D174,2,1)</f>
        <v/>
      </c>
      <c r="O174">
        <f>MID($D174,3,1)</f>
        <v/>
      </c>
      <c r="P174">
        <f>MID($D174,4,1)</f>
        <v/>
      </c>
      <c r="Q174">
        <f>MID($D174,5,1)</f>
        <v/>
      </c>
      <c r="R174">
        <f>MID($D174,6,1)</f>
        <v/>
      </c>
      <c r="S174">
        <f>MID($D174,7,1)</f>
        <v/>
      </c>
      <c r="T174">
        <f>MID($D174,8,1)</f>
        <v/>
      </c>
      <c r="U174">
        <f>MID($D174,9,1)</f>
        <v/>
      </c>
      <c r="V174">
        <f>MID($D174,10,1)</f>
        <v/>
      </c>
      <c r="W174">
        <f>MID($E174,1,1)</f>
        <v/>
      </c>
      <c r="X174">
        <f>MID($E174,2,1)</f>
        <v/>
      </c>
      <c r="Y174">
        <f>MID($E174,3,1)</f>
        <v/>
      </c>
      <c r="Z174">
        <f>MID($E174,4,1)</f>
        <v/>
      </c>
      <c r="AA174">
        <f>MID($E174,5,1)</f>
        <v/>
      </c>
      <c r="AB174">
        <f>MID($E174,6,1)</f>
        <v/>
      </c>
      <c r="AC174">
        <f>MID($E174,7,1)</f>
        <v/>
      </c>
      <c r="AD174">
        <f>MID($E174,8,1)</f>
        <v/>
      </c>
      <c r="AE174">
        <f>MID($E174,9,1)</f>
        <v/>
      </c>
      <c r="AF174">
        <f>MID($E174,10,1)</f>
        <v/>
      </c>
    </row>
    <row r="175">
      <c r="A175" s="4" t="inlineStr">
        <is>
          <t>DN174</t>
        </is>
      </c>
      <c r="B175" s="4" t="n">
        <v>2</v>
      </c>
      <c r="C175" s="4" t="n">
        <v>4</v>
      </c>
      <c r="D175" s="5" t="inlineStr">
        <is>
          <t>TGCCATATCT</t>
        </is>
      </c>
      <c r="E175" s="5" t="inlineStr">
        <is>
          <t>CAGGATCGCT</t>
        </is>
      </c>
      <c r="F175" s="4">
        <f>LEN(SUBSTITUTE(SUBSTITUTE(D175,"A",""),"T",""))</f>
        <v/>
      </c>
      <c r="G175" s="4">
        <f>LEN(SUBSTITUTE(SUBSTITUTE(E175,"A",""),"T",""))</f>
        <v/>
      </c>
      <c r="H175" s="4" t="n">
        <v>-2.71</v>
      </c>
      <c r="I175" s="4" t="n">
        <v>-1.82</v>
      </c>
      <c r="J175" s="4" t="n">
        <v>-2.65</v>
      </c>
      <c r="K175" s="4" t="n">
        <v>-1.32</v>
      </c>
      <c r="M175">
        <f>MID($D175,1,1)</f>
        <v/>
      </c>
      <c r="N175">
        <f>MID($D175,2,1)</f>
        <v/>
      </c>
      <c r="O175">
        <f>MID($D175,3,1)</f>
        <v/>
      </c>
      <c r="P175">
        <f>MID($D175,4,1)</f>
        <v/>
      </c>
      <c r="Q175">
        <f>MID($D175,5,1)</f>
        <v/>
      </c>
      <c r="R175">
        <f>MID($D175,6,1)</f>
        <v/>
      </c>
      <c r="S175">
        <f>MID($D175,7,1)</f>
        <v/>
      </c>
      <c r="T175">
        <f>MID($D175,8,1)</f>
        <v/>
      </c>
      <c r="U175">
        <f>MID($D175,9,1)</f>
        <v/>
      </c>
      <c r="V175">
        <f>MID($D175,10,1)</f>
        <v/>
      </c>
      <c r="W175">
        <f>MID($E175,1,1)</f>
        <v/>
      </c>
      <c r="X175">
        <f>MID($E175,2,1)</f>
        <v/>
      </c>
      <c r="Y175">
        <f>MID($E175,3,1)</f>
        <v/>
      </c>
      <c r="Z175">
        <f>MID($E175,4,1)</f>
        <v/>
      </c>
      <c r="AA175">
        <f>MID($E175,5,1)</f>
        <v/>
      </c>
      <c r="AB175">
        <f>MID($E175,6,1)</f>
        <v/>
      </c>
      <c r="AC175">
        <f>MID($E175,7,1)</f>
        <v/>
      </c>
      <c r="AD175">
        <f>MID($E175,8,1)</f>
        <v/>
      </c>
      <c r="AE175">
        <f>MID($E175,9,1)</f>
        <v/>
      </c>
      <c r="AF175">
        <f>MID($E175,10,1)</f>
        <v/>
      </c>
    </row>
    <row r="176">
      <c r="A176" s="4" t="inlineStr">
        <is>
          <t>DN175</t>
        </is>
      </c>
      <c r="B176" s="4" t="n">
        <v>2</v>
      </c>
      <c r="C176" s="4" t="n">
        <v>4</v>
      </c>
      <c r="D176" s="5" t="inlineStr">
        <is>
          <t>AGGAGGCTTG</t>
        </is>
      </c>
      <c r="E176" s="5" t="inlineStr">
        <is>
          <t>TGGATGCATA</t>
        </is>
      </c>
      <c r="F176" s="4">
        <f>LEN(SUBSTITUTE(SUBSTITUTE(D176,"A",""),"T",""))</f>
        <v/>
      </c>
      <c r="G176" s="4">
        <f>LEN(SUBSTITUTE(SUBSTITUTE(E176,"A",""),"T",""))</f>
        <v/>
      </c>
      <c r="H176" s="4" t="n">
        <v>-3.31</v>
      </c>
      <c r="I176" s="4" t="n">
        <v>-2.54</v>
      </c>
      <c r="J176" s="4" t="n">
        <v>-2.38</v>
      </c>
      <c r="K176" s="4" t="n">
        <v>-1.28</v>
      </c>
      <c r="M176">
        <f>MID($D176,1,1)</f>
        <v/>
      </c>
      <c r="N176">
        <f>MID($D176,2,1)</f>
        <v/>
      </c>
      <c r="O176">
        <f>MID($D176,3,1)</f>
        <v/>
      </c>
      <c r="P176">
        <f>MID($D176,4,1)</f>
        <v/>
      </c>
      <c r="Q176">
        <f>MID($D176,5,1)</f>
        <v/>
      </c>
      <c r="R176">
        <f>MID($D176,6,1)</f>
        <v/>
      </c>
      <c r="S176">
        <f>MID($D176,7,1)</f>
        <v/>
      </c>
      <c r="T176">
        <f>MID($D176,8,1)</f>
        <v/>
      </c>
      <c r="U176">
        <f>MID($D176,9,1)</f>
        <v/>
      </c>
      <c r="V176">
        <f>MID($D176,10,1)</f>
        <v/>
      </c>
      <c r="W176">
        <f>MID($E176,1,1)</f>
        <v/>
      </c>
      <c r="X176">
        <f>MID($E176,2,1)</f>
        <v/>
      </c>
      <c r="Y176">
        <f>MID($E176,3,1)</f>
        <v/>
      </c>
      <c r="Z176">
        <f>MID($E176,4,1)</f>
        <v/>
      </c>
      <c r="AA176">
        <f>MID($E176,5,1)</f>
        <v/>
      </c>
      <c r="AB176">
        <f>MID($E176,6,1)</f>
        <v/>
      </c>
      <c r="AC176">
        <f>MID($E176,7,1)</f>
        <v/>
      </c>
      <c r="AD176">
        <f>MID($E176,8,1)</f>
        <v/>
      </c>
      <c r="AE176">
        <f>MID($E176,9,1)</f>
        <v/>
      </c>
      <c r="AF176">
        <f>MID($E176,10,1)</f>
        <v/>
      </c>
    </row>
    <row r="177">
      <c r="A177" s="4" t="inlineStr">
        <is>
          <t>DN176</t>
        </is>
      </c>
      <c r="B177" s="4" t="n">
        <v>2</v>
      </c>
      <c r="C177" s="4" t="n">
        <v>4</v>
      </c>
      <c r="D177" s="5" t="inlineStr">
        <is>
          <t>ATTCCGGAGC</t>
        </is>
      </c>
      <c r="E177" s="5" t="inlineStr">
        <is>
          <t>CAATTGCGGA</t>
        </is>
      </c>
      <c r="F177" s="4">
        <f>LEN(SUBSTITUTE(SUBSTITUTE(D177,"A",""),"T",""))</f>
        <v/>
      </c>
      <c r="G177" s="4">
        <f>LEN(SUBSTITUTE(SUBSTITUTE(E177,"A",""),"T",""))</f>
        <v/>
      </c>
      <c r="H177" s="4" t="n">
        <v>-3.24</v>
      </c>
      <c r="I177" s="4" t="n">
        <v>-2.04</v>
      </c>
      <c r="J177" s="4" t="n">
        <v>-3.58</v>
      </c>
      <c r="K177" s="4" t="n">
        <v>-2.27</v>
      </c>
      <c r="M177">
        <f>MID($D177,1,1)</f>
        <v/>
      </c>
      <c r="N177">
        <f>MID($D177,2,1)</f>
        <v/>
      </c>
      <c r="O177">
        <f>MID($D177,3,1)</f>
        <v/>
      </c>
      <c r="P177">
        <f>MID($D177,4,1)</f>
        <v/>
      </c>
      <c r="Q177">
        <f>MID($D177,5,1)</f>
        <v/>
      </c>
      <c r="R177">
        <f>MID($D177,6,1)</f>
        <v/>
      </c>
      <c r="S177">
        <f>MID($D177,7,1)</f>
        <v/>
      </c>
      <c r="T177">
        <f>MID($D177,8,1)</f>
        <v/>
      </c>
      <c r="U177">
        <f>MID($D177,9,1)</f>
        <v/>
      </c>
      <c r="V177">
        <f>MID($D177,10,1)</f>
        <v/>
      </c>
      <c r="W177">
        <f>MID($E177,1,1)</f>
        <v/>
      </c>
      <c r="X177">
        <f>MID($E177,2,1)</f>
        <v/>
      </c>
      <c r="Y177">
        <f>MID($E177,3,1)</f>
        <v/>
      </c>
      <c r="Z177">
        <f>MID($E177,4,1)</f>
        <v/>
      </c>
      <c r="AA177">
        <f>MID($E177,5,1)</f>
        <v/>
      </c>
      <c r="AB177">
        <f>MID($E177,6,1)</f>
        <v/>
      </c>
      <c r="AC177">
        <f>MID($E177,7,1)</f>
        <v/>
      </c>
      <c r="AD177">
        <f>MID($E177,8,1)</f>
        <v/>
      </c>
      <c r="AE177">
        <f>MID($E177,9,1)</f>
        <v/>
      </c>
      <c r="AF177">
        <f>MID($E177,10,1)</f>
        <v/>
      </c>
    </row>
    <row r="178">
      <c r="A178" s="4" t="inlineStr">
        <is>
          <t>DN177</t>
        </is>
      </c>
      <c r="B178" s="4" t="n">
        <v>2</v>
      </c>
      <c r="C178" s="4" t="n">
        <v>4</v>
      </c>
      <c r="D178" s="5" t="inlineStr">
        <is>
          <t>GCTGACTGTG</t>
        </is>
      </c>
      <c r="E178" s="5" t="inlineStr">
        <is>
          <t>GCCACCAATG</t>
        </is>
      </c>
      <c r="F178" s="4">
        <f>LEN(SUBSTITUTE(SUBSTITUTE(D178,"A",""),"T",""))</f>
        <v/>
      </c>
      <c r="G178" s="4">
        <f>LEN(SUBSTITUTE(SUBSTITUTE(E178,"A",""),"T",""))</f>
        <v/>
      </c>
      <c r="H178" s="4" t="n">
        <v>-2.86</v>
      </c>
      <c r="I178" s="4" t="n">
        <v>-0.91</v>
      </c>
      <c r="J178" s="4" t="n">
        <v>-2.32</v>
      </c>
      <c r="K178" s="4" t="n">
        <v>-1.58</v>
      </c>
      <c r="M178">
        <f>MID($D178,1,1)</f>
        <v/>
      </c>
      <c r="N178">
        <f>MID($D178,2,1)</f>
        <v/>
      </c>
      <c r="O178">
        <f>MID($D178,3,1)</f>
        <v/>
      </c>
      <c r="P178">
        <f>MID($D178,4,1)</f>
        <v/>
      </c>
      <c r="Q178">
        <f>MID($D178,5,1)</f>
        <v/>
      </c>
      <c r="R178">
        <f>MID($D178,6,1)</f>
        <v/>
      </c>
      <c r="S178">
        <f>MID($D178,7,1)</f>
        <v/>
      </c>
      <c r="T178">
        <f>MID($D178,8,1)</f>
        <v/>
      </c>
      <c r="U178">
        <f>MID($D178,9,1)</f>
        <v/>
      </c>
      <c r="V178">
        <f>MID($D178,10,1)</f>
        <v/>
      </c>
      <c r="W178">
        <f>MID($E178,1,1)</f>
        <v/>
      </c>
      <c r="X178">
        <f>MID($E178,2,1)</f>
        <v/>
      </c>
      <c r="Y178">
        <f>MID($E178,3,1)</f>
        <v/>
      </c>
      <c r="Z178">
        <f>MID($E178,4,1)</f>
        <v/>
      </c>
      <c r="AA178">
        <f>MID($E178,5,1)</f>
        <v/>
      </c>
      <c r="AB178">
        <f>MID($E178,6,1)</f>
        <v/>
      </c>
      <c r="AC178">
        <f>MID($E178,7,1)</f>
        <v/>
      </c>
      <c r="AD178">
        <f>MID($E178,8,1)</f>
        <v/>
      </c>
      <c r="AE178">
        <f>MID($E178,9,1)</f>
        <v/>
      </c>
      <c r="AF178">
        <f>MID($E178,10,1)</f>
        <v/>
      </c>
    </row>
    <row r="179">
      <c r="A179" s="4" t="inlineStr">
        <is>
          <t>DN178</t>
        </is>
      </c>
      <c r="B179" s="4" t="n">
        <v>2</v>
      </c>
      <c r="C179" s="4" t="n">
        <v>4</v>
      </c>
      <c r="D179" s="5" t="inlineStr">
        <is>
          <t>GAAGGCCAGA</t>
        </is>
      </c>
      <c r="E179" s="5" t="inlineStr">
        <is>
          <t>CCATGGTTAG</t>
        </is>
      </c>
      <c r="F179" s="4">
        <f>LEN(SUBSTITUTE(SUBSTITUTE(D179,"A",""),"T",""))</f>
        <v/>
      </c>
      <c r="G179" s="4">
        <f>LEN(SUBSTITUTE(SUBSTITUTE(E179,"A",""),"T",""))</f>
        <v/>
      </c>
      <c r="H179" s="4" t="n">
        <v>-4.11</v>
      </c>
      <c r="I179" s="4" t="n">
        <v>-1.88</v>
      </c>
      <c r="J179" s="4" t="n">
        <v>-2.54</v>
      </c>
      <c r="K179" s="4" t="n">
        <v>-1.16</v>
      </c>
      <c r="M179">
        <f>MID($D179,1,1)</f>
        <v/>
      </c>
      <c r="N179">
        <f>MID($D179,2,1)</f>
        <v/>
      </c>
      <c r="O179">
        <f>MID($D179,3,1)</f>
        <v/>
      </c>
      <c r="P179">
        <f>MID($D179,4,1)</f>
        <v/>
      </c>
      <c r="Q179">
        <f>MID($D179,5,1)</f>
        <v/>
      </c>
      <c r="R179">
        <f>MID($D179,6,1)</f>
        <v/>
      </c>
      <c r="S179">
        <f>MID($D179,7,1)</f>
        <v/>
      </c>
      <c r="T179">
        <f>MID($D179,8,1)</f>
        <v/>
      </c>
      <c r="U179">
        <f>MID($D179,9,1)</f>
        <v/>
      </c>
      <c r="V179">
        <f>MID($D179,10,1)</f>
        <v/>
      </c>
      <c r="W179">
        <f>MID($E179,1,1)</f>
        <v/>
      </c>
      <c r="X179">
        <f>MID($E179,2,1)</f>
        <v/>
      </c>
      <c r="Y179">
        <f>MID($E179,3,1)</f>
        <v/>
      </c>
      <c r="Z179">
        <f>MID($E179,4,1)</f>
        <v/>
      </c>
      <c r="AA179">
        <f>MID($E179,5,1)</f>
        <v/>
      </c>
      <c r="AB179">
        <f>MID($E179,6,1)</f>
        <v/>
      </c>
      <c r="AC179">
        <f>MID($E179,7,1)</f>
        <v/>
      </c>
      <c r="AD179">
        <f>MID($E179,8,1)</f>
        <v/>
      </c>
      <c r="AE179">
        <f>MID($E179,9,1)</f>
        <v/>
      </c>
      <c r="AF179">
        <f>MID($E179,10,1)</f>
        <v/>
      </c>
    </row>
    <row r="180">
      <c r="A180" s="4" t="inlineStr">
        <is>
          <t>DN179</t>
        </is>
      </c>
      <c r="B180" s="4" t="n">
        <v>2</v>
      </c>
      <c r="C180" s="4" t="n">
        <v>4</v>
      </c>
      <c r="D180" s="5" t="inlineStr">
        <is>
          <t>TCAACCTTGC</t>
        </is>
      </c>
      <c r="E180" s="5" t="inlineStr">
        <is>
          <t>AATGGCCGTG</t>
        </is>
      </c>
      <c r="F180" s="4">
        <f>LEN(SUBSTITUTE(SUBSTITUTE(D180,"A",""),"T",""))</f>
        <v/>
      </c>
      <c r="G180" s="4">
        <f>LEN(SUBSTITUTE(SUBSTITUTE(E180,"A",""),"T",""))</f>
        <v/>
      </c>
      <c r="H180" s="4" t="n">
        <v>-2.41</v>
      </c>
      <c r="I180" s="4" t="n">
        <v>-0.46</v>
      </c>
      <c r="J180" s="4" t="n">
        <v>-3.86</v>
      </c>
      <c r="K180" s="4" t="n">
        <v>-1.45</v>
      </c>
      <c r="M180">
        <f>MID($D180,1,1)</f>
        <v/>
      </c>
      <c r="N180">
        <f>MID($D180,2,1)</f>
        <v/>
      </c>
      <c r="O180">
        <f>MID($D180,3,1)</f>
        <v/>
      </c>
      <c r="P180">
        <f>MID($D180,4,1)</f>
        <v/>
      </c>
      <c r="Q180">
        <f>MID($D180,5,1)</f>
        <v/>
      </c>
      <c r="R180">
        <f>MID($D180,6,1)</f>
        <v/>
      </c>
      <c r="S180">
        <f>MID($D180,7,1)</f>
        <v/>
      </c>
      <c r="T180">
        <f>MID($D180,8,1)</f>
        <v/>
      </c>
      <c r="U180">
        <f>MID($D180,9,1)</f>
        <v/>
      </c>
      <c r="V180">
        <f>MID($D180,10,1)</f>
        <v/>
      </c>
      <c r="W180">
        <f>MID($E180,1,1)</f>
        <v/>
      </c>
      <c r="X180">
        <f>MID($E180,2,1)</f>
        <v/>
      </c>
      <c r="Y180">
        <f>MID($E180,3,1)</f>
        <v/>
      </c>
      <c r="Z180">
        <f>MID($E180,4,1)</f>
        <v/>
      </c>
      <c r="AA180">
        <f>MID($E180,5,1)</f>
        <v/>
      </c>
      <c r="AB180">
        <f>MID($E180,6,1)</f>
        <v/>
      </c>
      <c r="AC180">
        <f>MID($E180,7,1)</f>
        <v/>
      </c>
      <c r="AD180">
        <f>MID($E180,8,1)</f>
        <v/>
      </c>
      <c r="AE180">
        <f>MID($E180,9,1)</f>
        <v/>
      </c>
      <c r="AF180">
        <f>MID($E180,10,1)</f>
        <v/>
      </c>
    </row>
    <row r="181">
      <c r="A181" s="4" t="inlineStr">
        <is>
          <t>DN180</t>
        </is>
      </c>
      <c r="B181" s="4" t="n">
        <v>2</v>
      </c>
      <c r="C181" s="4" t="n">
        <v>4</v>
      </c>
      <c r="D181" s="5" t="inlineStr">
        <is>
          <t>CGCGAGTATG</t>
        </is>
      </c>
      <c r="E181" s="5" t="inlineStr">
        <is>
          <t>CACCTACTTA</t>
        </is>
      </c>
      <c r="F181" s="4">
        <f>LEN(SUBSTITUTE(SUBSTITUTE(D181,"A",""),"T",""))</f>
        <v/>
      </c>
      <c r="G181" s="4">
        <f>LEN(SUBSTITUTE(SUBSTITUTE(E181,"A",""),"T",""))</f>
        <v/>
      </c>
      <c r="H181" s="4" t="n">
        <v>-4.5</v>
      </c>
      <c r="I181" s="4" t="n">
        <v>-0.93</v>
      </c>
      <c r="J181" s="4" t="n">
        <v>-1.76</v>
      </c>
      <c r="K181" s="4" t="n">
        <v>0</v>
      </c>
      <c r="M181">
        <f>MID($D181,1,1)</f>
        <v/>
      </c>
      <c r="N181">
        <f>MID($D181,2,1)</f>
        <v/>
      </c>
      <c r="O181">
        <f>MID($D181,3,1)</f>
        <v/>
      </c>
      <c r="P181">
        <f>MID($D181,4,1)</f>
        <v/>
      </c>
      <c r="Q181">
        <f>MID($D181,5,1)</f>
        <v/>
      </c>
      <c r="R181">
        <f>MID($D181,6,1)</f>
        <v/>
      </c>
      <c r="S181">
        <f>MID($D181,7,1)</f>
        <v/>
      </c>
      <c r="T181">
        <f>MID($D181,8,1)</f>
        <v/>
      </c>
      <c r="U181">
        <f>MID($D181,9,1)</f>
        <v/>
      </c>
      <c r="V181">
        <f>MID($D181,10,1)</f>
        <v/>
      </c>
      <c r="W181">
        <f>MID($E181,1,1)</f>
        <v/>
      </c>
      <c r="X181">
        <f>MID($E181,2,1)</f>
        <v/>
      </c>
      <c r="Y181">
        <f>MID($E181,3,1)</f>
        <v/>
      </c>
      <c r="Z181">
        <f>MID($E181,4,1)</f>
        <v/>
      </c>
      <c r="AA181">
        <f>MID($E181,5,1)</f>
        <v/>
      </c>
      <c r="AB181">
        <f>MID($E181,6,1)</f>
        <v/>
      </c>
      <c r="AC181">
        <f>MID($E181,7,1)</f>
        <v/>
      </c>
      <c r="AD181">
        <f>MID($E181,8,1)</f>
        <v/>
      </c>
      <c r="AE181">
        <f>MID($E181,9,1)</f>
        <v/>
      </c>
      <c r="AF181">
        <f>MID($E181,10,1)</f>
        <v/>
      </c>
    </row>
    <row r="182">
      <c r="A182" s="4" t="inlineStr">
        <is>
          <t>DN181</t>
        </is>
      </c>
      <c r="B182" s="4" t="n">
        <v>2</v>
      </c>
      <c r="C182" s="4" t="n">
        <v>4</v>
      </c>
      <c r="D182" s="5" t="inlineStr">
        <is>
          <t>CACCACGGTT</t>
        </is>
      </c>
      <c r="E182" s="5" t="inlineStr">
        <is>
          <t>CAGCTAGAAT</t>
        </is>
      </c>
      <c r="F182" s="4">
        <f>LEN(SUBSTITUTE(SUBSTITUTE(D182,"A",""),"T",""))</f>
        <v/>
      </c>
      <c r="G182" s="4">
        <f>LEN(SUBSTITUTE(SUBSTITUTE(E182,"A",""),"T",""))</f>
        <v/>
      </c>
      <c r="H182" s="4" t="n">
        <v>-2.77</v>
      </c>
      <c r="I182" s="4" t="n">
        <v>-1.7</v>
      </c>
      <c r="J182" s="4" t="n">
        <v>-2.9</v>
      </c>
      <c r="K182" s="4" t="n">
        <v>-2.9</v>
      </c>
      <c r="M182">
        <f>MID($D182,1,1)</f>
        <v/>
      </c>
      <c r="N182">
        <f>MID($D182,2,1)</f>
        <v/>
      </c>
      <c r="O182">
        <f>MID($D182,3,1)</f>
        <v/>
      </c>
      <c r="P182">
        <f>MID($D182,4,1)</f>
        <v/>
      </c>
      <c r="Q182">
        <f>MID($D182,5,1)</f>
        <v/>
      </c>
      <c r="R182">
        <f>MID($D182,6,1)</f>
        <v/>
      </c>
      <c r="S182">
        <f>MID($D182,7,1)</f>
        <v/>
      </c>
      <c r="T182">
        <f>MID($D182,8,1)</f>
        <v/>
      </c>
      <c r="U182">
        <f>MID($D182,9,1)</f>
        <v/>
      </c>
      <c r="V182">
        <f>MID($D182,10,1)</f>
        <v/>
      </c>
      <c r="W182">
        <f>MID($E182,1,1)</f>
        <v/>
      </c>
      <c r="X182">
        <f>MID($E182,2,1)</f>
        <v/>
      </c>
      <c r="Y182">
        <f>MID($E182,3,1)</f>
        <v/>
      </c>
      <c r="Z182">
        <f>MID($E182,4,1)</f>
        <v/>
      </c>
      <c r="AA182">
        <f>MID($E182,5,1)</f>
        <v/>
      </c>
      <c r="AB182">
        <f>MID($E182,6,1)</f>
        <v/>
      </c>
      <c r="AC182">
        <f>MID($E182,7,1)</f>
        <v/>
      </c>
      <c r="AD182">
        <f>MID($E182,8,1)</f>
        <v/>
      </c>
      <c r="AE182">
        <f>MID($E182,9,1)</f>
        <v/>
      </c>
      <c r="AF182">
        <f>MID($E182,10,1)</f>
        <v/>
      </c>
    </row>
    <row r="183">
      <c r="A183" s="4" t="inlineStr">
        <is>
          <t>DN182</t>
        </is>
      </c>
      <c r="B183" s="4" t="n">
        <v>2</v>
      </c>
      <c r="C183" s="4" t="n">
        <v>4</v>
      </c>
      <c r="D183" s="5" t="inlineStr">
        <is>
          <t>GCGATCCGTA</t>
        </is>
      </c>
      <c r="E183" s="5" t="inlineStr">
        <is>
          <t>AACCAGGCAG</t>
        </is>
      </c>
      <c r="F183" s="4">
        <f>LEN(SUBSTITUTE(SUBSTITUTE(D183,"A",""),"T",""))</f>
        <v/>
      </c>
      <c r="G183" s="4">
        <f>LEN(SUBSTITUTE(SUBSTITUTE(E183,"A",""),"T",""))</f>
        <v/>
      </c>
      <c r="H183" s="4" t="n">
        <v>-3.02</v>
      </c>
      <c r="I183" s="4" t="n">
        <v>-0.91</v>
      </c>
      <c r="J183" s="4" t="n">
        <v>-3.49</v>
      </c>
      <c r="K183" s="4" t="n">
        <v>-3.49</v>
      </c>
      <c r="M183">
        <f>MID($D183,1,1)</f>
        <v/>
      </c>
      <c r="N183">
        <f>MID($D183,2,1)</f>
        <v/>
      </c>
      <c r="O183">
        <f>MID($D183,3,1)</f>
        <v/>
      </c>
      <c r="P183">
        <f>MID($D183,4,1)</f>
        <v/>
      </c>
      <c r="Q183">
        <f>MID($D183,5,1)</f>
        <v/>
      </c>
      <c r="R183">
        <f>MID($D183,6,1)</f>
        <v/>
      </c>
      <c r="S183">
        <f>MID($D183,7,1)</f>
        <v/>
      </c>
      <c r="T183">
        <f>MID($D183,8,1)</f>
        <v/>
      </c>
      <c r="U183">
        <f>MID($D183,9,1)</f>
        <v/>
      </c>
      <c r="V183">
        <f>MID($D183,10,1)</f>
        <v/>
      </c>
      <c r="W183">
        <f>MID($E183,1,1)</f>
        <v/>
      </c>
      <c r="X183">
        <f>MID($E183,2,1)</f>
        <v/>
      </c>
      <c r="Y183">
        <f>MID($E183,3,1)</f>
        <v/>
      </c>
      <c r="Z183">
        <f>MID($E183,4,1)</f>
        <v/>
      </c>
      <c r="AA183">
        <f>MID($E183,5,1)</f>
        <v/>
      </c>
      <c r="AB183">
        <f>MID($E183,6,1)</f>
        <v/>
      </c>
      <c r="AC183">
        <f>MID($E183,7,1)</f>
        <v/>
      </c>
      <c r="AD183">
        <f>MID($E183,8,1)</f>
        <v/>
      </c>
      <c r="AE183">
        <f>MID($E183,9,1)</f>
        <v/>
      </c>
      <c r="AF183">
        <f>MID($E183,10,1)</f>
        <v/>
      </c>
    </row>
    <row r="184">
      <c r="A184" s="4" t="inlineStr">
        <is>
          <t>DN183</t>
        </is>
      </c>
      <c r="B184" s="4" t="n">
        <v>2</v>
      </c>
      <c r="C184" s="4" t="n">
        <v>4</v>
      </c>
      <c r="D184" s="5" t="inlineStr">
        <is>
          <t>GAGCGATCAG</t>
        </is>
      </c>
      <c r="E184" s="5" t="inlineStr">
        <is>
          <t>CACCTTGTGC</t>
        </is>
      </c>
      <c r="F184" s="4">
        <f>LEN(SUBSTITUTE(SUBSTITUTE(D184,"A",""),"T",""))</f>
        <v/>
      </c>
      <c r="G184" s="4">
        <f>LEN(SUBSTITUTE(SUBSTITUTE(E184,"A",""),"T",""))</f>
        <v/>
      </c>
      <c r="H184" s="4" t="n">
        <v>-3.3</v>
      </c>
      <c r="I184" s="4" t="n">
        <v>-0.91</v>
      </c>
      <c r="J184" s="4" t="n">
        <v>-2.57</v>
      </c>
      <c r="K184" s="4" t="n">
        <v>-0.63</v>
      </c>
      <c r="M184">
        <f>MID($D184,1,1)</f>
        <v/>
      </c>
      <c r="N184">
        <f>MID($D184,2,1)</f>
        <v/>
      </c>
      <c r="O184">
        <f>MID($D184,3,1)</f>
        <v/>
      </c>
      <c r="P184">
        <f>MID($D184,4,1)</f>
        <v/>
      </c>
      <c r="Q184">
        <f>MID($D184,5,1)</f>
        <v/>
      </c>
      <c r="R184">
        <f>MID($D184,6,1)</f>
        <v/>
      </c>
      <c r="S184">
        <f>MID($D184,7,1)</f>
        <v/>
      </c>
      <c r="T184">
        <f>MID($D184,8,1)</f>
        <v/>
      </c>
      <c r="U184">
        <f>MID($D184,9,1)</f>
        <v/>
      </c>
      <c r="V184">
        <f>MID($D184,10,1)</f>
        <v/>
      </c>
      <c r="W184">
        <f>MID($E184,1,1)</f>
        <v/>
      </c>
      <c r="X184">
        <f>MID($E184,2,1)</f>
        <v/>
      </c>
      <c r="Y184">
        <f>MID($E184,3,1)</f>
        <v/>
      </c>
      <c r="Z184">
        <f>MID($E184,4,1)</f>
        <v/>
      </c>
      <c r="AA184">
        <f>MID($E184,5,1)</f>
        <v/>
      </c>
      <c r="AB184">
        <f>MID($E184,6,1)</f>
        <v/>
      </c>
      <c r="AC184">
        <f>MID($E184,7,1)</f>
        <v/>
      </c>
      <c r="AD184">
        <f>MID($E184,8,1)</f>
        <v/>
      </c>
      <c r="AE184">
        <f>MID($E184,9,1)</f>
        <v/>
      </c>
      <c r="AF184">
        <f>MID($E184,10,1)</f>
        <v/>
      </c>
    </row>
    <row r="185">
      <c r="A185" s="4" t="inlineStr">
        <is>
          <t>DN184</t>
        </is>
      </c>
      <c r="B185" s="4" t="n">
        <v>2</v>
      </c>
      <c r="C185" s="4" t="n">
        <v>4</v>
      </c>
      <c r="D185" s="5" t="inlineStr">
        <is>
          <t>CAACGATTGA</t>
        </is>
      </c>
      <c r="E185" s="5" t="inlineStr">
        <is>
          <t>AATCTCCGAA</t>
        </is>
      </c>
      <c r="F185" s="4">
        <f>LEN(SUBSTITUTE(SUBSTITUTE(D185,"A",""),"T",""))</f>
        <v/>
      </c>
      <c r="G185" s="4">
        <f>LEN(SUBSTITUTE(SUBSTITUTE(E185,"A",""),"T",""))</f>
        <v/>
      </c>
      <c r="H185" s="4" t="n">
        <v>-2.7</v>
      </c>
      <c r="I185" s="4" t="n">
        <v>-2.25</v>
      </c>
      <c r="J185" s="4" t="n">
        <v>-3.75</v>
      </c>
      <c r="K185" s="4" t="n">
        <v>-0.73</v>
      </c>
      <c r="M185">
        <f>MID($D185,1,1)</f>
        <v/>
      </c>
      <c r="N185">
        <f>MID($D185,2,1)</f>
        <v/>
      </c>
      <c r="O185">
        <f>MID($D185,3,1)</f>
        <v/>
      </c>
      <c r="P185">
        <f>MID($D185,4,1)</f>
        <v/>
      </c>
      <c r="Q185">
        <f>MID($D185,5,1)</f>
        <v/>
      </c>
      <c r="R185">
        <f>MID($D185,6,1)</f>
        <v/>
      </c>
      <c r="S185">
        <f>MID($D185,7,1)</f>
        <v/>
      </c>
      <c r="T185">
        <f>MID($D185,8,1)</f>
        <v/>
      </c>
      <c r="U185">
        <f>MID($D185,9,1)</f>
        <v/>
      </c>
      <c r="V185">
        <f>MID($D185,10,1)</f>
        <v/>
      </c>
      <c r="W185">
        <f>MID($E185,1,1)</f>
        <v/>
      </c>
      <c r="X185">
        <f>MID($E185,2,1)</f>
        <v/>
      </c>
      <c r="Y185">
        <f>MID($E185,3,1)</f>
        <v/>
      </c>
      <c r="Z185">
        <f>MID($E185,4,1)</f>
        <v/>
      </c>
      <c r="AA185">
        <f>MID($E185,5,1)</f>
        <v/>
      </c>
      <c r="AB185">
        <f>MID($E185,6,1)</f>
        <v/>
      </c>
      <c r="AC185">
        <f>MID($E185,7,1)</f>
        <v/>
      </c>
      <c r="AD185">
        <f>MID($E185,8,1)</f>
        <v/>
      </c>
      <c r="AE185">
        <f>MID($E185,9,1)</f>
        <v/>
      </c>
      <c r="AF185">
        <f>MID($E185,10,1)</f>
        <v/>
      </c>
    </row>
    <row r="186">
      <c r="A186" s="4" t="inlineStr">
        <is>
          <t>DN185</t>
        </is>
      </c>
      <c r="B186" s="4" t="n">
        <v>2</v>
      </c>
      <c r="C186" s="4" t="n">
        <v>4</v>
      </c>
      <c r="D186" s="5" t="inlineStr">
        <is>
          <t>GACGACCTCA</t>
        </is>
      </c>
      <c r="E186" s="5" t="inlineStr">
        <is>
          <t>CTCCGAGTCT</t>
        </is>
      </c>
      <c r="F186" s="4">
        <f>LEN(SUBSTITUTE(SUBSTITUTE(D186,"A",""),"T",""))</f>
        <v/>
      </c>
      <c r="G186" s="4">
        <f>LEN(SUBSTITUTE(SUBSTITUTE(E186,"A",""),"T",""))</f>
        <v/>
      </c>
      <c r="H186" s="4" t="n">
        <v>-2.69</v>
      </c>
      <c r="I186" s="4" t="n">
        <v>-2.21</v>
      </c>
      <c r="J186" s="4" t="n">
        <v>-3.36</v>
      </c>
      <c r="K186" s="4" t="n">
        <v>-1.06</v>
      </c>
      <c r="M186">
        <f>MID($D186,1,1)</f>
        <v/>
      </c>
      <c r="N186">
        <f>MID($D186,2,1)</f>
        <v/>
      </c>
      <c r="O186">
        <f>MID($D186,3,1)</f>
        <v/>
      </c>
      <c r="P186">
        <f>MID($D186,4,1)</f>
        <v/>
      </c>
      <c r="Q186">
        <f>MID($D186,5,1)</f>
        <v/>
      </c>
      <c r="R186">
        <f>MID($D186,6,1)</f>
        <v/>
      </c>
      <c r="S186">
        <f>MID($D186,7,1)</f>
        <v/>
      </c>
      <c r="T186">
        <f>MID($D186,8,1)</f>
        <v/>
      </c>
      <c r="U186">
        <f>MID($D186,9,1)</f>
        <v/>
      </c>
      <c r="V186">
        <f>MID($D186,10,1)</f>
        <v/>
      </c>
      <c r="W186">
        <f>MID($E186,1,1)</f>
        <v/>
      </c>
      <c r="X186">
        <f>MID($E186,2,1)</f>
        <v/>
      </c>
      <c r="Y186">
        <f>MID($E186,3,1)</f>
        <v/>
      </c>
      <c r="Z186">
        <f>MID($E186,4,1)</f>
        <v/>
      </c>
      <c r="AA186">
        <f>MID($E186,5,1)</f>
        <v/>
      </c>
      <c r="AB186">
        <f>MID($E186,6,1)</f>
        <v/>
      </c>
      <c r="AC186">
        <f>MID($E186,7,1)</f>
        <v/>
      </c>
      <c r="AD186">
        <f>MID($E186,8,1)</f>
        <v/>
      </c>
      <c r="AE186">
        <f>MID($E186,9,1)</f>
        <v/>
      </c>
      <c r="AF186">
        <f>MID($E186,10,1)</f>
        <v/>
      </c>
    </row>
    <row r="187">
      <c r="A187" s="4" t="inlineStr">
        <is>
          <t>DN186</t>
        </is>
      </c>
      <c r="B187" s="4" t="n">
        <v>2</v>
      </c>
      <c r="C187" s="4" t="n">
        <v>4</v>
      </c>
      <c r="D187" s="5" t="inlineStr">
        <is>
          <t>GAATGCACGG</t>
        </is>
      </c>
      <c r="E187" s="5" t="inlineStr">
        <is>
          <t>CTTACACCTC</t>
        </is>
      </c>
      <c r="F187" s="4">
        <f>LEN(SUBSTITUTE(SUBSTITUTE(D187,"A",""),"T",""))</f>
        <v/>
      </c>
      <c r="G187" s="4">
        <f>LEN(SUBSTITUTE(SUBSTITUTE(E187,"A",""),"T",""))</f>
        <v/>
      </c>
      <c r="H187" s="4" t="n">
        <v>-3.82</v>
      </c>
      <c r="I187" s="4" t="n">
        <v>-1.64</v>
      </c>
      <c r="J187" s="4" t="n">
        <v>-1.95</v>
      </c>
      <c r="K187" s="4" t="n">
        <v>0</v>
      </c>
      <c r="M187">
        <f>MID($D187,1,1)</f>
        <v/>
      </c>
      <c r="N187">
        <f>MID($D187,2,1)</f>
        <v/>
      </c>
      <c r="O187">
        <f>MID($D187,3,1)</f>
        <v/>
      </c>
      <c r="P187">
        <f>MID($D187,4,1)</f>
        <v/>
      </c>
      <c r="Q187">
        <f>MID($D187,5,1)</f>
        <v/>
      </c>
      <c r="R187">
        <f>MID($D187,6,1)</f>
        <v/>
      </c>
      <c r="S187">
        <f>MID($D187,7,1)</f>
        <v/>
      </c>
      <c r="T187">
        <f>MID($D187,8,1)</f>
        <v/>
      </c>
      <c r="U187">
        <f>MID($D187,9,1)</f>
        <v/>
      </c>
      <c r="V187">
        <f>MID($D187,10,1)</f>
        <v/>
      </c>
      <c r="W187">
        <f>MID($E187,1,1)</f>
        <v/>
      </c>
      <c r="X187">
        <f>MID($E187,2,1)</f>
        <v/>
      </c>
      <c r="Y187">
        <f>MID($E187,3,1)</f>
        <v/>
      </c>
      <c r="Z187">
        <f>MID($E187,4,1)</f>
        <v/>
      </c>
      <c r="AA187">
        <f>MID($E187,5,1)</f>
        <v/>
      </c>
      <c r="AB187">
        <f>MID($E187,6,1)</f>
        <v/>
      </c>
      <c r="AC187">
        <f>MID($E187,7,1)</f>
        <v/>
      </c>
      <c r="AD187">
        <f>MID($E187,8,1)</f>
        <v/>
      </c>
      <c r="AE187">
        <f>MID($E187,9,1)</f>
        <v/>
      </c>
      <c r="AF187">
        <f>MID($E187,10,1)</f>
        <v/>
      </c>
    </row>
    <row r="188">
      <c r="A188" s="4" t="inlineStr">
        <is>
          <t>DN187</t>
        </is>
      </c>
      <c r="B188" s="4" t="n">
        <v>2</v>
      </c>
      <c r="C188" s="4" t="n">
        <v>4</v>
      </c>
      <c r="D188" s="5" t="inlineStr">
        <is>
          <t>AGCGTAATTC</t>
        </is>
      </c>
      <c r="E188" s="5" t="inlineStr">
        <is>
          <t>GCCACTGACT</t>
        </is>
      </c>
      <c r="F188" s="4">
        <f>LEN(SUBSTITUTE(SUBSTITUTE(D188,"A",""),"T",""))</f>
        <v/>
      </c>
      <c r="G188" s="4">
        <f>LEN(SUBSTITUTE(SUBSTITUTE(E188,"A",""),"T",""))</f>
        <v/>
      </c>
      <c r="H188" s="4" t="n">
        <v>-2.61</v>
      </c>
      <c r="I188" s="4" t="n">
        <v>-0.76</v>
      </c>
      <c r="J188" s="4" t="n">
        <v>-2.32</v>
      </c>
      <c r="K188" s="4" t="n">
        <v>-1.49</v>
      </c>
      <c r="M188">
        <f>MID($D188,1,1)</f>
        <v/>
      </c>
      <c r="N188">
        <f>MID($D188,2,1)</f>
        <v/>
      </c>
      <c r="O188">
        <f>MID($D188,3,1)</f>
        <v/>
      </c>
      <c r="P188">
        <f>MID($D188,4,1)</f>
        <v/>
      </c>
      <c r="Q188">
        <f>MID($D188,5,1)</f>
        <v/>
      </c>
      <c r="R188">
        <f>MID($D188,6,1)</f>
        <v/>
      </c>
      <c r="S188">
        <f>MID($D188,7,1)</f>
        <v/>
      </c>
      <c r="T188">
        <f>MID($D188,8,1)</f>
        <v/>
      </c>
      <c r="U188">
        <f>MID($D188,9,1)</f>
        <v/>
      </c>
      <c r="V188">
        <f>MID($D188,10,1)</f>
        <v/>
      </c>
      <c r="W188">
        <f>MID($E188,1,1)</f>
        <v/>
      </c>
      <c r="X188">
        <f>MID($E188,2,1)</f>
        <v/>
      </c>
      <c r="Y188">
        <f>MID($E188,3,1)</f>
        <v/>
      </c>
      <c r="Z188">
        <f>MID($E188,4,1)</f>
        <v/>
      </c>
      <c r="AA188">
        <f>MID($E188,5,1)</f>
        <v/>
      </c>
      <c r="AB188">
        <f>MID($E188,6,1)</f>
        <v/>
      </c>
      <c r="AC188">
        <f>MID($E188,7,1)</f>
        <v/>
      </c>
      <c r="AD188">
        <f>MID($E188,8,1)</f>
        <v/>
      </c>
      <c r="AE188">
        <f>MID($E188,9,1)</f>
        <v/>
      </c>
      <c r="AF188">
        <f>MID($E188,10,1)</f>
        <v/>
      </c>
    </row>
    <row r="189">
      <c r="A189" s="4" t="inlineStr">
        <is>
          <t>DN188</t>
        </is>
      </c>
      <c r="B189" s="4" t="n">
        <v>2</v>
      </c>
      <c r="C189" s="4" t="n">
        <v>4</v>
      </c>
      <c r="D189" s="5" t="inlineStr">
        <is>
          <t>ATGGTTGCCT</t>
        </is>
      </c>
      <c r="E189" s="5" t="inlineStr">
        <is>
          <t>TCTCATCCAC</t>
        </is>
      </c>
      <c r="F189" s="4">
        <f>LEN(SUBSTITUTE(SUBSTITUTE(D189,"A",""),"T",""))</f>
        <v/>
      </c>
      <c r="G189" s="4">
        <f>LEN(SUBSTITUTE(SUBSTITUTE(E189,"A",""),"T",""))</f>
        <v/>
      </c>
      <c r="H189" s="4" t="n">
        <v>-2.44</v>
      </c>
      <c r="I189" s="4" t="n">
        <v>-2.3</v>
      </c>
      <c r="J189" s="4" t="n">
        <v>-1.22</v>
      </c>
      <c r="K189" s="4" t="n">
        <v>0</v>
      </c>
      <c r="M189">
        <f>MID($D189,1,1)</f>
        <v/>
      </c>
      <c r="N189">
        <f>MID($D189,2,1)</f>
        <v/>
      </c>
      <c r="O189">
        <f>MID($D189,3,1)</f>
        <v/>
      </c>
      <c r="P189">
        <f>MID($D189,4,1)</f>
        <v/>
      </c>
      <c r="Q189">
        <f>MID($D189,5,1)</f>
        <v/>
      </c>
      <c r="R189">
        <f>MID($D189,6,1)</f>
        <v/>
      </c>
      <c r="S189">
        <f>MID($D189,7,1)</f>
        <v/>
      </c>
      <c r="T189">
        <f>MID($D189,8,1)</f>
        <v/>
      </c>
      <c r="U189">
        <f>MID($D189,9,1)</f>
        <v/>
      </c>
      <c r="V189">
        <f>MID($D189,10,1)</f>
        <v/>
      </c>
      <c r="W189">
        <f>MID($E189,1,1)</f>
        <v/>
      </c>
      <c r="X189">
        <f>MID($E189,2,1)</f>
        <v/>
      </c>
      <c r="Y189">
        <f>MID($E189,3,1)</f>
        <v/>
      </c>
      <c r="Z189">
        <f>MID($E189,4,1)</f>
        <v/>
      </c>
      <c r="AA189">
        <f>MID($E189,5,1)</f>
        <v/>
      </c>
      <c r="AB189">
        <f>MID($E189,6,1)</f>
        <v/>
      </c>
      <c r="AC189">
        <f>MID($E189,7,1)</f>
        <v/>
      </c>
      <c r="AD189">
        <f>MID($E189,8,1)</f>
        <v/>
      </c>
      <c r="AE189">
        <f>MID($E189,9,1)</f>
        <v/>
      </c>
      <c r="AF189">
        <f>MID($E189,10,1)</f>
        <v/>
      </c>
    </row>
    <row r="190">
      <c r="A190" s="4" t="inlineStr">
        <is>
          <t>DN189</t>
        </is>
      </c>
      <c r="B190" s="4" t="n">
        <v>2</v>
      </c>
      <c r="C190" s="4" t="n">
        <v>4</v>
      </c>
      <c r="D190" s="5" t="inlineStr">
        <is>
          <t>AACGCCTACG</t>
        </is>
      </c>
      <c r="E190" s="5" t="inlineStr">
        <is>
          <t>ATTAGCCTGA</t>
        </is>
      </c>
      <c r="F190" s="4">
        <f>LEN(SUBSTITUTE(SUBSTITUTE(D190,"A",""),"T",""))</f>
        <v/>
      </c>
      <c r="G190" s="4">
        <f>LEN(SUBSTITUTE(SUBSTITUTE(E190,"A",""),"T",""))</f>
        <v/>
      </c>
      <c r="H190" s="4" t="n">
        <v>-3.74</v>
      </c>
      <c r="I190" s="4" t="n">
        <v>-1.11</v>
      </c>
      <c r="J190" s="4" t="n">
        <v>-2.78</v>
      </c>
      <c r="K190" s="4" t="n">
        <v>-2.77</v>
      </c>
      <c r="M190">
        <f>MID($D190,1,1)</f>
        <v/>
      </c>
      <c r="N190">
        <f>MID($D190,2,1)</f>
        <v/>
      </c>
      <c r="O190">
        <f>MID($D190,3,1)</f>
        <v/>
      </c>
      <c r="P190">
        <f>MID($D190,4,1)</f>
        <v/>
      </c>
      <c r="Q190">
        <f>MID($D190,5,1)</f>
        <v/>
      </c>
      <c r="R190">
        <f>MID($D190,6,1)</f>
        <v/>
      </c>
      <c r="S190">
        <f>MID($D190,7,1)</f>
        <v/>
      </c>
      <c r="T190">
        <f>MID($D190,8,1)</f>
        <v/>
      </c>
      <c r="U190">
        <f>MID($D190,9,1)</f>
        <v/>
      </c>
      <c r="V190">
        <f>MID($D190,10,1)</f>
        <v/>
      </c>
      <c r="W190">
        <f>MID($E190,1,1)</f>
        <v/>
      </c>
      <c r="X190">
        <f>MID($E190,2,1)</f>
        <v/>
      </c>
      <c r="Y190">
        <f>MID($E190,3,1)</f>
        <v/>
      </c>
      <c r="Z190">
        <f>MID($E190,4,1)</f>
        <v/>
      </c>
      <c r="AA190">
        <f>MID($E190,5,1)</f>
        <v/>
      </c>
      <c r="AB190">
        <f>MID($E190,6,1)</f>
        <v/>
      </c>
      <c r="AC190">
        <f>MID($E190,7,1)</f>
        <v/>
      </c>
      <c r="AD190">
        <f>MID($E190,8,1)</f>
        <v/>
      </c>
      <c r="AE190">
        <f>MID($E190,9,1)</f>
        <v/>
      </c>
      <c r="AF190">
        <f>MID($E190,10,1)</f>
        <v/>
      </c>
    </row>
    <row r="191">
      <c r="A191" s="4" t="inlineStr">
        <is>
          <t>DN190</t>
        </is>
      </c>
      <c r="B191" s="4" t="n">
        <v>2</v>
      </c>
      <c r="C191" s="4" t="n">
        <v>4</v>
      </c>
      <c r="D191" s="5" t="inlineStr">
        <is>
          <t>GCAAGCCAAC</t>
        </is>
      </c>
      <c r="E191" s="5" t="inlineStr">
        <is>
          <t>TGCTAGCCAT</t>
        </is>
      </c>
      <c r="F191" s="4">
        <f>LEN(SUBSTITUTE(SUBSTITUTE(D191,"A",""),"T",""))</f>
        <v/>
      </c>
      <c r="G191" s="4">
        <f>LEN(SUBSTITUTE(SUBSTITUTE(E191,"A",""),"T",""))</f>
        <v/>
      </c>
      <c r="H191" s="4" t="n">
        <v>-3.18</v>
      </c>
      <c r="I191" s="4" t="n">
        <v>-1.88</v>
      </c>
      <c r="J191" s="4" t="n">
        <v>-3.35</v>
      </c>
      <c r="K191" s="4" t="n">
        <v>-1.88</v>
      </c>
      <c r="M191">
        <f>MID($D191,1,1)</f>
        <v/>
      </c>
      <c r="N191">
        <f>MID($D191,2,1)</f>
        <v/>
      </c>
      <c r="O191">
        <f>MID($D191,3,1)</f>
        <v/>
      </c>
      <c r="P191">
        <f>MID($D191,4,1)</f>
        <v/>
      </c>
      <c r="Q191">
        <f>MID($D191,5,1)</f>
        <v/>
      </c>
      <c r="R191">
        <f>MID($D191,6,1)</f>
        <v/>
      </c>
      <c r="S191">
        <f>MID($D191,7,1)</f>
        <v/>
      </c>
      <c r="T191">
        <f>MID($D191,8,1)</f>
        <v/>
      </c>
      <c r="U191">
        <f>MID($D191,9,1)</f>
        <v/>
      </c>
      <c r="V191">
        <f>MID($D191,10,1)</f>
        <v/>
      </c>
      <c r="W191">
        <f>MID($E191,1,1)</f>
        <v/>
      </c>
      <c r="X191">
        <f>MID($E191,2,1)</f>
        <v/>
      </c>
      <c r="Y191">
        <f>MID($E191,3,1)</f>
        <v/>
      </c>
      <c r="Z191">
        <f>MID($E191,4,1)</f>
        <v/>
      </c>
      <c r="AA191">
        <f>MID($E191,5,1)</f>
        <v/>
      </c>
      <c r="AB191">
        <f>MID($E191,6,1)</f>
        <v/>
      </c>
      <c r="AC191">
        <f>MID($E191,7,1)</f>
        <v/>
      </c>
      <c r="AD191">
        <f>MID($E191,8,1)</f>
        <v/>
      </c>
      <c r="AE191">
        <f>MID($E191,9,1)</f>
        <v/>
      </c>
      <c r="AF191">
        <f>MID($E191,10,1)</f>
        <v/>
      </c>
    </row>
    <row r="192">
      <c r="A192" s="4" t="inlineStr">
        <is>
          <t>DN191</t>
        </is>
      </c>
      <c r="B192" s="4" t="n">
        <v>2</v>
      </c>
      <c r="C192" s="4" t="n">
        <v>4</v>
      </c>
      <c r="D192" s="5" t="inlineStr">
        <is>
          <t>TTCCTTAGAG</t>
        </is>
      </c>
      <c r="E192" s="5" t="inlineStr">
        <is>
          <t>TAACGTCATC</t>
        </is>
      </c>
      <c r="F192" s="4">
        <f>LEN(SUBSTITUTE(SUBSTITUTE(D192,"A",""),"T",""))</f>
        <v/>
      </c>
      <c r="G192" s="4">
        <f>LEN(SUBSTITUTE(SUBSTITUTE(E192,"A",""),"T",""))</f>
        <v/>
      </c>
      <c r="H192" s="4" t="n">
        <v>-1.33</v>
      </c>
      <c r="I192" s="4" t="n">
        <v>-0.38</v>
      </c>
      <c r="J192" s="4" t="n">
        <v>-2.77</v>
      </c>
      <c r="K192" s="4" t="n">
        <v>-2.77</v>
      </c>
      <c r="M192">
        <f>MID($D192,1,1)</f>
        <v/>
      </c>
      <c r="N192">
        <f>MID($D192,2,1)</f>
        <v/>
      </c>
      <c r="O192">
        <f>MID($D192,3,1)</f>
        <v/>
      </c>
      <c r="P192">
        <f>MID($D192,4,1)</f>
        <v/>
      </c>
      <c r="Q192">
        <f>MID($D192,5,1)</f>
        <v/>
      </c>
      <c r="R192">
        <f>MID($D192,6,1)</f>
        <v/>
      </c>
      <c r="S192">
        <f>MID($D192,7,1)</f>
        <v/>
      </c>
      <c r="T192">
        <f>MID($D192,8,1)</f>
        <v/>
      </c>
      <c r="U192">
        <f>MID($D192,9,1)</f>
        <v/>
      </c>
      <c r="V192">
        <f>MID($D192,10,1)</f>
        <v/>
      </c>
      <c r="W192">
        <f>MID($E192,1,1)</f>
        <v/>
      </c>
      <c r="X192">
        <f>MID($E192,2,1)</f>
        <v/>
      </c>
      <c r="Y192">
        <f>MID($E192,3,1)</f>
        <v/>
      </c>
      <c r="Z192">
        <f>MID($E192,4,1)</f>
        <v/>
      </c>
      <c r="AA192">
        <f>MID($E192,5,1)</f>
        <v/>
      </c>
      <c r="AB192">
        <f>MID($E192,6,1)</f>
        <v/>
      </c>
      <c r="AC192">
        <f>MID($E192,7,1)</f>
        <v/>
      </c>
      <c r="AD192">
        <f>MID($E192,8,1)</f>
        <v/>
      </c>
      <c r="AE192">
        <f>MID($E192,9,1)</f>
        <v/>
      </c>
      <c r="AF192">
        <f>MID($E192,10,1)</f>
        <v/>
      </c>
    </row>
    <row r="193">
      <c r="A193" s="4" t="inlineStr">
        <is>
          <t>DN192</t>
        </is>
      </c>
      <c r="B193" s="4" t="n">
        <v>2</v>
      </c>
      <c r="C193" s="4" t="n">
        <v>4</v>
      </c>
      <c r="D193" s="5" t="inlineStr">
        <is>
          <t>CTCAGCCAGT</t>
        </is>
      </c>
      <c r="E193" s="5" t="inlineStr">
        <is>
          <t>CAACCTGCAC</t>
        </is>
      </c>
      <c r="F193" s="4">
        <f>LEN(SUBSTITUTE(SUBSTITUTE(D193,"A",""),"T",""))</f>
        <v/>
      </c>
      <c r="G193" s="4">
        <f>LEN(SUBSTITUTE(SUBSTITUTE(E193,"A",""),"T",""))</f>
        <v/>
      </c>
      <c r="H193" s="4" t="n">
        <v>-3.58</v>
      </c>
      <c r="I193" s="4" t="n">
        <v>-2.35</v>
      </c>
      <c r="J193" s="4" t="n">
        <v>-2.3</v>
      </c>
      <c r="K193" s="4" t="n">
        <v>-0.6</v>
      </c>
      <c r="M193">
        <f>MID($D193,1,1)</f>
        <v/>
      </c>
      <c r="N193">
        <f>MID($D193,2,1)</f>
        <v/>
      </c>
      <c r="O193">
        <f>MID($D193,3,1)</f>
        <v/>
      </c>
      <c r="P193">
        <f>MID($D193,4,1)</f>
        <v/>
      </c>
      <c r="Q193">
        <f>MID($D193,5,1)</f>
        <v/>
      </c>
      <c r="R193">
        <f>MID($D193,6,1)</f>
        <v/>
      </c>
      <c r="S193">
        <f>MID($D193,7,1)</f>
        <v/>
      </c>
      <c r="T193">
        <f>MID($D193,8,1)</f>
        <v/>
      </c>
      <c r="U193">
        <f>MID($D193,9,1)</f>
        <v/>
      </c>
      <c r="V193">
        <f>MID($D193,10,1)</f>
        <v/>
      </c>
      <c r="W193">
        <f>MID($E193,1,1)</f>
        <v/>
      </c>
      <c r="X193">
        <f>MID($E193,2,1)</f>
        <v/>
      </c>
      <c r="Y193">
        <f>MID($E193,3,1)</f>
        <v/>
      </c>
      <c r="Z193">
        <f>MID($E193,4,1)</f>
        <v/>
      </c>
      <c r="AA193">
        <f>MID($E193,5,1)</f>
        <v/>
      </c>
      <c r="AB193">
        <f>MID($E193,6,1)</f>
        <v/>
      </c>
      <c r="AC193">
        <f>MID($E193,7,1)</f>
        <v/>
      </c>
      <c r="AD193">
        <f>MID($E193,8,1)</f>
        <v/>
      </c>
      <c r="AE193">
        <f>MID($E193,9,1)</f>
        <v/>
      </c>
      <c r="AF193">
        <f>MID($E193,10,1)</f>
        <v/>
      </c>
    </row>
    <row r="194">
      <c r="A194" s="4" t="inlineStr">
        <is>
          <t>DN193</t>
        </is>
      </c>
      <c r="B194" s="4" t="n">
        <v>3</v>
      </c>
      <c r="C194" s="4" t="n">
        <v>5</v>
      </c>
      <c r="D194" s="5" t="inlineStr">
        <is>
          <t>GCCTCTGCAA</t>
        </is>
      </c>
      <c r="E194" s="5" t="inlineStr">
        <is>
          <t>GAGGTTCTCG</t>
        </is>
      </c>
      <c r="F194" s="4">
        <f>LEN(SUBSTITUTE(SUBSTITUTE(D194,"A",""),"T",""))</f>
        <v/>
      </c>
      <c r="G194" s="4">
        <f>LEN(SUBSTITUTE(SUBSTITUTE(E194,"A",""),"T",""))</f>
        <v/>
      </c>
      <c r="H194" s="4" t="n">
        <v>-2.5</v>
      </c>
      <c r="I194" s="4" t="n">
        <v>-2.5</v>
      </c>
      <c r="J194" s="4" t="n">
        <v>-3.16</v>
      </c>
      <c r="K194" s="4" t="n">
        <v>-2.14</v>
      </c>
      <c r="M194">
        <f>MID($D194,1,1)</f>
        <v/>
      </c>
      <c r="N194">
        <f>MID($D194,2,1)</f>
        <v/>
      </c>
      <c r="O194">
        <f>MID($D194,3,1)</f>
        <v/>
      </c>
      <c r="P194">
        <f>MID($D194,4,1)</f>
        <v/>
      </c>
      <c r="Q194">
        <f>MID($D194,5,1)</f>
        <v/>
      </c>
      <c r="R194">
        <f>MID($D194,6,1)</f>
        <v/>
      </c>
      <c r="S194">
        <f>MID($D194,7,1)</f>
        <v/>
      </c>
      <c r="T194">
        <f>MID($D194,8,1)</f>
        <v/>
      </c>
      <c r="U194">
        <f>MID($D194,9,1)</f>
        <v/>
      </c>
      <c r="V194">
        <f>MID($D194,10,1)</f>
        <v/>
      </c>
      <c r="W194">
        <f>MID($E194,1,1)</f>
        <v/>
      </c>
      <c r="X194">
        <f>MID($E194,2,1)</f>
        <v/>
      </c>
      <c r="Y194">
        <f>MID($E194,3,1)</f>
        <v/>
      </c>
      <c r="Z194">
        <f>MID($E194,4,1)</f>
        <v/>
      </c>
      <c r="AA194">
        <f>MID($E194,5,1)</f>
        <v/>
      </c>
      <c r="AB194">
        <f>MID($E194,6,1)</f>
        <v/>
      </c>
      <c r="AC194">
        <f>MID($E194,7,1)</f>
        <v/>
      </c>
      <c r="AD194">
        <f>MID($E194,8,1)</f>
        <v/>
      </c>
      <c r="AE194">
        <f>MID($E194,9,1)</f>
        <v/>
      </c>
      <c r="AF194">
        <f>MID($E194,10,1)</f>
        <v/>
      </c>
    </row>
    <row r="195">
      <c r="A195" s="4" t="inlineStr">
        <is>
          <t>DN194</t>
        </is>
      </c>
      <c r="B195" s="4" t="n">
        <v>3</v>
      </c>
      <c r="C195" s="4" t="n">
        <v>5</v>
      </c>
      <c r="D195" s="5" t="inlineStr">
        <is>
          <t>TATCTGGTTC</t>
        </is>
      </c>
      <c r="E195" s="5" t="inlineStr">
        <is>
          <t>CTATGGAACG</t>
        </is>
      </c>
      <c r="F195" s="4">
        <f>LEN(SUBSTITUTE(SUBSTITUTE(D195,"A",""),"T",""))</f>
        <v/>
      </c>
      <c r="G195" s="4">
        <f>LEN(SUBSTITUTE(SUBSTITUTE(E195,"A",""),"T",""))</f>
        <v/>
      </c>
      <c r="H195" s="4" t="n">
        <v>-1.93</v>
      </c>
      <c r="I195" s="4" t="n">
        <v>-1.16</v>
      </c>
      <c r="J195" s="4" t="n">
        <v>-3.05</v>
      </c>
      <c r="K195" s="4" t="n">
        <v>-1.67</v>
      </c>
      <c r="M195">
        <f>MID($D195,1,1)</f>
        <v/>
      </c>
      <c r="N195">
        <f>MID($D195,2,1)</f>
        <v/>
      </c>
      <c r="O195">
        <f>MID($D195,3,1)</f>
        <v/>
      </c>
      <c r="P195">
        <f>MID($D195,4,1)</f>
        <v/>
      </c>
      <c r="Q195">
        <f>MID($D195,5,1)</f>
        <v/>
      </c>
      <c r="R195">
        <f>MID($D195,6,1)</f>
        <v/>
      </c>
      <c r="S195">
        <f>MID($D195,7,1)</f>
        <v/>
      </c>
      <c r="T195">
        <f>MID($D195,8,1)</f>
        <v/>
      </c>
      <c r="U195">
        <f>MID($D195,9,1)</f>
        <v/>
      </c>
      <c r="V195">
        <f>MID($D195,10,1)</f>
        <v/>
      </c>
      <c r="W195">
        <f>MID($E195,1,1)</f>
        <v/>
      </c>
      <c r="X195">
        <f>MID($E195,2,1)</f>
        <v/>
      </c>
      <c r="Y195">
        <f>MID($E195,3,1)</f>
        <v/>
      </c>
      <c r="Z195">
        <f>MID($E195,4,1)</f>
        <v/>
      </c>
      <c r="AA195">
        <f>MID($E195,5,1)</f>
        <v/>
      </c>
      <c r="AB195">
        <f>MID($E195,6,1)</f>
        <v/>
      </c>
      <c r="AC195">
        <f>MID($E195,7,1)</f>
        <v/>
      </c>
      <c r="AD195">
        <f>MID($E195,8,1)</f>
        <v/>
      </c>
      <c r="AE195">
        <f>MID($E195,9,1)</f>
        <v/>
      </c>
      <c r="AF195">
        <f>MID($E195,10,1)</f>
        <v/>
      </c>
    </row>
    <row r="196">
      <c r="A196" s="4" t="inlineStr">
        <is>
          <t>DN195</t>
        </is>
      </c>
      <c r="B196" s="4" t="n">
        <v>3</v>
      </c>
      <c r="C196" s="4" t="n">
        <v>5</v>
      </c>
      <c r="D196" s="5" t="inlineStr">
        <is>
          <t>CCTCACGAAG</t>
        </is>
      </c>
      <c r="E196" s="5" t="inlineStr">
        <is>
          <t>GACACTCGAG</t>
        </is>
      </c>
      <c r="F196" s="4">
        <f>LEN(SUBSTITUTE(SUBSTITUTE(D196,"A",""),"T",""))</f>
        <v/>
      </c>
      <c r="G196" s="4">
        <f>LEN(SUBSTITUTE(SUBSTITUTE(E196,"A",""),"T",""))</f>
        <v/>
      </c>
      <c r="H196" s="4" t="n">
        <v>-3.77</v>
      </c>
      <c r="I196" s="4" t="n">
        <v>-1.64</v>
      </c>
      <c r="J196" s="4" t="n">
        <v>-2.73</v>
      </c>
      <c r="K196" s="4" t="n">
        <v>-0.85</v>
      </c>
      <c r="M196">
        <f>MID($D196,1,1)</f>
        <v/>
      </c>
      <c r="N196">
        <f>MID($D196,2,1)</f>
        <v/>
      </c>
      <c r="O196">
        <f>MID($D196,3,1)</f>
        <v/>
      </c>
      <c r="P196">
        <f>MID($D196,4,1)</f>
        <v/>
      </c>
      <c r="Q196">
        <f>MID($D196,5,1)</f>
        <v/>
      </c>
      <c r="R196">
        <f>MID($D196,6,1)</f>
        <v/>
      </c>
      <c r="S196">
        <f>MID($D196,7,1)</f>
        <v/>
      </c>
      <c r="T196">
        <f>MID($D196,8,1)</f>
        <v/>
      </c>
      <c r="U196">
        <f>MID($D196,9,1)</f>
        <v/>
      </c>
      <c r="V196">
        <f>MID($D196,10,1)</f>
        <v/>
      </c>
      <c r="W196">
        <f>MID($E196,1,1)</f>
        <v/>
      </c>
      <c r="X196">
        <f>MID($E196,2,1)</f>
        <v/>
      </c>
      <c r="Y196">
        <f>MID($E196,3,1)</f>
        <v/>
      </c>
      <c r="Z196">
        <f>MID($E196,4,1)</f>
        <v/>
      </c>
      <c r="AA196">
        <f>MID($E196,5,1)</f>
        <v/>
      </c>
      <c r="AB196">
        <f>MID($E196,6,1)</f>
        <v/>
      </c>
      <c r="AC196">
        <f>MID($E196,7,1)</f>
        <v/>
      </c>
      <c r="AD196">
        <f>MID($E196,8,1)</f>
        <v/>
      </c>
      <c r="AE196">
        <f>MID($E196,9,1)</f>
        <v/>
      </c>
      <c r="AF196">
        <f>MID($E196,10,1)</f>
        <v/>
      </c>
    </row>
    <row r="197">
      <c r="A197" s="4" t="inlineStr">
        <is>
          <t>DN196</t>
        </is>
      </c>
      <c r="B197" s="4" t="n">
        <v>3</v>
      </c>
      <c r="C197" s="4" t="n">
        <v>5</v>
      </c>
      <c r="D197" s="5" t="inlineStr">
        <is>
          <t>AGTGAACGGC</t>
        </is>
      </c>
      <c r="E197" s="5" t="inlineStr">
        <is>
          <t>CGGCCGAATT</t>
        </is>
      </c>
      <c r="F197" s="4">
        <f>LEN(SUBSTITUTE(SUBSTITUTE(D197,"A",""),"T",""))</f>
        <v/>
      </c>
      <c r="G197" s="4">
        <f>LEN(SUBSTITUTE(SUBSTITUTE(E197,"A",""),"T",""))</f>
        <v/>
      </c>
      <c r="H197" s="4" t="n">
        <v>-4.28</v>
      </c>
      <c r="I197" s="4" t="n">
        <v>-3.09</v>
      </c>
      <c r="J197" s="4" t="n">
        <v>-3.25</v>
      </c>
      <c r="K197" s="4" t="n">
        <v>-2.6</v>
      </c>
      <c r="M197">
        <f>MID($D197,1,1)</f>
        <v/>
      </c>
      <c r="N197">
        <f>MID($D197,2,1)</f>
        <v/>
      </c>
      <c r="O197">
        <f>MID($D197,3,1)</f>
        <v/>
      </c>
      <c r="P197">
        <f>MID($D197,4,1)</f>
        <v/>
      </c>
      <c r="Q197">
        <f>MID($D197,5,1)</f>
        <v/>
      </c>
      <c r="R197">
        <f>MID($D197,6,1)</f>
        <v/>
      </c>
      <c r="S197">
        <f>MID($D197,7,1)</f>
        <v/>
      </c>
      <c r="T197">
        <f>MID($D197,8,1)</f>
        <v/>
      </c>
      <c r="U197">
        <f>MID($D197,9,1)</f>
        <v/>
      </c>
      <c r="V197">
        <f>MID($D197,10,1)</f>
        <v/>
      </c>
      <c r="W197">
        <f>MID($E197,1,1)</f>
        <v/>
      </c>
      <c r="X197">
        <f>MID($E197,2,1)</f>
        <v/>
      </c>
      <c r="Y197">
        <f>MID($E197,3,1)</f>
        <v/>
      </c>
      <c r="Z197">
        <f>MID($E197,4,1)</f>
        <v/>
      </c>
      <c r="AA197">
        <f>MID($E197,5,1)</f>
        <v/>
      </c>
      <c r="AB197">
        <f>MID($E197,6,1)</f>
        <v/>
      </c>
      <c r="AC197">
        <f>MID($E197,7,1)</f>
        <v/>
      </c>
      <c r="AD197">
        <f>MID($E197,8,1)</f>
        <v/>
      </c>
      <c r="AE197">
        <f>MID($E197,9,1)</f>
        <v/>
      </c>
      <c r="AF197">
        <f>MID($E197,10,1)</f>
        <v/>
      </c>
    </row>
    <row r="198">
      <c r="A198" s="4" t="inlineStr">
        <is>
          <t>DN197</t>
        </is>
      </c>
      <c r="B198" s="4" t="n">
        <v>3</v>
      </c>
      <c r="C198" s="4" t="n">
        <v>5</v>
      </c>
      <c r="D198" s="5" t="inlineStr">
        <is>
          <t>GTTGAACGTA</t>
        </is>
      </c>
      <c r="E198" s="5" t="inlineStr">
        <is>
          <t>CAAGACTCTA</t>
        </is>
      </c>
      <c r="F198" s="4">
        <f>LEN(SUBSTITUTE(SUBSTITUTE(D198,"A",""),"T",""))</f>
        <v/>
      </c>
      <c r="G198" s="4">
        <f>LEN(SUBSTITUTE(SUBSTITUTE(E198,"A",""),"T",""))</f>
        <v/>
      </c>
      <c r="H198" s="4" t="n">
        <v>-2.06</v>
      </c>
      <c r="I198" s="4" t="n">
        <v>-1.51</v>
      </c>
      <c r="J198" s="4" t="n">
        <v>-1.98</v>
      </c>
      <c r="K198" s="4" t="n">
        <v>-1.66</v>
      </c>
      <c r="M198">
        <f>MID($D198,1,1)</f>
        <v/>
      </c>
      <c r="N198">
        <f>MID($D198,2,1)</f>
        <v/>
      </c>
      <c r="O198">
        <f>MID($D198,3,1)</f>
        <v/>
      </c>
      <c r="P198">
        <f>MID($D198,4,1)</f>
        <v/>
      </c>
      <c r="Q198">
        <f>MID($D198,5,1)</f>
        <v/>
      </c>
      <c r="R198">
        <f>MID($D198,6,1)</f>
        <v/>
      </c>
      <c r="S198">
        <f>MID($D198,7,1)</f>
        <v/>
      </c>
      <c r="T198">
        <f>MID($D198,8,1)</f>
        <v/>
      </c>
      <c r="U198">
        <f>MID($D198,9,1)</f>
        <v/>
      </c>
      <c r="V198">
        <f>MID($D198,10,1)</f>
        <v/>
      </c>
      <c r="W198">
        <f>MID($E198,1,1)</f>
        <v/>
      </c>
      <c r="X198">
        <f>MID($E198,2,1)</f>
        <v/>
      </c>
      <c r="Y198">
        <f>MID($E198,3,1)</f>
        <v/>
      </c>
      <c r="Z198">
        <f>MID($E198,4,1)</f>
        <v/>
      </c>
      <c r="AA198">
        <f>MID($E198,5,1)</f>
        <v/>
      </c>
      <c r="AB198">
        <f>MID($E198,6,1)</f>
        <v/>
      </c>
      <c r="AC198">
        <f>MID($E198,7,1)</f>
        <v/>
      </c>
      <c r="AD198">
        <f>MID($E198,8,1)</f>
        <v/>
      </c>
      <c r="AE198">
        <f>MID($E198,9,1)</f>
        <v/>
      </c>
      <c r="AF198">
        <f>MID($E198,10,1)</f>
        <v/>
      </c>
    </row>
    <row r="199">
      <c r="A199" s="4" t="inlineStr">
        <is>
          <t>DN198</t>
        </is>
      </c>
      <c r="B199" s="4" t="n">
        <v>3</v>
      </c>
      <c r="C199" s="4" t="n">
        <v>5</v>
      </c>
      <c r="D199" s="5" t="inlineStr">
        <is>
          <t>GCGTACGGTT</t>
        </is>
      </c>
      <c r="E199" s="5" t="inlineStr">
        <is>
          <t>GCGCAGTTAG</t>
        </is>
      </c>
      <c r="F199" s="4">
        <f>LEN(SUBSTITUTE(SUBSTITUTE(D199,"A",""),"T",""))</f>
        <v/>
      </c>
      <c r="G199" s="4">
        <f>LEN(SUBSTITUTE(SUBSTITUTE(E199,"A",""),"T",""))</f>
        <v/>
      </c>
      <c r="H199" s="4" t="n">
        <v>-3.32</v>
      </c>
      <c r="I199" s="4" t="n">
        <v>-1.7</v>
      </c>
      <c r="J199" s="4" t="n">
        <v>-2.84</v>
      </c>
      <c r="K199" s="4" t="n">
        <v>-1.06</v>
      </c>
      <c r="M199">
        <f>MID($D199,1,1)</f>
        <v/>
      </c>
      <c r="N199">
        <f>MID($D199,2,1)</f>
        <v/>
      </c>
      <c r="O199">
        <f>MID($D199,3,1)</f>
        <v/>
      </c>
      <c r="P199">
        <f>MID($D199,4,1)</f>
        <v/>
      </c>
      <c r="Q199">
        <f>MID($D199,5,1)</f>
        <v/>
      </c>
      <c r="R199">
        <f>MID($D199,6,1)</f>
        <v/>
      </c>
      <c r="S199">
        <f>MID($D199,7,1)</f>
        <v/>
      </c>
      <c r="T199">
        <f>MID($D199,8,1)</f>
        <v/>
      </c>
      <c r="U199">
        <f>MID($D199,9,1)</f>
        <v/>
      </c>
      <c r="V199">
        <f>MID($D199,10,1)</f>
        <v/>
      </c>
      <c r="W199">
        <f>MID($E199,1,1)</f>
        <v/>
      </c>
      <c r="X199">
        <f>MID($E199,2,1)</f>
        <v/>
      </c>
      <c r="Y199">
        <f>MID($E199,3,1)</f>
        <v/>
      </c>
      <c r="Z199">
        <f>MID($E199,4,1)</f>
        <v/>
      </c>
      <c r="AA199">
        <f>MID($E199,5,1)</f>
        <v/>
      </c>
      <c r="AB199">
        <f>MID($E199,6,1)</f>
        <v/>
      </c>
      <c r="AC199">
        <f>MID($E199,7,1)</f>
        <v/>
      </c>
      <c r="AD199">
        <f>MID($E199,8,1)</f>
        <v/>
      </c>
      <c r="AE199">
        <f>MID($E199,9,1)</f>
        <v/>
      </c>
      <c r="AF199">
        <f>MID($E199,10,1)</f>
        <v/>
      </c>
    </row>
    <row r="200">
      <c r="A200" s="4" t="inlineStr">
        <is>
          <t>DN199</t>
        </is>
      </c>
      <c r="B200" s="4" t="n">
        <v>3</v>
      </c>
      <c r="C200" s="4" t="n">
        <v>5</v>
      </c>
      <c r="D200" s="5" t="inlineStr">
        <is>
          <t>GTAAGATGAG</t>
        </is>
      </c>
      <c r="E200" s="5" t="inlineStr">
        <is>
          <t>TCACTGCTAG</t>
        </is>
      </c>
      <c r="F200" s="4">
        <f>LEN(SUBSTITUTE(SUBSTITUTE(D200,"A",""),"T",""))</f>
        <v/>
      </c>
      <c r="G200" s="4">
        <f>LEN(SUBSTITUTE(SUBSTITUTE(E200,"A",""),"T",""))</f>
        <v/>
      </c>
      <c r="H200" s="4" t="n">
        <v>-1.81</v>
      </c>
      <c r="I200" s="4" t="n">
        <v>-1.06</v>
      </c>
      <c r="J200" s="4" t="n">
        <v>-2.78</v>
      </c>
      <c r="K200" s="4" t="n">
        <v>-0.93</v>
      </c>
      <c r="M200">
        <f>MID($D200,1,1)</f>
        <v/>
      </c>
      <c r="N200">
        <f>MID($D200,2,1)</f>
        <v/>
      </c>
      <c r="O200">
        <f>MID($D200,3,1)</f>
        <v/>
      </c>
      <c r="P200">
        <f>MID($D200,4,1)</f>
        <v/>
      </c>
      <c r="Q200">
        <f>MID($D200,5,1)</f>
        <v/>
      </c>
      <c r="R200">
        <f>MID($D200,6,1)</f>
        <v/>
      </c>
      <c r="S200">
        <f>MID($D200,7,1)</f>
        <v/>
      </c>
      <c r="T200">
        <f>MID($D200,8,1)</f>
        <v/>
      </c>
      <c r="U200">
        <f>MID($D200,9,1)</f>
        <v/>
      </c>
      <c r="V200">
        <f>MID($D200,10,1)</f>
        <v/>
      </c>
      <c r="W200">
        <f>MID($E200,1,1)</f>
        <v/>
      </c>
      <c r="X200">
        <f>MID($E200,2,1)</f>
        <v/>
      </c>
      <c r="Y200">
        <f>MID($E200,3,1)</f>
        <v/>
      </c>
      <c r="Z200">
        <f>MID($E200,4,1)</f>
        <v/>
      </c>
      <c r="AA200">
        <f>MID($E200,5,1)</f>
        <v/>
      </c>
      <c r="AB200">
        <f>MID($E200,6,1)</f>
        <v/>
      </c>
      <c r="AC200">
        <f>MID($E200,7,1)</f>
        <v/>
      </c>
      <c r="AD200">
        <f>MID($E200,8,1)</f>
        <v/>
      </c>
      <c r="AE200">
        <f>MID($E200,9,1)</f>
        <v/>
      </c>
      <c r="AF200">
        <f>MID($E200,10,1)</f>
        <v/>
      </c>
    </row>
    <row r="201">
      <c r="A201" s="4" t="inlineStr">
        <is>
          <t>DN200</t>
        </is>
      </c>
      <c r="B201" s="4" t="n">
        <v>3</v>
      </c>
      <c r="C201" s="4" t="n">
        <v>5</v>
      </c>
      <c r="D201" s="5" t="inlineStr">
        <is>
          <t>AGACTCAATC</t>
        </is>
      </c>
      <c r="E201" s="5" t="inlineStr">
        <is>
          <t>GATGGAACAA</t>
        </is>
      </c>
      <c r="F201" s="4">
        <f>LEN(SUBSTITUTE(SUBSTITUTE(D201,"A",""),"T",""))</f>
        <v/>
      </c>
      <c r="G201" s="4">
        <f>LEN(SUBSTITUTE(SUBSTITUTE(E201,"A",""),"T",""))</f>
        <v/>
      </c>
      <c r="H201" s="4" t="n">
        <v>-1.66</v>
      </c>
      <c r="I201" s="4" t="n">
        <v>-1.66</v>
      </c>
      <c r="J201" s="4" t="n">
        <v>-2.55</v>
      </c>
      <c r="K201" s="4" t="n">
        <v>-1.67</v>
      </c>
      <c r="M201">
        <f>MID($D201,1,1)</f>
        <v/>
      </c>
      <c r="N201">
        <f>MID($D201,2,1)</f>
        <v/>
      </c>
      <c r="O201">
        <f>MID($D201,3,1)</f>
        <v/>
      </c>
      <c r="P201">
        <f>MID($D201,4,1)</f>
        <v/>
      </c>
      <c r="Q201">
        <f>MID($D201,5,1)</f>
        <v/>
      </c>
      <c r="R201">
        <f>MID($D201,6,1)</f>
        <v/>
      </c>
      <c r="S201">
        <f>MID($D201,7,1)</f>
        <v/>
      </c>
      <c r="T201">
        <f>MID($D201,8,1)</f>
        <v/>
      </c>
      <c r="U201">
        <f>MID($D201,9,1)</f>
        <v/>
      </c>
      <c r="V201">
        <f>MID($D201,10,1)</f>
        <v/>
      </c>
      <c r="W201">
        <f>MID($E201,1,1)</f>
        <v/>
      </c>
      <c r="X201">
        <f>MID($E201,2,1)</f>
        <v/>
      </c>
      <c r="Y201">
        <f>MID($E201,3,1)</f>
        <v/>
      </c>
      <c r="Z201">
        <f>MID($E201,4,1)</f>
        <v/>
      </c>
      <c r="AA201">
        <f>MID($E201,5,1)</f>
        <v/>
      </c>
      <c r="AB201">
        <f>MID($E201,6,1)</f>
        <v/>
      </c>
      <c r="AC201">
        <f>MID($E201,7,1)</f>
        <v/>
      </c>
      <c r="AD201">
        <f>MID($E201,8,1)</f>
        <v/>
      </c>
      <c r="AE201">
        <f>MID($E201,9,1)</f>
        <v/>
      </c>
      <c r="AF201">
        <f>MID($E201,10,1)</f>
        <v/>
      </c>
    </row>
    <row r="202">
      <c r="A202" s="4" t="inlineStr">
        <is>
          <t>DN201</t>
        </is>
      </c>
      <c r="B202" s="4" t="n">
        <v>3</v>
      </c>
      <c r="C202" s="4" t="n">
        <v>5</v>
      </c>
      <c r="D202" s="5" t="inlineStr">
        <is>
          <t>GAACTAGCCA</t>
        </is>
      </c>
      <c r="E202" s="5" t="inlineStr">
        <is>
          <t>CACAACATTC</t>
        </is>
      </c>
      <c r="F202" s="4">
        <f>LEN(SUBSTITUTE(SUBSTITUTE(D202,"A",""),"T",""))</f>
        <v/>
      </c>
      <c r="G202" s="4">
        <f>LEN(SUBSTITUTE(SUBSTITUTE(E202,"A",""),"T",""))</f>
        <v/>
      </c>
      <c r="H202" s="4" t="n">
        <v>-3.48</v>
      </c>
      <c r="I202" s="4" t="n">
        <v>-1.88</v>
      </c>
      <c r="J202" s="4" t="n">
        <v>-1.16</v>
      </c>
      <c r="K202" s="4" t="n">
        <v>-0.99</v>
      </c>
      <c r="M202">
        <f>MID($D202,1,1)</f>
        <v/>
      </c>
      <c r="N202">
        <f>MID($D202,2,1)</f>
        <v/>
      </c>
      <c r="O202">
        <f>MID($D202,3,1)</f>
        <v/>
      </c>
      <c r="P202">
        <f>MID($D202,4,1)</f>
        <v/>
      </c>
      <c r="Q202">
        <f>MID($D202,5,1)</f>
        <v/>
      </c>
      <c r="R202">
        <f>MID($D202,6,1)</f>
        <v/>
      </c>
      <c r="S202">
        <f>MID($D202,7,1)</f>
        <v/>
      </c>
      <c r="T202">
        <f>MID($D202,8,1)</f>
        <v/>
      </c>
      <c r="U202">
        <f>MID($D202,9,1)</f>
        <v/>
      </c>
      <c r="V202">
        <f>MID($D202,10,1)</f>
        <v/>
      </c>
      <c r="W202">
        <f>MID($E202,1,1)</f>
        <v/>
      </c>
      <c r="X202">
        <f>MID($E202,2,1)</f>
        <v/>
      </c>
      <c r="Y202">
        <f>MID($E202,3,1)</f>
        <v/>
      </c>
      <c r="Z202">
        <f>MID($E202,4,1)</f>
        <v/>
      </c>
      <c r="AA202">
        <f>MID($E202,5,1)</f>
        <v/>
      </c>
      <c r="AB202">
        <f>MID($E202,6,1)</f>
        <v/>
      </c>
      <c r="AC202">
        <f>MID($E202,7,1)</f>
        <v/>
      </c>
      <c r="AD202">
        <f>MID($E202,8,1)</f>
        <v/>
      </c>
      <c r="AE202">
        <f>MID($E202,9,1)</f>
        <v/>
      </c>
      <c r="AF202">
        <f>MID($E202,10,1)</f>
        <v/>
      </c>
    </row>
    <row r="203">
      <c r="A203" s="4" t="inlineStr">
        <is>
          <t>DN202</t>
        </is>
      </c>
      <c r="B203" s="4" t="n">
        <v>3</v>
      </c>
      <c r="C203" s="4" t="n">
        <v>5</v>
      </c>
      <c r="D203" s="5" t="inlineStr">
        <is>
          <t>TGGAGATAAG</t>
        </is>
      </c>
      <c r="E203" s="5" t="inlineStr">
        <is>
          <t>CGGCTACATG</t>
        </is>
      </c>
      <c r="F203" s="4">
        <f>LEN(SUBSTITUTE(SUBSTITUTE(D203,"A",""),"T",""))</f>
        <v/>
      </c>
      <c r="G203" s="4">
        <f>LEN(SUBSTITUTE(SUBSTITUTE(E203,"A",""),"T",""))</f>
        <v/>
      </c>
      <c r="H203" s="4" t="n">
        <v>-2.46</v>
      </c>
      <c r="I203" s="4" t="n">
        <v>-2.22</v>
      </c>
      <c r="J203" s="4" t="n">
        <v>-3.32</v>
      </c>
      <c r="K203" s="4" t="n">
        <v>-3.1</v>
      </c>
      <c r="M203">
        <f>MID($D203,1,1)</f>
        <v/>
      </c>
      <c r="N203">
        <f>MID($D203,2,1)</f>
        <v/>
      </c>
      <c r="O203">
        <f>MID($D203,3,1)</f>
        <v/>
      </c>
      <c r="P203">
        <f>MID($D203,4,1)</f>
        <v/>
      </c>
      <c r="Q203">
        <f>MID($D203,5,1)</f>
        <v/>
      </c>
      <c r="R203">
        <f>MID($D203,6,1)</f>
        <v/>
      </c>
      <c r="S203">
        <f>MID($D203,7,1)</f>
        <v/>
      </c>
      <c r="T203">
        <f>MID($D203,8,1)</f>
        <v/>
      </c>
      <c r="U203">
        <f>MID($D203,9,1)</f>
        <v/>
      </c>
      <c r="V203">
        <f>MID($D203,10,1)</f>
        <v/>
      </c>
      <c r="W203">
        <f>MID($E203,1,1)</f>
        <v/>
      </c>
      <c r="X203">
        <f>MID($E203,2,1)</f>
        <v/>
      </c>
      <c r="Y203">
        <f>MID($E203,3,1)</f>
        <v/>
      </c>
      <c r="Z203">
        <f>MID($E203,4,1)</f>
        <v/>
      </c>
      <c r="AA203">
        <f>MID($E203,5,1)</f>
        <v/>
      </c>
      <c r="AB203">
        <f>MID($E203,6,1)</f>
        <v/>
      </c>
      <c r="AC203">
        <f>MID($E203,7,1)</f>
        <v/>
      </c>
      <c r="AD203">
        <f>MID($E203,8,1)</f>
        <v/>
      </c>
      <c r="AE203">
        <f>MID($E203,9,1)</f>
        <v/>
      </c>
      <c r="AF203">
        <f>MID($E203,10,1)</f>
        <v/>
      </c>
    </row>
    <row r="204">
      <c r="A204" s="4" t="inlineStr">
        <is>
          <t>DN203</t>
        </is>
      </c>
      <c r="B204" s="4" t="n">
        <v>3</v>
      </c>
      <c r="C204" s="4" t="n">
        <v>5</v>
      </c>
      <c r="D204" s="5" t="inlineStr">
        <is>
          <t>CGTGTTCAGG</t>
        </is>
      </c>
      <c r="E204" s="5" t="inlineStr">
        <is>
          <t>GACCATGCGA</t>
        </is>
      </c>
      <c r="F204" s="4">
        <f>LEN(SUBSTITUTE(SUBSTITUTE(D204,"A",""),"T",""))</f>
        <v/>
      </c>
      <c r="G204" s="4">
        <f>LEN(SUBSTITUTE(SUBSTITUTE(E204,"A",""),"T",""))</f>
        <v/>
      </c>
      <c r="H204" s="4" t="n">
        <v>-3.41</v>
      </c>
      <c r="I204" s="4" t="n">
        <v>-1.61</v>
      </c>
      <c r="J204" s="4" t="n">
        <v>-2.77</v>
      </c>
      <c r="K204" s="4" t="n">
        <v>-0.82</v>
      </c>
      <c r="M204">
        <f>MID($D204,1,1)</f>
        <v/>
      </c>
      <c r="N204">
        <f>MID($D204,2,1)</f>
        <v/>
      </c>
      <c r="O204">
        <f>MID($D204,3,1)</f>
        <v/>
      </c>
      <c r="P204">
        <f>MID($D204,4,1)</f>
        <v/>
      </c>
      <c r="Q204">
        <f>MID($D204,5,1)</f>
        <v/>
      </c>
      <c r="R204">
        <f>MID($D204,6,1)</f>
        <v/>
      </c>
      <c r="S204">
        <f>MID($D204,7,1)</f>
        <v/>
      </c>
      <c r="T204">
        <f>MID($D204,8,1)</f>
        <v/>
      </c>
      <c r="U204">
        <f>MID($D204,9,1)</f>
        <v/>
      </c>
      <c r="V204">
        <f>MID($D204,10,1)</f>
        <v/>
      </c>
      <c r="W204">
        <f>MID($E204,1,1)</f>
        <v/>
      </c>
      <c r="X204">
        <f>MID($E204,2,1)</f>
        <v/>
      </c>
      <c r="Y204">
        <f>MID($E204,3,1)</f>
        <v/>
      </c>
      <c r="Z204">
        <f>MID($E204,4,1)</f>
        <v/>
      </c>
      <c r="AA204">
        <f>MID($E204,5,1)</f>
        <v/>
      </c>
      <c r="AB204">
        <f>MID($E204,6,1)</f>
        <v/>
      </c>
      <c r="AC204">
        <f>MID($E204,7,1)</f>
        <v/>
      </c>
      <c r="AD204">
        <f>MID($E204,8,1)</f>
        <v/>
      </c>
      <c r="AE204">
        <f>MID($E204,9,1)</f>
        <v/>
      </c>
      <c r="AF204">
        <f>MID($E204,10,1)</f>
        <v/>
      </c>
    </row>
    <row r="205">
      <c r="A205" s="4" t="inlineStr">
        <is>
          <t>DN204</t>
        </is>
      </c>
      <c r="B205" s="4" t="n">
        <v>3</v>
      </c>
      <c r="C205" s="4" t="n">
        <v>5</v>
      </c>
      <c r="D205" s="5" t="inlineStr">
        <is>
          <t>CGTTCGCCAA</t>
        </is>
      </c>
      <c r="E205" s="5" t="inlineStr">
        <is>
          <t>CGAGTTGTAA</t>
        </is>
      </c>
      <c r="F205" s="4">
        <f>LEN(SUBSTITUTE(SUBSTITUTE(D205,"A",""),"T",""))</f>
        <v/>
      </c>
      <c r="G205" s="4">
        <f>LEN(SUBSTITUTE(SUBSTITUTE(E205,"A",""),"T",""))</f>
        <v/>
      </c>
      <c r="H205" s="4" t="n">
        <v>-2.56</v>
      </c>
      <c r="I205" s="4" t="n">
        <v>-1.55</v>
      </c>
      <c r="J205" s="4" t="n">
        <v>-1.87</v>
      </c>
      <c r="K205" s="4" t="n">
        <v>-1.21</v>
      </c>
      <c r="M205">
        <f>MID($D205,1,1)</f>
        <v/>
      </c>
      <c r="N205">
        <f>MID($D205,2,1)</f>
        <v/>
      </c>
      <c r="O205">
        <f>MID($D205,3,1)</f>
        <v/>
      </c>
      <c r="P205">
        <f>MID($D205,4,1)</f>
        <v/>
      </c>
      <c r="Q205">
        <f>MID($D205,5,1)</f>
        <v/>
      </c>
      <c r="R205">
        <f>MID($D205,6,1)</f>
        <v/>
      </c>
      <c r="S205">
        <f>MID($D205,7,1)</f>
        <v/>
      </c>
      <c r="T205">
        <f>MID($D205,8,1)</f>
        <v/>
      </c>
      <c r="U205">
        <f>MID($D205,9,1)</f>
        <v/>
      </c>
      <c r="V205">
        <f>MID($D205,10,1)</f>
        <v/>
      </c>
      <c r="W205">
        <f>MID($E205,1,1)</f>
        <v/>
      </c>
      <c r="X205">
        <f>MID($E205,2,1)</f>
        <v/>
      </c>
      <c r="Y205">
        <f>MID($E205,3,1)</f>
        <v/>
      </c>
      <c r="Z205">
        <f>MID($E205,4,1)</f>
        <v/>
      </c>
      <c r="AA205">
        <f>MID($E205,5,1)</f>
        <v/>
      </c>
      <c r="AB205">
        <f>MID($E205,6,1)</f>
        <v/>
      </c>
      <c r="AC205">
        <f>MID($E205,7,1)</f>
        <v/>
      </c>
      <c r="AD205">
        <f>MID($E205,8,1)</f>
        <v/>
      </c>
      <c r="AE205">
        <f>MID($E205,9,1)</f>
        <v/>
      </c>
      <c r="AF205">
        <f>MID($E205,10,1)</f>
        <v/>
      </c>
    </row>
    <row r="206">
      <c r="A206" s="4" t="inlineStr">
        <is>
          <t>DN205</t>
        </is>
      </c>
      <c r="B206" s="4" t="n">
        <v>3</v>
      </c>
      <c r="C206" s="4" t="n">
        <v>5</v>
      </c>
      <c r="D206" s="5" t="inlineStr">
        <is>
          <t>GAGTGGTACG</t>
        </is>
      </c>
      <c r="E206" s="5" t="inlineStr">
        <is>
          <t>ATACCAGGTC</t>
        </is>
      </c>
      <c r="F206" s="4">
        <f>LEN(SUBSTITUTE(SUBSTITUTE(D206,"A",""),"T",""))</f>
        <v/>
      </c>
      <c r="G206" s="4">
        <f>LEN(SUBSTITUTE(SUBSTITUTE(E206,"A",""),"T",""))</f>
        <v/>
      </c>
      <c r="H206" s="4" t="n">
        <v>-3.11</v>
      </c>
      <c r="I206" s="4" t="n">
        <v>-1.11</v>
      </c>
      <c r="J206" s="4" t="n">
        <v>-3.07</v>
      </c>
      <c r="K206" s="4" t="n">
        <v>-1.56</v>
      </c>
      <c r="M206">
        <f>MID($D206,1,1)</f>
        <v/>
      </c>
      <c r="N206">
        <f>MID($D206,2,1)</f>
        <v/>
      </c>
      <c r="O206">
        <f>MID($D206,3,1)</f>
        <v/>
      </c>
      <c r="P206">
        <f>MID($D206,4,1)</f>
        <v/>
      </c>
      <c r="Q206">
        <f>MID($D206,5,1)</f>
        <v/>
      </c>
      <c r="R206">
        <f>MID($D206,6,1)</f>
        <v/>
      </c>
      <c r="S206">
        <f>MID($D206,7,1)</f>
        <v/>
      </c>
      <c r="T206">
        <f>MID($D206,8,1)</f>
        <v/>
      </c>
      <c r="U206">
        <f>MID($D206,9,1)</f>
        <v/>
      </c>
      <c r="V206">
        <f>MID($D206,10,1)</f>
        <v/>
      </c>
      <c r="W206">
        <f>MID($E206,1,1)</f>
        <v/>
      </c>
      <c r="X206">
        <f>MID($E206,2,1)</f>
        <v/>
      </c>
      <c r="Y206">
        <f>MID($E206,3,1)</f>
        <v/>
      </c>
      <c r="Z206">
        <f>MID($E206,4,1)</f>
        <v/>
      </c>
      <c r="AA206">
        <f>MID($E206,5,1)</f>
        <v/>
      </c>
      <c r="AB206">
        <f>MID($E206,6,1)</f>
        <v/>
      </c>
      <c r="AC206">
        <f>MID($E206,7,1)</f>
        <v/>
      </c>
      <c r="AD206">
        <f>MID($E206,8,1)</f>
        <v/>
      </c>
      <c r="AE206">
        <f>MID($E206,9,1)</f>
        <v/>
      </c>
      <c r="AF206">
        <f>MID($E206,10,1)</f>
        <v/>
      </c>
    </row>
    <row r="207">
      <c r="A207" s="4" t="inlineStr">
        <is>
          <t>DN206</t>
        </is>
      </c>
      <c r="B207" s="4" t="n">
        <v>3</v>
      </c>
      <c r="C207" s="4" t="n">
        <v>5</v>
      </c>
      <c r="D207" s="5" t="inlineStr">
        <is>
          <t>ATCTAACTCG</t>
        </is>
      </c>
      <c r="E207" s="5" t="inlineStr">
        <is>
          <t>CAGACGACTC</t>
        </is>
      </c>
      <c r="F207" s="4">
        <f>LEN(SUBSTITUTE(SUBSTITUTE(D207,"A",""),"T",""))</f>
        <v/>
      </c>
      <c r="G207" s="4">
        <f>LEN(SUBSTITUTE(SUBSTITUTE(E207,"A",""),"T",""))</f>
        <v/>
      </c>
      <c r="H207" s="4" t="n">
        <v>-1.92</v>
      </c>
      <c r="I207" s="4" t="n">
        <v>-0.98</v>
      </c>
      <c r="J207" s="4" t="n">
        <v>-3.04</v>
      </c>
      <c r="K207" s="4" t="n">
        <v>-2.96</v>
      </c>
      <c r="M207">
        <f>MID($D207,1,1)</f>
        <v/>
      </c>
      <c r="N207">
        <f>MID($D207,2,1)</f>
        <v/>
      </c>
      <c r="O207">
        <f>MID($D207,3,1)</f>
        <v/>
      </c>
      <c r="P207">
        <f>MID($D207,4,1)</f>
        <v/>
      </c>
      <c r="Q207">
        <f>MID($D207,5,1)</f>
        <v/>
      </c>
      <c r="R207">
        <f>MID($D207,6,1)</f>
        <v/>
      </c>
      <c r="S207">
        <f>MID($D207,7,1)</f>
        <v/>
      </c>
      <c r="T207">
        <f>MID($D207,8,1)</f>
        <v/>
      </c>
      <c r="U207">
        <f>MID($D207,9,1)</f>
        <v/>
      </c>
      <c r="V207">
        <f>MID($D207,10,1)</f>
        <v/>
      </c>
      <c r="W207">
        <f>MID($E207,1,1)</f>
        <v/>
      </c>
      <c r="X207">
        <f>MID($E207,2,1)</f>
        <v/>
      </c>
      <c r="Y207">
        <f>MID($E207,3,1)</f>
        <v/>
      </c>
      <c r="Z207">
        <f>MID($E207,4,1)</f>
        <v/>
      </c>
      <c r="AA207">
        <f>MID($E207,5,1)</f>
        <v/>
      </c>
      <c r="AB207">
        <f>MID($E207,6,1)</f>
        <v/>
      </c>
      <c r="AC207">
        <f>MID($E207,7,1)</f>
        <v/>
      </c>
      <c r="AD207">
        <f>MID($E207,8,1)</f>
        <v/>
      </c>
      <c r="AE207">
        <f>MID($E207,9,1)</f>
        <v/>
      </c>
      <c r="AF207">
        <f>MID($E207,10,1)</f>
        <v/>
      </c>
    </row>
    <row r="208">
      <c r="A208" s="4" t="inlineStr">
        <is>
          <t>DN207</t>
        </is>
      </c>
      <c r="B208" s="4" t="n">
        <v>3</v>
      </c>
      <c r="C208" s="4" t="n">
        <v>5</v>
      </c>
      <c r="D208" s="5" t="inlineStr">
        <is>
          <t>TTCGCACATA</t>
        </is>
      </c>
      <c r="E208" s="5" t="inlineStr">
        <is>
          <t>CAACAACCGG</t>
        </is>
      </c>
      <c r="F208" s="4">
        <f>LEN(SUBSTITUTE(SUBSTITUTE(D208,"A",""),"T",""))</f>
        <v/>
      </c>
      <c r="G208" s="4">
        <f>LEN(SUBSTITUTE(SUBSTITUTE(E208,"A",""),"T",""))</f>
        <v/>
      </c>
      <c r="H208" s="4" t="n">
        <v>-2.65</v>
      </c>
      <c r="I208" s="4" t="n">
        <v>-0.33</v>
      </c>
      <c r="J208" s="4" t="n">
        <v>-3.28</v>
      </c>
      <c r="K208" s="4" t="n">
        <v>-1.23</v>
      </c>
      <c r="M208">
        <f>MID($D208,1,1)</f>
        <v/>
      </c>
      <c r="N208">
        <f>MID($D208,2,1)</f>
        <v/>
      </c>
      <c r="O208">
        <f>MID($D208,3,1)</f>
        <v/>
      </c>
      <c r="P208">
        <f>MID($D208,4,1)</f>
        <v/>
      </c>
      <c r="Q208">
        <f>MID($D208,5,1)</f>
        <v/>
      </c>
      <c r="R208">
        <f>MID($D208,6,1)</f>
        <v/>
      </c>
      <c r="S208">
        <f>MID($D208,7,1)</f>
        <v/>
      </c>
      <c r="T208">
        <f>MID($D208,8,1)</f>
        <v/>
      </c>
      <c r="U208">
        <f>MID($D208,9,1)</f>
        <v/>
      </c>
      <c r="V208">
        <f>MID($D208,10,1)</f>
        <v/>
      </c>
      <c r="W208">
        <f>MID($E208,1,1)</f>
        <v/>
      </c>
      <c r="X208">
        <f>MID($E208,2,1)</f>
        <v/>
      </c>
      <c r="Y208">
        <f>MID($E208,3,1)</f>
        <v/>
      </c>
      <c r="Z208">
        <f>MID($E208,4,1)</f>
        <v/>
      </c>
      <c r="AA208">
        <f>MID($E208,5,1)</f>
        <v/>
      </c>
      <c r="AB208">
        <f>MID($E208,6,1)</f>
        <v/>
      </c>
      <c r="AC208">
        <f>MID($E208,7,1)</f>
        <v/>
      </c>
      <c r="AD208">
        <f>MID($E208,8,1)</f>
        <v/>
      </c>
      <c r="AE208">
        <f>MID($E208,9,1)</f>
        <v/>
      </c>
      <c r="AF208">
        <f>MID($E208,10,1)</f>
        <v/>
      </c>
    </row>
    <row r="209">
      <c r="A209" s="4" t="inlineStr">
        <is>
          <t>DN208</t>
        </is>
      </c>
      <c r="B209" s="4" t="n">
        <v>3</v>
      </c>
      <c r="C209" s="4" t="n">
        <v>5</v>
      </c>
      <c r="D209" s="5" t="inlineStr">
        <is>
          <t>CACAAGGACA</t>
        </is>
      </c>
      <c r="E209" s="5" t="inlineStr">
        <is>
          <t>AATGCACCTT</t>
        </is>
      </c>
      <c r="F209" s="4">
        <f>LEN(SUBSTITUTE(SUBSTITUTE(D209,"A",""),"T",""))</f>
        <v/>
      </c>
      <c r="G209" s="4">
        <f>LEN(SUBSTITUTE(SUBSTITUTE(E209,"A",""),"T",""))</f>
        <v/>
      </c>
      <c r="H209" s="4" t="n">
        <v>-3.57</v>
      </c>
      <c r="I209" s="4" t="n">
        <v>-1.82</v>
      </c>
      <c r="J209" s="4" t="n">
        <v>-2.17</v>
      </c>
      <c r="K209" s="4" t="n">
        <v>-0.6</v>
      </c>
      <c r="M209">
        <f>MID($D209,1,1)</f>
        <v/>
      </c>
      <c r="N209">
        <f>MID($D209,2,1)</f>
        <v/>
      </c>
      <c r="O209">
        <f>MID($D209,3,1)</f>
        <v/>
      </c>
      <c r="P209">
        <f>MID($D209,4,1)</f>
        <v/>
      </c>
      <c r="Q209">
        <f>MID($D209,5,1)</f>
        <v/>
      </c>
      <c r="R209">
        <f>MID($D209,6,1)</f>
        <v/>
      </c>
      <c r="S209">
        <f>MID($D209,7,1)</f>
        <v/>
      </c>
      <c r="T209">
        <f>MID($D209,8,1)</f>
        <v/>
      </c>
      <c r="U209">
        <f>MID($D209,9,1)</f>
        <v/>
      </c>
      <c r="V209">
        <f>MID($D209,10,1)</f>
        <v/>
      </c>
      <c r="W209">
        <f>MID($E209,1,1)</f>
        <v/>
      </c>
      <c r="X209">
        <f>MID($E209,2,1)</f>
        <v/>
      </c>
      <c r="Y209">
        <f>MID($E209,3,1)</f>
        <v/>
      </c>
      <c r="Z209">
        <f>MID($E209,4,1)</f>
        <v/>
      </c>
      <c r="AA209">
        <f>MID($E209,5,1)</f>
        <v/>
      </c>
      <c r="AB209">
        <f>MID($E209,6,1)</f>
        <v/>
      </c>
      <c r="AC209">
        <f>MID($E209,7,1)</f>
        <v/>
      </c>
      <c r="AD209">
        <f>MID($E209,8,1)</f>
        <v/>
      </c>
      <c r="AE209">
        <f>MID($E209,9,1)</f>
        <v/>
      </c>
      <c r="AF209">
        <f>MID($E209,10,1)</f>
        <v/>
      </c>
    </row>
    <row r="210">
      <c r="A210" s="4" t="inlineStr">
        <is>
          <t>DN209</t>
        </is>
      </c>
      <c r="B210" s="4" t="n">
        <v>3</v>
      </c>
      <c r="C210" s="4" t="n">
        <v>5</v>
      </c>
      <c r="D210" s="5" t="inlineStr">
        <is>
          <t>GTGTTAACTG</t>
        </is>
      </c>
      <c r="E210" s="5" t="inlineStr">
        <is>
          <t>ATGGTCCACG</t>
        </is>
      </c>
      <c r="F210" s="4">
        <f>LEN(SUBSTITUTE(SUBSTITUTE(D210,"A",""),"T",""))</f>
        <v/>
      </c>
      <c r="G210" s="4">
        <f>LEN(SUBSTITUTE(SUBSTITUTE(E210,"A",""),"T",""))</f>
        <v/>
      </c>
      <c r="H210" s="4" t="n">
        <v>-1.69</v>
      </c>
      <c r="I210" s="4" t="n">
        <v>-1.11</v>
      </c>
      <c r="J210" s="4" t="n">
        <v>-2.93</v>
      </c>
      <c r="K210" s="4" t="n">
        <v>-1.15</v>
      </c>
      <c r="M210">
        <f>MID($D210,1,1)</f>
        <v/>
      </c>
      <c r="N210">
        <f>MID($D210,2,1)</f>
        <v/>
      </c>
      <c r="O210">
        <f>MID($D210,3,1)</f>
        <v/>
      </c>
      <c r="P210">
        <f>MID($D210,4,1)</f>
        <v/>
      </c>
      <c r="Q210">
        <f>MID($D210,5,1)</f>
        <v/>
      </c>
      <c r="R210">
        <f>MID($D210,6,1)</f>
        <v/>
      </c>
      <c r="S210">
        <f>MID($D210,7,1)</f>
        <v/>
      </c>
      <c r="T210">
        <f>MID($D210,8,1)</f>
        <v/>
      </c>
      <c r="U210">
        <f>MID($D210,9,1)</f>
        <v/>
      </c>
      <c r="V210">
        <f>MID($D210,10,1)</f>
        <v/>
      </c>
      <c r="W210">
        <f>MID($E210,1,1)</f>
        <v/>
      </c>
      <c r="X210">
        <f>MID($E210,2,1)</f>
        <v/>
      </c>
      <c r="Y210">
        <f>MID($E210,3,1)</f>
        <v/>
      </c>
      <c r="Z210">
        <f>MID($E210,4,1)</f>
        <v/>
      </c>
      <c r="AA210">
        <f>MID($E210,5,1)</f>
        <v/>
      </c>
      <c r="AB210">
        <f>MID($E210,6,1)</f>
        <v/>
      </c>
      <c r="AC210">
        <f>MID($E210,7,1)</f>
        <v/>
      </c>
      <c r="AD210">
        <f>MID($E210,8,1)</f>
        <v/>
      </c>
      <c r="AE210">
        <f>MID($E210,9,1)</f>
        <v/>
      </c>
      <c r="AF210">
        <f>MID($E210,10,1)</f>
        <v/>
      </c>
    </row>
    <row r="211">
      <c r="A211" s="4" t="inlineStr">
        <is>
          <t>DN210</t>
        </is>
      </c>
      <c r="B211" s="4" t="n">
        <v>3</v>
      </c>
      <c r="C211" s="4" t="n">
        <v>5</v>
      </c>
      <c r="D211" s="5" t="inlineStr">
        <is>
          <t>GACCAGATGG</t>
        </is>
      </c>
      <c r="E211" s="5" t="inlineStr">
        <is>
          <t>GCGACACTTC</t>
        </is>
      </c>
      <c r="F211" s="4">
        <f>LEN(SUBSTITUTE(SUBSTITUTE(D211,"A",""),"T",""))</f>
        <v/>
      </c>
      <c r="G211" s="4">
        <f>LEN(SUBSTITUTE(SUBSTITUTE(E211,"A",""),"T",""))</f>
        <v/>
      </c>
      <c r="H211" s="4" t="n">
        <v>-2.94</v>
      </c>
      <c r="I211" s="4" t="n">
        <v>-0.86</v>
      </c>
      <c r="J211" s="4" t="n">
        <v>-3.25</v>
      </c>
      <c r="K211" s="4" t="n">
        <v>-2.06</v>
      </c>
      <c r="M211">
        <f>MID($D211,1,1)</f>
        <v/>
      </c>
      <c r="N211">
        <f>MID($D211,2,1)</f>
        <v/>
      </c>
      <c r="O211">
        <f>MID($D211,3,1)</f>
        <v/>
      </c>
      <c r="P211">
        <f>MID($D211,4,1)</f>
        <v/>
      </c>
      <c r="Q211">
        <f>MID($D211,5,1)</f>
        <v/>
      </c>
      <c r="R211">
        <f>MID($D211,6,1)</f>
        <v/>
      </c>
      <c r="S211">
        <f>MID($D211,7,1)</f>
        <v/>
      </c>
      <c r="T211">
        <f>MID($D211,8,1)</f>
        <v/>
      </c>
      <c r="U211">
        <f>MID($D211,9,1)</f>
        <v/>
      </c>
      <c r="V211">
        <f>MID($D211,10,1)</f>
        <v/>
      </c>
      <c r="W211">
        <f>MID($E211,1,1)</f>
        <v/>
      </c>
      <c r="X211">
        <f>MID($E211,2,1)</f>
        <v/>
      </c>
      <c r="Y211">
        <f>MID($E211,3,1)</f>
        <v/>
      </c>
      <c r="Z211">
        <f>MID($E211,4,1)</f>
        <v/>
      </c>
      <c r="AA211">
        <f>MID($E211,5,1)</f>
        <v/>
      </c>
      <c r="AB211">
        <f>MID($E211,6,1)</f>
        <v/>
      </c>
      <c r="AC211">
        <f>MID($E211,7,1)</f>
        <v/>
      </c>
      <c r="AD211">
        <f>MID($E211,8,1)</f>
        <v/>
      </c>
      <c r="AE211">
        <f>MID($E211,9,1)</f>
        <v/>
      </c>
      <c r="AF211">
        <f>MID($E211,10,1)</f>
        <v/>
      </c>
    </row>
    <row r="212">
      <c r="A212" s="4" t="inlineStr">
        <is>
          <t>DN211</t>
        </is>
      </c>
      <c r="B212" s="4" t="n">
        <v>3</v>
      </c>
      <c r="C212" s="4" t="n">
        <v>5</v>
      </c>
      <c r="D212" s="5" t="inlineStr">
        <is>
          <t>ATAAGTGCAC</t>
        </is>
      </c>
      <c r="E212" s="5" t="inlineStr">
        <is>
          <t>AGAATCGAGA</t>
        </is>
      </c>
      <c r="F212" s="4">
        <f>LEN(SUBSTITUTE(SUBSTITUTE(D212,"A",""),"T",""))</f>
        <v/>
      </c>
      <c r="G212" s="4">
        <f>LEN(SUBSTITUTE(SUBSTITUTE(E212,"A",""),"T",""))</f>
        <v/>
      </c>
      <c r="H212" s="4" t="n">
        <v>-2.73</v>
      </c>
      <c r="I212" s="4" t="n">
        <v>-0.6899999999999999</v>
      </c>
      <c r="J212" s="4" t="n">
        <v>-2.94</v>
      </c>
      <c r="K212" s="4" t="n">
        <v>-0.85</v>
      </c>
      <c r="M212">
        <f>MID($D212,1,1)</f>
        <v/>
      </c>
      <c r="N212">
        <f>MID($D212,2,1)</f>
        <v/>
      </c>
      <c r="O212">
        <f>MID($D212,3,1)</f>
        <v/>
      </c>
      <c r="P212">
        <f>MID($D212,4,1)</f>
        <v/>
      </c>
      <c r="Q212">
        <f>MID($D212,5,1)</f>
        <v/>
      </c>
      <c r="R212">
        <f>MID($D212,6,1)</f>
        <v/>
      </c>
      <c r="S212">
        <f>MID($D212,7,1)</f>
        <v/>
      </c>
      <c r="T212">
        <f>MID($D212,8,1)</f>
        <v/>
      </c>
      <c r="U212">
        <f>MID($D212,9,1)</f>
        <v/>
      </c>
      <c r="V212">
        <f>MID($D212,10,1)</f>
        <v/>
      </c>
      <c r="W212">
        <f>MID($E212,1,1)</f>
        <v/>
      </c>
      <c r="X212">
        <f>MID($E212,2,1)</f>
        <v/>
      </c>
      <c r="Y212">
        <f>MID($E212,3,1)</f>
        <v/>
      </c>
      <c r="Z212">
        <f>MID($E212,4,1)</f>
        <v/>
      </c>
      <c r="AA212">
        <f>MID($E212,5,1)</f>
        <v/>
      </c>
      <c r="AB212">
        <f>MID($E212,6,1)</f>
        <v/>
      </c>
      <c r="AC212">
        <f>MID($E212,7,1)</f>
        <v/>
      </c>
      <c r="AD212">
        <f>MID($E212,8,1)</f>
        <v/>
      </c>
      <c r="AE212">
        <f>MID($E212,9,1)</f>
        <v/>
      </c>
      <c r="AF212">
        <f>MID($E212,10,1)</f>
        <v/>
      </c>
    </row>
    <row r="213">
      <c r="A213" s="4" t="inlineStr">
        <is>
          <t>DN212</t>
        </is>
      </c>
      <c r="B213" s="4" t="n">
        <v>3</v>
      </c>
      <c r="C213" s="4" t="n">
        <v>5</v>
      </c>
      <c r="D213" s="5" t="inlineStr">
        <is>
          <t>AACTATCTGC</t>
        </is>
      </c>
      <c r="E213" s="5" t="inlineStr">
        <is>
          <t>GACCGAATCC</t>
        </is>
      </c>
      <c r="F213" s="4">
        <f>LEN(SUBSTITUTE(SUBSTITUTE(D213,"A",""),"T",""))</f>
        <v/>
      </c>
      <c r="G213" s="4">
        <f>LEN(SUBSTITUTE(SUBSTITUTE(E213,"A",""),"T",""))</f>
        <v/>
      </c>
      <c r="H213" s="4" t="n">
        <v>-1.71</v>
      </c>
      <c r="I213" s="4" t="n">
        <v>-0.18</v>
      </c>
      <c r="J213" s="4" t="n">
        <v>-3.43</v>
      </c>
      <c r="K213" s="4" t="n">
        <v>-0.73</v>
      </c>
      <c r="M213">
        <f>MID($D213,1,1)</f>
        <v/>
      </c>
      <c r="N213">
        <f>MID($D213,2,1)</f>
        <v/>
      </c>
      <c r="O213">
        <f>MID($D213,3,1)</f>
        <v/>
      </c>
      <c r="P213">
        <f>MID($D213,4,1)</f>
        <v/>
      </c>
      <c r="Q213">
        <f>MID($D213,5,1)</f>
        <v/>
      </c>
      <c r="R213">
        <f>MID($D213,6,1)</f>
        <v/>
      </c>
      <c r="S213">
        <f>MID($D213,7,1)</f>
        <v/>
      </c>
      <c r="T213">
        <f>MID($D213,8,1)</f>
        <v/>
      </c>
      <c r="U213">
        <f>MID($D213,9,1)</f>
        <v/>
      </c>
      <c r="V213">
        <f>MID($D213,10,1)</f>
        <v/>
      </c>
      <c r="W213">
        <f>MID($E213,1,1)</f>
        <v/>
      </c>
      <c r="X213">
        <f>MID($E213,2,1)</f>
        <v/>
      </c>
      <c r="Y213">
        <f>MID($E213,3,1)</f>
        <v/>
      </c>
      <c r="Z213">
        <f>MID($E213,4,1)</f>
        <v/>
      </c>
      <c r="AA213">
        <f>MID($E213,5,1)</f>
        <v/>
      </c>
      <c r="AB213">
        <f>MID($E213,6,1)</f>
        <v/>
      </c>
      <c r="AC213">
        <f>MID($E213,7,1)</f>
        <v/>
      </c>
      <c r="AD213">
        <f>MID($E213,8,1)</f>
        <v/>
      </c>
      <c r="AE213">
        <f>MID($E213,9,1)</f>
        <v/>
      </c>
      <c r="AF213">
        <f>MID($E213,10,1)</f>
        <v/>
      </c>
    </row>
    <row r="214">
      <c r="A214" s="4" t="inlineStr">
        <is>
          <t>DN213</t>
        </is>
      </c>
      <c r="B214" s="4" t="n">
        <v>3</v>
      </c>
      <c r="C214" s="4" t="n">
        <v>5</v>
      </c>
      <c r="D214" s="5" t="inlineStr">
        <is>
          <t>CCACAGAGCA</t>
        </is>
      </c>
      <c r="E214" s="5" t="inlineStr">
        <is>
          <t>CGTGGTGACT</t>
        </is>
      </c>
      <c r="F214" s="4">
        <f>LEN(SUBSTITUTE(SUBSTITUTE(D214,"A",""),"T",""))</f>
        <v/>
      </c>
      <c r="G214" s="4">
        <f>LEN(SUBSTITUTE(SUBSTITUTE(E214,"A",""),"T",""))</f>
        <v/>
      </c>
      <c r="H214" s="4" t="n">
        <v>-2.42</v>
      </c>
      <c r="I214" s="4" t="n">
        <v>-1.58</v>
      </c>
      <c r="J214" s="4" t="n">
        <v>-3.08</v>
      </c>
      <c r="K214" s="4" t="n">
        <v>-2.49</v>
      </c>
      <c r="M214">
        <f>MID($D214,1,1)</f>
        <v/>
      </c>
      <c r="N214">
        <f>MID($D214,2,1)</f>
        <v/>
      </c>
      <c r="O214">
        <f>MID($D214,3,1)</f>
        <v/>
      </c>
      <c r="P214">
        <f>MID($D214,4,1)</f>
        <v/>
      </c>
      <c r="Q214">
        <f>MID($D214,5,1)</f>
        <v/>
      </c>
      <c r="R214">
        <f>MID($D214,6,1)</f>
        <v/>
      </c>
      <c r="S214">
        <f>MID($D214,7,1)</f>
        <v/>
      </c>
      <c r="T214">
        <f>MID($D214,8,1)</f>
        <v/>
      </c>
      <c r="U214">
        <f>MID($D214,9,1)</f>
        <v/>
      </c>
      <c r="V214">
        <f>MID($D214,10,1)</f>
        <v/>
      </c>
      <c r="W214">
        <f>MID($E214,1,1)</f>
        <v/>
      </c>
      <c r="X214">
        <f>MID($E214,2,1)</f>
        <v/>
      </c>
      <c r="Y214">
        <f>MID($E214,3,1)</f>
        <v/>
      </c>
      <c r="Z214">
        <f>MID($E214,4,1)</f>
        <v/>
      </c>
      <c r="AA214">
        <f>MID($E214,5,1)</f>
        <v/>
      </c>
      <c r="AB214">
        <f>MID($E214,6,1)</f>
        <v/>
      </c>
      <c r="AC214">
        <f>MID($E214,7,1)</f>
        <v/>
      </c>
      <c r="AD214">
        <f>MID($E214,8,1)</f>
        <v/>
      </c>
      <c r="AE214">
        <f>MID($E214,9,1)</f>
        <v/>
      </c>
      <c r="AF214">
        <f>MID($E214,10,1)</f>
        <v/>
      </c>
    </row>
    <row r="215">
      <c r="A215" s="4" t="inlineStr">
        <is>
          <t>DN214</t>
        </is>
      </c>
      <c r="B215" s="4" t="n">
        <v>3</v>
      </c>
      <c r="C215" s="4" t="n">
        <v>5</v>
      </c>
      <c r="D215" s="5" t="inlineStr">
        <is>
          <t>ACCTTACTAC</t>
        </is>
      </c>
      <c r="E215" s="5" t="inlineStr">
        <is>
          <t>TGTTACTTGC</t>
        </is>
      </c>
      <c r="F215" s="4">
        <f>LEN(SUBSTITUTE(SUBSTITUTE(D215,"A",""),"T",""))</f>
        <v/>
      </c>
      <c r="G215" s="4">
        <f>LEN(SUBSTITUTE(SUBSTITUTE(E215,"A",""),"T",""))</f>
        <v/>
      </c>
      <c r="H215" s="4" t="n">
        <v>-1.67</v>
      </c>
      <c r="I215" s="4" t="n">
        <v>0</v>
      </c>
      <c r="J215" s="4" t="n">
        <v>-1.69</v>
      </c>
      <c r="K215" s="4" t="n">
        <v>-0.16</v>
      </c>
      <c r="M215">
        <f>MID($D215,1,1)</f>
        <v/>
      </c>
      <c r="N215">
        <f>MID($D215,2,1)</f>
        <v/>
      </c>
      <c r="O215">
        <f>MID($D215,3,1)</f>
        <v/>
      </c>
      <c r="P215">
        <f>MID($D215,4,1)</f>
        <v/>
      </c>
      <c r="Q215">
        <f>MID($D215,5,1)</f>
        <v/>
      </c>
      <c r="R215">
        <f>MID($D215,6,1)</f>
        <v/>
      </c>
      <c r="S215">
        <f>MID($D215,7,1)</f>
        <v/>
      </c>
      <c r="T215">
        <f>MID($D215,8,1)</f>
        <v/>
      </c>
      <c r="U215">
        <f>MID($D215,9,1)</f>
        <v/>
      </c>
      <c r="V215">
        <f>MID($D215,10,1)</f>
        <v/>
      </c>
      <c r="W215">
        <f>MID($E215,1,1)</f>
        <v/>
      </c>
      <c r="X215">
        <f>MID($E215,2,1)</f>
        <v/>
      </c>
      <c r="Y215">
        <f>MID($E215,3,1)</f>
        <v/>
      </c>
      <c r="Z215">
        <f>MID($E215,4,1)</f>
        <v/>
      </c>
      <c r="AA215">
        <f>MID($E215,5,1)</f>
        <v/>
      </c>
      <c r="AB215">
        <f>MID($E215,6,1)</f>
        <v/>
      </c>
      <c r="AC215">
        <f>MID($E215,7,1)</f>
        <v/>
      </c>
      <c r="AD215">
        <f>MID($E215,8,1)</f>
        <v/>
      </c>
      <c r="AE215">
        <f>MID($E215,9,1)</f>
        <v/>
      </c>
      <c r="AF215">
        <f>MID($E215,10,1)</f>
        <v/>
      </c>
    </row>
    <row r="216">
      <c r="A216" s="4" t="inlineStr">
        <is>
          <t>DN215</t>
        </is>
      </c>
      <c r="B216" s="4" t="n">
        <v>3</v>
      </c>
      <c r="C216" s="4" t="n">
        <v>5</v>
      </c>
      <c r="D216" s="5" t="inlineStr">
        <is>
          <t>TGAACATGCT</t>
        </is>
      </c>
      <c r="E216" s="5" t="inlineStr">
        <is>
          <t>ACTGCATGCC</t>
        </is>
      </c>
      <c r="F216" s="4">
        <f>LEN(SUBSTITUTE(SUBSTITUTE(D216,"A",""),"T",""))</f>
        <v/>
      </c>
      <c r="G216" s="4">
        <f>LEN(SUBSTITUTE(SUBSTITUTE(E216,"A",""),"T",""))</f>
        <v/>
      </c>
      <c r="H216" s="4" t="n">
        <v>-3.25</v>
      </c>
      <c r="I216" s="4" t="n">
        <v>-0.54</v>
      </c>
      <c r="J216" s="4" t="n">
        <v>-5.12</v>
      </c>
      <c r="K216" s="4" t="n">
        <v>-0.91</v>
      </c>
      <c r="M216">
        <f>MID($D216,1,1)</f>
        <v/>
      </c>
      <c r="N216">
        <f>MID($D216,2,1)</f>
        <v/>
      </c>
      <c r="O216">
        <f>MID($D216,3,1)</f>
        <v/>
      </c>
      <c r="P216">
        <f>MID($D216,4,1)</f>
        <v/>
      </c>
      <c r="Q216">
        <f>MID($D216,5,1)</f>
        <v/>
      </c>
      <c r="R216">
        <f>MID($D216,6,1)</f>
        <v/>
      </c>
      <c r="S216">
        <f>MID($D216,7,1)</f>
        <v/>
      </c>
      <c r="T216">
        <f>MID($D216,8,1)</f>
        <v/>
      </c>
      <c r="U216">
        <f>MID($D216,9,1)</f>
        <v/>
      </c>
      <c r="V216">
        <f>MID($D216,10,1)</f>
        <v/>
      </c>
      <c r="W216">
        <f>MID($E216,1,1)</f>
        <v/>
      </c>
      <c r="X216">
        <f>MID($E216,2,1)</f>
        <v/>
      </c>
      <c r="Y216">
        <f>MID($E216,3,1)</f>
        <v/>
      </c>
      <c r="Z216">
        <f>MID($E216,4,1)</f>
        <v/>
      </c>
      <c r="AA216">
        <f>MID($E216,5,1)</f>
        <v/>
      </c>
      <c r="AB216">
        <f>MID($E216,6,1)</f>
        <v/>
      </c>
      <c r="AC216">
        <f>MID($E216,7,1)</f>
        <v/>
      </c>
      <c r="AD216">
        <f>MID($E216,8,1)</f>
        <v/>
      </c>
      <c r="AE216">
        <f>MID($E216,9,1)</f>
        <v/>
      </c>
      <c r="AF216">
        <f>MID($E216,10,1)</f>
        <v/>
      </c>
    </row>
    <row r="217">
      <c r="A217" s="4" t="inlineStr">
        <is>
          <t>DN216</t>
        </is>
      </c>
      <c r="B217" s="4" t="n">
        <v>3</v>
      </c>
      <c r="C217" s="4" t="n">
        <v>5</v>
      </c>
      <c r="D217" s="5" t="inlineStr">
        <is>
          <t>CAACAGGCCT</t>
        </is>
      </c>
      <c r="E217" s="5" t="inlineStr">
        <is>
          <t>CGAATTCAAC</t>
        </is>
      </c>
      <c r="F217" s="4">
        <f>LEN(SUBSTITUTE(SUBSTITUTE(D217,"A",""),"T",""))</f>
        <v/>
      </c>
      <c r="G217" s="4">
        <f>LEN(SUBSTITUTE(SUBSTITUTE(E217,"A",""),"T",""))</f>
        <v/>
      </c>
      <c r="H217" s="4" t="n">
        <v>-3.42</v>
      </c>
      <c r="I217" s="4" t="n">
        <v>-2.27</v>
      </c>
      <c r="J217" s="4" t="n">
        <v>-1.61</v>
      </c>
      <c r="K217" s="4" t="n">
        <v>-0.5</v>
      </c>
      <c r="M217">
        <f>MID($D217,1,1)</f>
        <v/>
      </c>
      <c r="N217">
        <f>MID($D217,2,1)</f>
        <v/>
      </c>
      <c r="O217">
        <f>MID($D217,3,1)</f>
        <v/>
      </c>
      <c r="P217">
        <f>MID($D217,4,1)</f>
        <v/>
      </c>
      <c r="Q217">
        <f>MID($D217,5,1)</f>
        <v/>
      </c>
      <c r="R217">
        <f>MID($D217,6,1)</f>
        <v/>
      </c>
      <c r="S217">
        <f>MID($D217,7,1)</f>
        <v/>
      </c>
      <c r="T217">
        <f>MID($D217,8,1)</f>
        <v/>
      </c>
      <c r="U217">
        <f>MID($D217,9,1)</f>
        <v/>
      </c>
      <c r="V217">
        <f>MID($D217,10,1)</f>
        <v/>
      </c>
      <c r="W217">
        <f>MID($E217,1,1)</f>
        <v/>
      </c>
      <c r="X217">
        <f>MID($E217,2,1)</f>
        <v/>
      </c>
      <c r="Y217">
        <f>MID($E217,3,1)</f>
        <v/>
      </c>
      <c r="Z217">
        <f>MID($E217,4,1)</f>
        <v/>
      </c>
      <c r="AA217">
        <f>MID($E217,5,1)</f>
        <v/>
      </c>
      <c r="AB217">
        <f>MID($E217,6,1)</f>
        <v/>
      </c>
      <c r="AC217">
        <f>MID($E217,7,1)</f>
        <v/>
      </c>
      <c r="AD217">
        <f>MID($E217,8,1)</f>
        <v/>
      </c>
      <c r="AE217">
        <f>MID($E217,9,1)</f>
        <v/>
      </c>
      <c r="AF217">
        <f>MID($E217,10,1)</f>
        <v/>
      </c>
    </row>
    <row r="218">
      <c r="A218" s="4" t="inlineStr">
        <is>
          <t>DN217</t>
        </is>
      </c>
      <c r="B218" s="4" t="n">
        <v>3</v>
      </c>
      <c r="C218" s="4" t="n">
        <v>5</v>
      </c>
      <c r="D218" s="5" t="inlineStr">
        <is>
          <t>TTACTCCACC</t>
        </is>
      </c>
      <c r="E218" s="5" t="inlineStr">
        <is>
          <t>TGTAGGATGT</t>
        </is>
      </c>
      <c r="F218" s="4">
        <f>LEN(SUBSTITUTE(SUBSTITUTE(D218,"A",""),"T",""))</f>
        <v/>
      </c>
      <c r="G218" s="4">
        <f>LEN(SUBSTITUTE(SUBSTITUTE(E218,"A",""),"T",""))</f>
        <v/>
      </c>
      <c r="H218" s="4" t="n">
        <v>-2.64</v>
      </c>
      <c r="I218" s="4" t="n">
        <v>0</v>
      </c>
      <c r="J218" s="4" t="n">
        <v>-2.54</v>
      </c>
      <c r="K218" s="4" t="n">
        <v>-2.31</v>
      </c>
      <c r="M218">
        <f>MID($D218,1,1)</f>
        <v/>
      </c>
      <c r="N218">
        <f>MID($D218,2,1)</f>
        <v/>
      </c>
      <c r="O218">
        <f>MID($D218,3,1)</f>
        <v/>
      </c>
      <c r="P218">
        <f>MID($D218,4,1)</f>
        <v/>
      </c>
      <c r="Q218">
        <f>MID($D218,5,1)</f>
        <v/>
      </c>
      <c r="R218">
        <f>MID($D218,6,1)</f>
        <v/>
      </c>
      <c r="S218">
        <f>MID($D218,7,1)</f>
        <v/>
      </c>
      <c r="T218">
        <f>MID($D218,8,1)</f>
        <v/>
      </c>
      <c r="U218">
        <f>MID($D218,9,1)</f>
        <v/>
      </c>
      <c r="V218">
        <f>MID($D218,10,1)</f>
        <v/>
      </c>
      <c r="W218">
        <f>MID($E218,1,1)</f>
        <v/>
      </c>
      <c r="X218">
        <f>MID($E218,2,1)</f>
        <v/>
      </c>
      <c r="Y218">
        <f>MID($E218,3,1)</f>
        <v/>
      </c>
      <c r="Z218">
        <f>MID($E218,4,1)</f>
        <v/>
      </c>
      <c r="AA218">
        <f>MID($E218,5,1)</f>
        <v/>
      </c>
      <c r="AB218">
        <f>MID($E218,6,1)</f>
        <v/>
      </c>
      <c r="AC218">
        <f>MID($E218,7,1)</f>
        <v/>
      </c>
      <c r="AD218">
        <f>MID($E218,8,1)</f>
        <v/>
      </c>
      <c r="AE218">
        <f>MID($E218,9,1)</f>
        <v/>
      </c>
      <c r="AF218">
        <f>MID($E218,10,1)</f>
        <v/>
      </c>
    </row>
    <row r="219">
      <c r="A219" s="4" t="inlineStr">
        <is>
          <t>DN218</t>
        </is>
      </c>
      <c r="B219" s="4" t="n">
        <v>3</v>
      </c>
      <c r="C219" s="4" t="n">
        <v>5</v>
      </c>
      <c r="D219" s="5" t="inlineStr">
        <is>
          <t>AGACGTCGTG</t>
        </is>
      </c>
      <c r="E219" s="5" t="inlineStr">
        <is>
          <t>AGATCCATGT</t>
        </is>
      </c>
      <c r="F219" s="4">
        <f>LEN(SUBSTITUTE(SUBSTITUTE(D219,"A",""),"T",""))</f>
        <v/>
      </c>
      <c r="G219" s="4">
        <f>LEN(SUBSTITUTE(SUBSTITUTE(E219,"A",""),"T",""))</f>
        <v/>
      </c>
      <c r="H219" s="4" t="n">
        <v>-2.92</v>
      </c>
      <c r="I219" s="4" t="n">
        <v>-2.36</v>
      </c>
      <c r="J219" s="4" t="n">
        <v>-1.36</v>
      </c>
      <c r="K219" s="4" t="n">
        <v>-0.49</v>
      </c>
      <c r="M219">
        <f>MID($D219,1,1)</f>
        <v/>
      </c>
      <c r="N219">
        <f>MID($D219,2,1)</f>
        <v/>
      </c>
      <c r="O219">
        <f>MID($D219,3,1)</f>
        <v/>
      </c>
      <c r="P219">
        <f>MID($D219,4,1)</f>
        <v/>
      </c>
      <c r="Q219">
        <f>MID($D219,5,1)</f>
        <v/>
      </c>
      <c r="R219">
        <f>MID($D219,6,1)</f>
        <v/>
      </c>
      <c r="S219">
        <f>MID($D219,7,1)</f>
        <v/>
      </c>
      <c r="T219">
        <f>MID($D219,8,1)</f>
        <v/>
      </c>
      <c r="U219">
        <f>MID($D219,9,1)</f>
        <v/>
      </c>
      <c r="V219">
        <f>MID($D219,10,1)</f>
        <v/>
      </c>
      <c r="W219">
        <f>MID($E219,1,1)</f>
        <v/>
      </c>
      <c r="X219">
        <f>MID($E219,2,1)</f>
        <v/>
      </c>
      <c r="Y219">
        <f>MID($E219,3,1)</f>
        <v/>
      </c>
      <c r="Z219">
        <f>MID($E219,4,1)</f>
        <v/>
      </c>
      <c r="AA219">
        <f>MID($E219,5,1)</f>
        <v/>
      </c>
      <c r="AB219">
        <f>MID($E219,6,1)</f>
        <v/>
      </c>
      <c r="AC219">
        <f>MID($E219,7,1)</f>
        <v/>
      </c>
      <c r="AD219">
        <f>MID($E219,8,1)</f>
        <v/>
      </c>
      <c r="AE219">
        <f>MID($E219,9,1)</f>
        <v/>
      </c>
      <c r="AF219">
        <f>MID($E219,10,1)</f>
        <v/>
      </c>
    </row>
    <row r="220">
      <c r="A220" s="4" t="inlineStr">
        <is>
          <t>DN219</t>
        </is>
      </c>
      <c r="B220" s="4" t="n">
        <v>3</v>
      </c>
      <c r="C220" s="4" t="n">
        <v>5</v>
      </c>
      <c r="D220" s="5" t="inlineStr">
        <is>
          <t>CGTGAGATAC</t>
        </is>
      </c>
      <c r="E220" s="5" t="inlineStr">
        <is>
          <t>GTAATCGATG</t>
        </is>
      </c>
      <c r="F220" s="4">
        <f>LEN(SUBSTITUTE(SUBSTITUTE(D220,"A",""),"T",""))</f>
        <v/>
      </c>
      <c r="G220" s="4">
        <f>LEN(SUBSTITUTE(SUBSTITUTE(E220,"A",""),"T",""))</f>
        <v/>
      </c>
      <c r="H220" s="4" t="n">
        <v>-3.16</v>
      </c>
      <c r="I220" s="4" t="n">
        <v>-1</v>
      </c>
      <c r="J220" s="4" t="n">
        <v>-2.75</v>
      </c>
      <c r="K220" s="4" t="n">
        <v>-0.84</v>
      </c>
      <c r="M220">
        <f>MID($D220,1,1)</f>
        <v/>
      </c>
      <c r="N220">
        <f>MID($D220,2,1)</f>
        <v/>
      </c>
      <c r="O220">
        <f>MID($D220,3,1)</f>
        <v/>
      </c>
      <c r="P220">
        <f>MID($D220,4,1)</f>
        <v/>
      </c>
      <c r="Q220">
        <f>MID($D220,5,1)</f>
        <v/>
      </c>
      <c r="R220">
        <f>MID($D220,6,1)</f>
        <v/>
      </c>
      <c r="S220">
        <f>MID($D220,7,1)</f>
        <v/>
      </c>
      <c r="T220">
        <f>MID($D220,8,1)</f>
        <v/>
      </c>
      <c r="U220">
        <f>MID($D220,9,1)</f>
        <v/>
      </c>
      <c r="V220">
        <f>MID($D220,10,1)</f>
        <v/>
      </c>
      <c r="W220">
        <f>MID($E220,1,1)</f>
        <v/>
      </c>
      <c r="X220">
        <f>MID($E220,2,1)</f>
        <v/>
      </c>
      <c r="Y220">
        <f>MID($E220,3,1)</f>
        <v/>
      </c>
      <c r="Z220">
        <f>MID($E220,4,1)</f>
        <v/>
      </c>
      <c r="AA220">
        <f>MID($E220,5,1)</f>
        <v/>
      </c>
      <c r="AB220">
        <f>MID($E220,6,1)</f>
        <v/>
      </c>
      <c r="AC220">
        <f>MID($E220,7,1)</f>
        <v/>
      </c>
      <c r="AD220">
        <f>MID($E220,8,1)</f>
        <v/>
      </c>
      <c r="AE220">
        <f>MID($E220,9,1)</f>
        <v/>
      </c>
      <c r="AF220">
        <f>MID($E220,10,1)</f>
        <v/>
      </c>
    </row>
    <row r="221">
      <c r="A221" s="4" t="inlineStr">
        <is>
          <t>DN220</t>
        </is>
      </c>
      <c r="B221" s="4" t="n">
        <v>3</v>
      </c>
      <c r="C221" s="4" t="n">
        <v>5</v>
      </c>
      <c r="D221" s="5" t="inlineStr">
        <is>
          <t>TACGCGTTGC</t>
        </is>
      </c>
      <c r="E221" s="5" t="inlineStr">
        <is>
          <t>CTTGAATGCT</t>
        </is>
      </c>
      <c r="F221" s="4">
        <f>LEN(SUBSTITUTE(SUBSTITUTE(D221,"A",""),"T",""))</f>
        <v/>
      </c>
      <c r="G221" s="4">
        <f>LEN(SUBSTITUTE(SUBSTITUTE(E221,"A",""),"T",""))</f>
        <v/>
      </c>
      <c r="H221" s="4" t="n">
        <v>-5.81</v>
      </c>
      <c r="I221" s="4" t="n">
        <v>-1.27</v>
      </c>
      <c r="J221" s="4" t="n">
        <v>-1.98</v>
      </c>
      <c r="K221" s="4" t="n">
        <v>-0.51</v>
      </c>
      <c r="M221">
        <f>MID($D221,1,1)</f>
        <v/>
      </c>
      <c r="N221">
        <f>MID($D221,2,1)</f>
        <v/>
      </c>
      <c r="O221">
        <f>MID($D221,3,1)</f>
        <v/>
      </c>
      <c r="P221">
        <f>MID($D221,4,1)</f>
        <v/>
      </c>
      <c r="Q221">
        <f>MID($D221,5,1)</f>
        <v/>
      </c>
      <c r="R221">
        <f>MID($D221,6,1)</f>
        <v/>
      </c>
      <c r="S221">
        <f>MID($D221,7,1)</f>
        <v/>
      </c>
      <c r="T221">
        <f>MID($D221,8,1)</f>
        <v/>
      </c>
      <c r="U221">
        <f>MID($D221,9,1)</f>
        <v/>
      </c>
      <c r="V221">
        <f>MID($D221,10,1)</f>
        <v/>
      </c>
      <c r="W221">
        <f>MID($E221,1,1)</f>
        <v/>
      </c>
      <c r="X221">
        <f>MID($E221,2,1)</f>
        <v/>
      </c>
      <c r="Y221">
        <f>MID($E221,3,1)</f>
        <v/>
      </c>
      <c r="Z221">
        <f>MID($E221,4,1)</f>
        <v/>
      </c>
      <c r="AA221">
        <f>MID($E221,5,1)</f>
        <v/>
      </c>
      <c r="AB221">
        <f>MID($E221,6,1)</f>
        <v/>
      </c>
      <c r="AC221">
        <f>MID($E221,7,1)</f>
        <v/>
      </c>
      <c r="AD221">
        <f>MID($E221,8,1)</f>
        <v/>
      </c>
      <c r="AE221">
        <f>MID($E221,9,1)</f>
        <v/>
      </c>
      <c r="AF221">
        <f>MID($E221,10,1)</f>
        <v/>
      </c>
    </row>
    <row r="222">
      <c r="A222" s="4" t="inlineStr">
        <is>
          <t>DN221</t>
        </is>
      </c>
      <c r="B222" s="4" t="n">
        <v>3</v>
      </c>
      <c r="C222" s="4" t="n">
        <v>5</v>
      </c>
      <c r="D222" s="5" t="inlineStr">
        <is>
          <t>GCGGAATACG</t>
        </is>
      </c>
      <c r="E222" s="5" t="inlineStr">
        <is>
          <t>CCACAATGTT</t>
        </is>
      </c>
      <c r="F222" s="4">
        <f>LEN(SUBSTITUTE(SUBSTITUTE(D222,"A",""),"T",""))</f>
        <v/>
      </c>
      <c r="G222" s="4">
        <f>LEN(SUBSTITUTE(SUBSTITUTE(E222,"A",""),"T",""))</f>
        <v/>
      </c>
      <c r="H222" s="4" t="n">
        <v>-3.34</v>
      </c>
      <c r="I222" s="4" t="n">
        <v>-2.27</v>
      </c>
      <c r="J222" s="4" t="n">
        <v>-1.24</v>
      </c>
      <c r="K222" s="4" t="n">
        <v>-0.74</v>
      </c>
      <c r="M222">
        <f>MID($D222,1,1)</f>
        <v/>
      </c>
      <c r="N222">
        <f>MID($D222,2,1)</f>
        <v/>
      </c>
      <c r="O222">
        <f>MID($D222,3,1)</f>
        <v/>
      </c>
      <c r="P222">
        <f>MID($D222,4,1)</f>
        <v/>
      </c>
      <c r="Q222">
        <f>MID($D222,5,1)</f>
        <v/>
      </c>
      <c r="R222">
        <f>MID($D222,6,1)</f>
        <v/>
      </c>
      <c r="S222">
        <f>MID($D222,7,1)</f>
        <v/>
      </c>
      <c r="T222">
        <f>MID($D222,8,1)</f>
        <v/>
      </c>
      <c r="U222">
        <f>MID($D222,9,1)</f>
        <v/>
      </c>
      <c r="V222">
        <f>MID($D222,10,1)</f>
        <v/>
      </c>
      <c r="W222">
        <f>MID($E222,1,1)</f>
        <v/>
      </c>
      <c r="X222">
        <f>MID($E222,2,1)</f>
        <v/>
      </c>
      <c r="Y222">
        <f>MID($E222,3,1)</f>
        <v/>
      </c>
      <c r="Z222">
        <f>MID($E222,4,1)</f>
        <v/>
      </c>
      <c r="AA222">
        <f>MID($E222,5,1)</f>
        <v/>
      </c>
      <c r="AB222">
        <f>MID($E222,6,1)</f>
        <v/>
      </c>
      <c r="AC222">
        <f>MID($E222,7,1)</f>
        <v/>
      </c>
      <c r="AD222">
        <f>MID($E222,8,1)</f>
        <v/>
      </c>
      <c r="AE222">
        <f>MID($E222,9,1)</f>
        <v/>
      </c>
      <c r="AF222">
        <f>MID($E222,10,1)</f>
        <v/>
      </c>
    </row>
    <row r="223">
      <c r="A223" s="4" t="inlineStr">
        <is>
          <t>DN222</t>
        </is>
      </c>
      <c r="B223" s="4" t="n">
        <v>3</v>
      </c>
      <c r="C223" s="4" t="n">
        <v>5</v>
      </c>
      <c r="D223" s="5" t="inlineStr">
        <is>
          <t>CTTCTCCGCT</t>
        </is>
      </c>
      <c r="E223" s="5" t="inlineStr">
        <is>
          <t>TCAGTTGAGA</t>
        </is>
      </c>
      <c r="F223" s="4">
        <f>LEN(SUBSTITUTE(SUBSTITUTE(D223,"A",""),"T",""))</f>
        <v/>
      </c>
      <c r="G223" s="4">
        <f>LEN(SUBSTITUTE(SUBSTITUTE(E223,"A",""),"T",""))</f>
        <v/>
      </c>
      <c r="H223" s="4" t="n">
        <v>-3.11</v>
      </c>
      <c r="I223" s="4" t="n">
        <v>-0.24</v>
      </c>
      <c r="J223" s="4" t="n">
        <v>-2.77</v>
      </c>
      <c r="K223" s="4" t="n">
        <v>-1</v>
      </c>
      <c r="M223">
        <f>MID($D223,1,1)</f>
        <v/>
      </c>
      <c r="N223">
        <f>MID($D223,2,1)</f>
        <v/>
      </c>
      <c r="O223">
        <f>MID($D223,3,1)</f>
        <v/>
      </c>
      <c r="P223">
        <f>MID($D223,4,1)</f>
        <v/>
      </c>
      <c r="Q223">
        <f>MID($D223,5,1)</f>
        <v/>
      </c>
      <c r="R223">
        <f>MID($D223,6,1)</f>
        <v/>
      </c>
      <c r="S223">
        <f>MID($D223,7,1)</f>
        <v/>
      </c>
      <c r="T223">
        <f>MID($D223,8,1)</f>
        <v/>
      </c>
      <c r="U223">
        <f>MID($D223,9,1)</f>
        <v/>
      </c>
      <c r="V223">
        <f>MID($D223,10,1)</f>
        <v/>
      </c>
      <c r="W223">
        <f>MID($E223,1,1)</f>
        <v/>
      </c>
      <c r="X223">
        <f>MID($E223,2,1)</f>
        <v/>
      </c>
      <c r="Y223">
        <f>MID($E223,3,1)</f>
        <v/>
      </c>
      <c r="Z223">
        <f>MID($E223,4,1)</f>
        <v/>
      </c>
      <c r="AA223">
        <f>MID($E223,5,1)</f>
        <v/>
      </c>
      <c r="AB223">
        <f>MID($E223,6,1)</f>
        <v/>
      </c>
      <c r="AC223">
        <f>MID($E223,7,1)</f>
        <v/>
      </c>
      <c r="AD223">
        <f>MID($E223,8,1)</f>
        <v/>
      </c>
      <c r="AE223">
        <f>MID($E223,9,1)</f>
        <v/>
      </c>
      <c r="AF223">
        <f>MID($E223,10,1)</f>
        <v/>
      </c>
    </row>
    <row r="224">
      <c r="A224" s="4" t="inlineStr">
        <is>
          <t>DN223</t>
        </is>
      </c>
      <c r="B224" s="4" t="n">
        <v>3</v>
      </c>
      <c r="C224" s="4" t="n">
        <v>5</v>
      </c>
      <c r="D224" s="5" t="inlineStr">
        <is>
          <t>CGCACGCAAT</t>
        </is>
      </c>
      <c r="E224" s="5" t="inlineStr">
        <is>
          <t>CAGCATATCG</t>
        </is>
      </c>
      <c r="F224" s="4">
        <f>LEN(SUBSTITUTE(SUBSTITUTE(D224,"A",""),"T",""))</f>
        <v/>
      </c>
      <c r="G224" s="4">
        <f>LEN(SUBSTITUTE(SUBSTITUTE(E224,"A",""),"T",""))</f>
        <v/>
      </c>
      <c r="H224" s="4" t="n">
        <v>-3.53</v>
      </c>
      <c r="I224" s="4" t="n">
        <v>-1</v>
      </c>
      <c r="J224" s="4" t="n">
        <v>-3.18</v>
      </c>
      <c r="K224" s="4" t="n">
        <v>-1.39</v>
      </c>
      <c r="M224">
        <f>MID($D224,1,1)</f>
        <v/>
      </c>
      <c r="N224">
        <f>MID($D224,2,1)</f>
        <v/>
      </c>
      <c r="O224">
        <f>MID($D224,3,1)</f>
        <v/>
      </c>
      <c r="P224">
        <f>MID($D224,4,1)</f>
        <v/>
      </c>
      <c r="Q224">
        <f>MID($D224,5,1)</f>
        <v/>
      </c>
      <c r="R224">
        <f>MID($D224,6,1)</f>
        <v/>
      </c>
      <c r="S224">
        <f>MID($D224,7,1)</f>
        <v/>
      </c>
      <c r="T224">
        <f>MID($D224,8,1)</f>
        <v/>
      </c>
      <c r="U224">
        <f>MID($D224,9,1)</f>
        <v/>
      </c>
      <c r="V224">
        <f>MID($D224,10,1)</f>
        <v/>
      </c>
      <c r="W224">
        <f>MID($E224,1,1)</f>
        <v/>
      </c>
      <c r="X224">
        <f>MID($E224,2,1)</f>
        <v/>
      </c>
      <c r="Y224">
        <f>MID($E224,3,1)</f>
        <v/>
      </c>
      <c r="Z224">
        <f>MID($E224,4,1)</f>
        <v/>
      </c>
      <c r="AA224">
        <f>MID($E224,5,1)</f>
        <v/>
      </c>
      <c r="AB224">
        <f>MID($E224,6,1)</f>
        <v/>
      </c>
      <c r="AC224">
        <f>MID($E224,7,1)</f>
        <v/>
      </c>
      <c r="AD224">
        <f>MID($E224,8,1)</f>
        <v/>
      </c>
      <c r="AE224">
        <f>MID($E224,9,1)</f>
        <v/>
      </c>
      <c r="AF224">
        <f>MID($E224,10,1)</f>
        <v/>
      </c>
    </row>
    <row r="225">
      <c r="A225" s="4" t="inlineStr">
        <is>
          <t>DN224</t>
        </is>
      </c>
      <c r="B225" s="4" t="n">
        <v>3</v>
      </c>
      <c r="C225" s="4" t="n">
        <v>5</v>
      </c>
      <c r="D225" s="5" t="inlineStr">
        <is>
          <t>TAGTGATGCA</t>
        </is>
      </c>
      <c r="E225" s="5" t="inlineStr">
        <is>
          <t>GCTGTAGCCT</t>
        </is>
      </c>
      <c r="F225" s="4">
        <f>LEN(SUBSTITUTE(SUBSTITUTE(D225,"A",""),"T",""))</f>
        <v/>
      </c>
      <c r="G225" s="4">
        <f>LEN(SUBSTITUTE(SUBSTITUTE(E225,"A",""),"T",""))</f>
        <v/>
      </c>
      <c r="H225" s="4" t="n">
        <v>-2.28</v>
      </c>
      <c r="I225" s="4" t="n">
        <v>-1.33</v>
      </c>
      <c r="J225" s="4" t="n">
        <v>-3.47</v>
      </c>
      <c r="K225" s="4" t="n">
        <v>-2.36</v>
      </c>
      <c r="M225">
        <f>MID($D225,1,1)</f>
        <v/>
      </c>
      <c r="N225">
        <f>MID($D225,2,1)</f>
        <v/>
      </c>
      <c r="O225">
        <f>MID($D225,3,1)</f>
        <v/>
      </c>
      <c r="P225">
        <f>MID($D225,4,1)</f>
        <v/>
      </c>
      <c r="Q225">
        <f>MID($D225,5,1)</f>
        <v/>
      </c>
      <c r="R225">
        <f>MID($D225,6,1)</f>
        <v/>
      </c>
      <c r="S225">
        <f>MID($D225,7,1)</f>
        <v/>
      </c>
      <c r="T225">
        <f>MID($D225,8,1)</f>
        <v/>
      </c>
      <c r="U225">
        <f>MID($D225,9,1)</f>
        <v/>
      </c>
      <c r="V225">
        <f>MID($D225,10,1)</f>
        <v/>
      </c>
      <c r="W225">
        <f>MID($E225,1,1)</f>
        <v/>
      </c>
      <c r="X225">
        <f>MID($E225,2,1)</f>
        <v/>
      </c>
      <c r="Y225">
        <f>MID($E225,3,1)</f>
        <v/>
      </c>
      <c r="Z225">
        <f>MID($E225,4,1)</f>
        <v/>
      </c>
      <c r="AA225">
        <f>MID($E225,5,1)</f>
        <v/>
      </c>
      <c r="AB225">
        <f>MID($E225,6,1)</f>
        <v/>
      </c>
      <c r="AC225">
        <f>MID($E225,7,1)</f>
        <v/>
      </c>
      <c r="AD225">
        <f>MID($E225,8,1)</f>
        <v/>
      </c>
      <c r="AE225">
        <f>MID($E225,9,1)</f>
        <v/>
      </c>
      <c r="AF225">
        <f>MID($E225,10,1)</f>
        <v/>
      </c>
    </row>
    <row r="226">
      <c r="A226" s="4" t="inlineStr">
        <is>
          <t>DN225</t>
        </is>
      </c>
      <c r="B226" s="4" t="n">
        <v>3</v>
      </c>
      <c r="C226" s="4" t="n">
        <v>5</v>
      </c>
      <c r="D226" s="5" t="inlineStr">
        <is>
          <t>CCTGGAAGGT</t>
        </is>
      </c>
      <c r="E226" s="5" t="inlineStr">
        <is>
          <t>ATGCTGACCA</t>
        </is>
      </c>
      <c r="F226" s="4">
        <f>LEN(SUBSTITUTE(SUBSTITUTE(D226,"A",""),"T",""))</f>
        <v/>
      </c>
      <c r="G226" s="4">
        <f>LEN(SUBSTITUTE(SUBSTITUTE(E226,"A",""),"T",""))</f>
        <v/>
      </c>
      <c r="H226" s="4" t="n">
        <v>-2.69</v>
      </c>
      <c r="I226" s="4" t="n">
        <v>-1.08</v>
      </c>
      <c r="J226" s="4" t="n">
        <v>-2.95</v>
      </c>
      <c r="K226" s="4" t="n">
        <v>-0.99</v>
      </c>
      <c r="M226">
        <f>MID($D226,1,1)</f>
        <v/>
      </c>
      <c r="N226">
        <f>MID($D226,2,1)</f>
        <v/>
      </c>
      <c r="O226">
        <f>MID($D226,3,1)</f>
        <v/>
      </c>
      <c r="P226">
        <f>MID($D226,4,1)</f>
        <v/>
      </c>
      <c r="Q226">
        <f>MID($D226,5,1)</f>
        <v/>
      </c>
      <c r="R226">
        <f>MID($D226,6,1)</f>
        <v/>
      </c>
      <c r="S226">
        <f>MID($D226,7,1)</f>
        <v/>
      </c>
      <c r="T226">
        <f>MID($D226,8,1)</f>
        <v/>
      </c>
      <c r="U226">
        <f>MID($D226,9,1)</f>
        <v/>
      </c>
      <c r="V226">
        <f>MID($D226,10,1)</f>
        <v/>
      </c>
      <c r="W226">
        <f>MID($E226,1,1)</f>
        <v/>
      </c>
      <c r="X226">
        <f>MID($E226,2,1)</f>
        <v/>
      </c>
      <c r="Y226">
        <f>MID($E226,3,1)</f>
        <v/>
      </c>
      <c r="Z226">
        <f>MID($E226,4,1)</f>
        <v/>
      </c>
      <c r="AA226">
        <f>MID($E226,5,1)</f>
        <v/>
      </c>
      <c r="AB226">
        <f>MID($E226,6,1)</f>
        <v/>
      </c>
      <c r="AC226">
        <f>MID($E226,7,1)</f>
        <v/>
      </c>
      <c r="AD226">
        <f>MID($E226,8,1)</f>
        <v/>
      </c>
      <c r="AE226">
        <f>MID($E226,9,1)</f>
        <v/>
      </c>
      <c r="AF226">
        <f>MID($E226,10,1)</f>
        <v/>
      </c>
    </row>
    <row r="227">
      <c r="A227" s="4" t="inlineStr">
        <is>
          <t>DN226</t>
        </is>
      </c>
      <c r="B227" s="4" t="n">
        <v>3</v>
      </c>
      <c r="C227" s="4" t="n">
        <v>5</v>
      </c>
      <c r="D227" s="5" t="inlineStr">
        <is>
          <t>GACAAGCCTG</t>
        </is>
      </c>
      <c r="E227" s="5" t="inlineStr">
        <is>
          <t>AGTTCCAACA</t>
        </is>
      </c>
      <c r="F227" s="4">
        <f>LEN(SUBSTITUTE(SUBSTITUTE(D227,"A",""),"T",""))</f>
        <v/>
      </c>
      <c r="G227" s="4">
        <f>LEN(SUBSTITUTE(SUBSTITUTE(E227,"A",""),"T",""))</f>
        <v/>
      </c>
      <c r="H227" s="4" t="n">
        <v>-2.77</v>
      </c>
      <c r="I227" s="4" t="n">
        <v>-2.77</v>
      </c>
      <c r="J227" s="4" t="n">
        <v>-2.31</v>
      </c>
      <c r="K227" s="4" t="n">
        <v>-0.7</v>
      </c>
      <c r="M227">
        <f>MID($D227,1,1)</f>
        <v/>
      </c>
      <c r="N227">
        <f>MID($D227,2,1)</f>
        <v/>
      </c>
      <c r="O227">
        <f>MID($D227,3,1)</f>
        <v/>
      </c>
      <c r="P227">
        <f>MID($D227,4,1)</f>
        <v/>
      </c>
      <c r="Q227">
        <f>MID($D227,5,1)</f>
        <v/>
      </c>
      <c r="R227">
        <f>MID($D227,6,1)</f>
        <v/>
      </c>
      <c r="S227">
        <f>MID($D227,7,1)</f>
        <v/>
      </c>
      <c r="T227">
        <f>MID($D227,8,1)</f>
        <v/>
      </c>
      <c r="U227">
        <f>MID($D227,9,1)</f>
        <v/>
      </c>
      <c r="V227">
        <f>MID($D227,10,1)</f>
        <v/>
      </c>
      <c r="W227">
        <f>MID($E227,1,1)</f>
        <v/>
      </c>
      <c r="X227">
        <f>MID($E227,2,1)</f>
        <v/>
      </c>
      <c r="Y227">
        <f>MID($E227,3,1)</f>
        <v/>
      </c>
      <c r="Z227">
        <f>MID($E227,4,1)</f>
        <v/>
      </c>
      <c r="AA227">
        <f>MID($E227,5,1)</f>
        <v/>
      </c>
      <c r="AB227">
        <f>MID($E227,6,1)</f>
        <v/>
      </c>
      <c r="AC227">
        <f>MID($E227,7,1)</f>
        <v/>
      </c>
      <c r="AD227">
        <f>MID($E227,8,1)</f>
        <v/>
      </c>
      <c r="AE227">
        <f>MID($E227,9,1)</f>
        <v/>
      </c>
      <c r="AF227">
        <f>MID($E227,10,1)</f>
        <v/>
      </c>
    </row>
    <row r="228">
      <c r="A228" s="4" t="inlineStr">
        <is>
          <t>DN227</t>
        </is>
      </c>
      <c r="B228" s="4" t="n">
        <v>3</v>
      </c>
      <c r="C228" s="4" t="n">
        <v>5</v>
      </c>
      <c r="D228" s="5" t="inlineStr">
        <is>
          <t>GCACTCCATT</t>
        </is>
      </c>
      <c r="E228" s="5" t="inlineStr">
        <is>
          <t>TCATGAGGAT</t>
        </is>
      </c>
      <c r="F228" s="4">
        <f>LEN(SUBSTITUTE(SUBSTITUTE(D228,"A",""),"T",""))</f>
        <v/>
      </c>
      <c r="G228" s="4">
        <f>LEN(SUBSTITUTE(SUBSTITUTE(E228,"A",""),"T",""))</f>
        <v/>
      </c>
      <c r="H228" s="4" t="n">
        <v>-2.62</v>
      </c>
      <c r="I228" s="4" t="n">
        <v>-0.27</v>
      </c>
      <c r="J228" s="4" t="n">
        <v>-3.31</v>
      </c>
      <c r="K228" s="4" t="n">
        <v>-1.89</v>
      </c>
      <c r="M228">
        <f>MID($D228,1,1)</f>
        <v/>
      </c>
      <c r="N228">
        <f>MID($D228,2,1)</f>
        <v/>
      </c>
      <c r="O228">
        <f>MID($D228,3,1)</f>
        <v/>
      </c>
      <c r="P228">
        <f>MID($D228,4,1)</f>
        <v/>
      </c>
      <c r="Q228">
        <f>MID($D228,5,1)</f>
        <v/>
      </c>
      <c r="R228">
        <f>MID($D228,6,1)</f>
        <v/>
      </c>
      <c r="S228">
        <f>MID($D228,7,1)</f>
        <v/>
      </c>
      <c r="T228">
        <f>MID($D228,8,1)</f>
        <v/>
      </c>
      <c r="U228">
        <f>MID($D228,9,1)</f>
        <v/>
      </c>
      <c r="V228">
        <f>MID($D228,10,1)</f>
        <v/>
      </c>
      <c r="W228">
        <f>MID($E228,1,1)</f>
        <v/>
      </c>
      <c r="X228">
        <f>MID($E228,2,1)</f>
        <v/>
      </c>
      <c r="Y228">
        <f>MID($E228,3,1)</f>
        <v/>
      </c>
      <c r="Z228">
        <f>MID($E228,4,1)</f>
        <v/>
      </c>
      <c r="AA228">
        <f>MID($E228,5,1)</f>
        <v/>
      </c>
      <c r="AB228">
        <f>MID($E228,6,1)</f>
        <v/>
      </c>
      <c r="AC228">
        <f>MID($E228,7,1)</f>
        <v/>
      </c>
      <c r="AD228">
        <f>MID($E228,8,1)</f>
        <v/>
      </c>
      <c r="AE228">
        <f>MID($E228,9,1)</f>
        <v/>
      </c>
      <c r="AF228">
        <f>MID($E228,10,1)</f>
        <v/>
      </c>
    </row>
    <row r="229">
      <c r="A229" s="4" t="inlineStr">
        <is>
          <t>DN228</t>
        </is>
      </c>
      <c r="B229" s="4" t="n">
        <v>3</v>
      </c>
      <c r="C229" s="4" t="n">
        <v>5</v>
      </c>
      <c r="D229" s="5" t="inlineStr">
        <is>
          <t>AGGATAAGTG</t>
        </is>
      </c>
      <c r="E229" s="5" t="inlineStr">
        <is>
          <t>GAGGTGAACC</t>
        </is>
      </c>
      <c r="F229" s="4">
        <f>LEN(SUBSTITUTE(SUBSTITUTE(D229,"A",""),"T",""))</f>
        <v/>
      </c>
      <c r="G229" s="4">
        <f>LEN(SUBSTITUTE(SUBSTITUTE(E229,"A",""),"T",""))</f>
        <v/>
      </c>
      <c r="H229" s="4" t="n">
        <v>-2.02</v>
      </c>
      <c r="I229" s="4" t="n">
        <v>-1.32</v>
      </c>
      <c r="J229" s="4" t="n">
        <v>-3.35</v>
      </c>
      <c r="K229" s="4" t="n">
        <v>-2.55</v>
      </c>
      <c r="M229">
        <f>MID($D229,1,1)</f>
        <v/>
      </c>
      <c r="N229">
        <f>MID($D229,2,1)</f>
        <v/>
      </c>
      <c r="O229">
        <f>MID($D229,3,1)</f>
        <v/>
      </c>
      <c r="P229">
        <f>MID($D229,4,1)</f>
        <v/>
      </c>
      <c r="Q229">
        <f>MID($D229,5,1)</f>
        <v/>
      </c>
      <c r="R229">
        <f>MID($D229,6,1)</f>
        <v/>
      </c>
      <c r="S229">
        <f>MID($D229,7,1)</f>
        <v/>
      </c>
      <c r="T229">
        <f>MID($D229,8,1)</f>
        <v/>
      </c>
      <c r="U229">
        <f>MID($D229,9,1)</f>
        <v/>
      </c>
      <c r="V229">
        <f>MID($D229,10,1)</f>
        <v/>
      </c>
      <c r="W229">
        <f>MID($E229,1,1)</f>
        <v/>
      </c>
      <c r="X229">
        <f>MID($E229,2,1)</f>
        <v/>
      </c>
      <c r="Y229">
        <f>MID($E229,3,1)</f>
        <v/>
      </c>
      <c r="Z229">
        <f>MID($E229,4,1)</f>
        <v/>
      </c>
      <c r="AA229">
        <f>MID($E229,5,1)</f>
        <v/>
      </c>
      <c r="AB229">
        <f>MID($E229,6,1)</f>
        <v/>
      </c>
      <c r="AC229">
        <f>MID($E229,7,1)</f>
        <v/>
      </c>
      <c r="AD229">
        <f>MID($E229,8,1)</f>
        <v/>
      </c>
      <c r="AE229">
        <f>MID($E229,9,1)</f>
        <v/>
      </c>
      <c r="AF229">
        <f>MID($E229,10,1)</f>
        <v/>
      </c>
    </row>
    <row r="230">
      <c r="A230" s="4" t="inlineStr">
        <is>
          <t>DN229</t>
        </is>
      </c>
      <c r="B230" s="4" t="n">
        <v>3</v>
      </c>
      <c r="C230" s="4" t="n">
        <v>5</v>
      </c>
      <c r="D230" s="5" t="inlineStr">
        <is>
          <t>CGGCACAGAT</t>
        </is>
      </c>
      <c r="E230" s="5" t="inlineStr">
        <is>
          <t>GAATAGGAGT</t>
        </is>
      </c>
      <c r="F230" s="4">
        <f>LEN(SUBSTITUTE(SUBSTITUTE(D230,"A",""),"T",""))</f>
        <v/>
      </c>
      <c r="G230" s="4">
        <f>LEN(SUBSTITUTE(SUBSTITUTE(E230,"A",""),"T",""))</f>
        <v/>
      </c>
      <c r="H230" s="4" t="n">
        <v>-3.37</v>
      </c>
      <c r="I230" s="4" t="n">
        <v>-2.89</v>
      </c>
      <c r="J230" s="4" t="n">
        <v>-3.14</v>
      </c>
      <c r="K230" s="4" t="n">
        <v>-1.71</v>
      </c>
      <c r="M230">
        <f>MID($D230,1,1)</f>
        <v/>
      </c>
      <c r="N230">
        <f>MID($D230,2,1)</f>
        <v/>
      </c>
      <c r="O230">
        <f>MID($D230,3,1)</f>
        <v/>
      </c>
      <c r="P230">
        <f>MID($D230,4,1)</f>
        <v/>
      </c>
      <c r="Q230">
        <f>MID($D230,5,1)</f>
        <v/>
      </c>
      <c r="R230">
        <f>MID($D230,6,1)</f>
        <v/>
      </c>
      <c r="S230">
        <f>MID($D230,7,1)</f>
        <v/>
      </c>
      <c r="T230">
        <f>MID($D230,8,1)</f>
        <v/>
      </c>
      <c r="U230">
        <f>MID($D230,9,1)</f>
        <v/>
      </c>
      <c r="V230">
        <f>MID($D230,10,1)</f>
        <v/>
      </c>
      <c r="W230">
        <f>MID($E230,1,1)</f>
        <v/>
      </c>
      <c r="X230">
        <f>MID($E230,2,1)</f>
        <v/>
      </c>
      <c r="Y230">
        <f>MID($E230,3,1)</f>
        <v/>
      </c>
      <c r="Z230">
        <f>MID($E230,4,1)</f>
        <v/>
      </c>
      <c r="AA230">
        <f>MID($E230,5,1)</f>
        <v/>
      </c>
      <c r="AB230">
        <f>MID($E230,6,1)</f>
        <v/>
      </c>
      <c r="AC230">
        <f>MID($E230,7,1)</f>
        <v/>
      </c>
      <c r="AD230">
        <f>MID($E230,8,1)</f>
        <v/>
      </c>
      <c r="AE230">
        <f>MID($E230,9,1)</f>
        <v/>
      </c>
      <c r="AF230">
        <f>MID($E230,10,1)</f>
        <v/>
      </c>
    </row>
    <row r="231">
      <c r="A231" s="4" t="inlineStr">
        <is>
          <t>DN230</t>
        </is>
      </c>
      <c r="B231" s="4" t="n">
        <v>3</v>
      </c>
      <c r="C231" s="4" t="n">
        <v>5</v>
      </c>
      <c r="D231" s="5" t="inlineStr">
        <is>
          <t>GCCTCATCCT</t>
        </is>
      </c>
      <c r="E231" s="5" t="inlineStr">
        <is>
          <t>AGGAGTGTGA</t>
        </is>
      </c>
      <c r="F231" s="4">
        <f>LEN(SUBSTITUTE(SUBSTITUTE(D231,"A",""),"T",""))</f>
        <v/>
      </c>
      <c r="G231" s="4">
        <f>LEN(SUBSTITUTE(SUBSTITUTE(E231,"A",""),"T",""))</f>
        <v/>
      </c>
      <c r="H231" s="4" t="n">
        <v>-2.7</v>
      </c>
      <c r="I231" s="4" t="n">
        <v>-2.7</v>
      </c>
      <c r="J231" s="4" t="n">
        <v>-3.6</v>
      </c>
      <c r="K231" s="4" t="n">
        <v>-2.87</v>
      </c>
      <c r="M231">
        <f>MID($D231,1,1)</f>
        <v/>
      </c>
      <c r="N231">
        <f>MID($D231,2,1)</f>
        <v/>
      </c>
      <c r="O231">
        <f>MID($D231,3,1)</f>
        <v/>
      </c>
      <c r="P231">
        <f>MID($D231,4,1)</f>
        <v/>
      </c>
      <c r="Q231">
        <f>MID($D231,5,1)</f>
        <v/>
      </c>
      <c r="R231">
        <f>MID($D231,6,1)</f>
        <v/>
      </c>
      <c r="S231">
        <f>MID($D231,7,1)</f>
        <v/>
      </c>
      <c r="T231">
        <f>MID($D231,8,1)</f>
        <v/>
      </c>
      <c r="U231">
        <f>MID($D231,9,1)</f>
        <v/>
      </c>
      <c r="V231">
        <f>MID($D231,10,1)</f>
        <v/>
      </c>
      <c r="W231">
        <f>MID($E231,1,1)</f>
        <v/>
      </c>
      <c r="X231">
        <f>MID($E231,2,1)</f>
        <v/>
      </c>
      <c r="Y231">
        <f>MID($E231,3,1)</f>
        <v/>
      </c>
      <c r="Z231">
        <f>MID($E231,4,1)</f>
        <v/>
      </c>
      <c r="AA231">
        <f>MID($E231,5,1)</f>
        <v/>
      </c>
      <c r="AB231">
        <f>MID($E231,6,1)</f>
        <v/>
      </c>
      <c r="AC231">
        <f>MID($E231,7,1)</f>
        <v/>
      </c>
      <c r="AD231">
        <f>MID($E231,8,1)</f>
        <v/>
      </c>
      <c r="AE231">
        <f>MID($E231,9,1)</f>
        <v/>
      </c>
      <c r="AF231">
        <f>MID($E231,10,1)</f>
        <v/>
      </c>
    </row>
    <row r="232">
      <c r="A232" s="4" t="inlineStr">
        <is>
          <t>DN231</t>
        </is>
      </c>
      <c r="B232" s="4" t="n">
        <v>3</v>
      </c>
      <c r="C232" s="4" t="n">
        <v>5</v>
      </c>
      <c r="D232" s="5" t="inlineStr">
        <is>
          <t>ATGGCCTTCC</t>
        </is>
      </c>
      <c r="E232" s="5" t="inlineStr">
        <is>
          <t>ACCACAACAA</t>
        </is>
      </c>
      <c r="F232" s="4">
        <f>LEN(SUBSTITUTE(SUBSTITUTE(D232,"A",""),"T",""))</f>
        <v/>
      </c>
      <c r="G232" s="4">
        <f>LEN(SUBSTITUTE(SUBSTITUTE(E232,"A",""),"T",""))</f>
        <v/>
      </c>
      <c r="H232" s="4" t="n">
        <v>-3.83</v>
      </c>
      <c r="I232" s="4" t="n">
        <v>-2.46</v>
      </c>
      <c r="J232" s="4" t="n">
        <v>-1.4</v>
      </c>
      <c r="K232" s="4" t="n">
        <v>-0.99</v>
      </c>
      <c r="M232">
        <f>MID($D232,1,1)</f>
        <v/>
      </c>
      <c r="N232">
        <f>MID($D232,2,1)</f>
        <v/>
      </c>
      <c r="O232">
        <f>MID($D232,3,1)</f>
        <v/>
      </c>
      <c r="P232">
        <f>MID($D232,4,1)</f>
        <v/>
      </c>
      <c r="Q232">
        <f>MID($D232,5,1)</f>
        <v/>
      </c>
      <c r="R232">
        <f>MID($D232,6,1)</f>
        <v/>
      </c>
      <c r="S232">
        <f>MID($D232,7,1)</f>
        <v/>
      </c>
      <c r="T232">
        <f>MID($D232,8,1)</f>
        <v/>
      </c>
      <c r="U232">
        <f>MID($D232,9,1)</f>
        <v/>
      </c>
      <c r="V232">
        <f>MID($D232,10,1)</f>
        <v/>
      </c>
      <c r="W232">
        <f>MID($E232,1,1)</f>
        <v/>
      </c>
      <c r="X232">
        <f>MID($E232,2,1)</f>
        <v/>
      </c>
      <c r="Y232">
        <f>MID($E232,3,1)</f>
        <v/>
      </c>
      <c r="Z232">
        <f>MID($E232,4,1)</f>
        <v/>
      </c>
      <c r="AA232">
        <f>MID($E232,5,1)</f>
        <v/>
      </c>
      <c r="AB232">
        <f>MID($E232,6,1)</f>
        <v/>
      </c>
      <c r="AC232">
        <f>MID($E232,7,1)</f>
        <v/>
      </c>
      <c r="AD232">
        <f>MID($E232,8,1)</f>
        <v/>
      </c>
      <c r="AE232">
        <f>MID($E232,9,1)</f>
        <v/>
      </c>
      <c r="AF232">
        <f>MID($E232,10,1)</f>
        <v/>
      </c>
    </row>
    <row r="233">
      <c r="A233" s="4" t="inlineStr">
        <is>
          <t>DN232</t>
        </is>
      </c>
      <c r="B233" s="4" t="n">
        <v>3</v>
      </c>
      <c r="C233" s="4" t="n">
        <v>5</v>
      </c>
      <c r="D233" s="5" t="inlineStr">
        <is>
          <t>GCACCGTCAA</t>
        </is>
      </c>
      <c r="E233" s="5" t="inlineStr">
        <is>
          <t>GCCAAGTCCA</t>
        </is>
      </c>
      <c r="F233" s="4">
        <f>LEN(SUBSTITUTE(SUBSTITUTE(D233,"A",""),"T",""))</f>
        <v/>
      </c>
      <c r="G233" s="4">
        <f>LEN(SUBSTITUTE(SUBSTITUTE(E233,"A",""),"T",""))</f>
        <v/>
      </c>
      <c r="H233" s="4" t="n">
        <v>-3.13</v>
      </c>
      <c r="I233" s="4" t="n">
        <v>-0.63</v>
      </c>
      <c r="J233" s="4" t="n">
        <v>-2.69</v>
      </c>
      <c r="K233" s="4" t="n">
        <v>-1.49</v>
      </c>
      <c r="M233">
        <f>MID($D233,1,1)</f>
        <v/>
      </c>
      <c r="N233">
        <f>MID($D233,2,1)</f>
        <v/>
      </c>
      <c r="O233">
        <f>MID($D233,3,1)</f>
        <v/>
      </c>
      <c r="P233">
        <f>MID($D233,4,1)</f>
        <v/>
      </c>
      <c r="Q233">
        <f>MID($D233,5,1)</f>
        <v/>
      </c>
      <c r="R233">
        <f>MID($D233,6,1)</f>
        <v/>
      </c>
      <c r="S233">
        <f>MID($D233,7,1)</f>
        <v/>
      </c>
      <c r="T233">
        <f>MID($D233,8,1)</f>
        <v/>
      </c>
      <c r="U233">
        <f>MID($D233,9,1)</f>
        <v/>
      </c>
      <c r="V233">
        <f>MID($D233,10,1)</f>
        <v/>
      </c>
      <c r="W233">
        <f>MID($E233,1,1)</f>
        <v/>
      </c>
      <c r="X233">
        <f>MID($E233,2,1)</f>
        <v/>
      </c>
      <c r="Y233">
        <f>MID($E233,3,1)</f>
        <v/>
      </c>
      <c r="Z233">
        <f>MID($E233,4,1)</f>
        <v/>
      </c>
      <c r="AA233">
        <f>MID($E233,5,1)</f>
        <v/>
      </c>
      <c r="AB233">
        <f>MID($E233,6,1)</f>
        <v/>
      </c>
      <c r="AC233">
        <f>MID($E233,7,1)</f>
        <v/>
      </c>
      <c r="AD233">
        <f>MID($E233,8,1)</f>
        <v/>
      </c>
      <c r="AE233">
        <f>MID($E233,9,1)</f>
        <v/>
      </c>
      <c r="AF233">
        <f>MID($E233,10,1)</f>
        <v/>
      </c>
    </row>
    <row r="234">
      <c r="A234" s="4" t="inlineStr">
        <is>
          <t>DN233</t>
        </is>
      </c>
      <c r="B234" s="4" t="n">
        <v>3</v>
      </c>
      <c r="C234" s="4" t="n">
        <v>5</v>
      </c>
      <c r="D234" s="5" t="inlineStr">
        <is>
          <t>TGTCGTCTCC</t>
        </is>
      </c>
      <c r="E234" s="5" t="inlineStr">
        <is>
          <t>GCCAGTAGGT</t>
        </is>
      </c>
      <c r="F234" s="4">
        <f>LEN(SUBSTITUTE(SUBSTITUTE(D234,"A",""),"T",""))</f>
        <v/>
      </c>
      <c r="G234" s="4">
        <f>LEN(SUBSTITUTE(SUBSTITUTE(E234,"A",""),"T",""))</f>
        <v/>
      </c>
      <c r="H234" s="4" t="n">
        <v>-3.02</v>
      </c>
      <c r="I234" s="4" t="n">
        <v>-2.25</v>
      </c>
      <c r="J234" s="4" t="n">
        <v>-3.29</v>
      </c>
      <c r="K234" s="4" t="n">
        <v>-1.31</v>
      </c>
      <c r="M234">
        <f>MID($D234,1,1)</f>
        <v/>
      </c>
      <c r="N234">
        <f>MID($D234,2,1)</f>
        <v/>
      </c>
      <c r="O234">
        <f>MID($D234,3,1)</f>
        <v/>
      </c>
      <c r="P234">
        <f>MID($D234,4,1)</f>
        <v/>
      </c>
      <c r="Q234">
        <f>MID($D234,5,1)</f>
        <v/>
      </c>
      <c r="R234">
        <f>MID($D234,6,1)</f>
        <v/>
      </c>
      <c r="S234">
        <f>MID($D234,7,1)</f>
        <v/>
      </c>
      <c r="T234">
        <f>MID($D234,8,1)</f>
        <v/>
      </c>
      <c r="U234">
        <f>MID($D234,9,1)</f>
        <v/>
      </c>
      <c r="V234">
        <f>MID($D234,10,1)</f>
        <v/>
      </c>
      <c r="W234">
        <f>MID($E234,1,1)</f>
        <v/>
      </c>
      <c r="X234">
        <f>MID($E234,2,1)</f>
        <v/>
      </c>
      <c r="Y234">
        <f>MID($E234,3,1)</f>
        <v/>
      </c>
      <c r="Z234">
        <f>MID($E234,4,1)</f>
        <v/>
      </c>
      <c r="AA234">
        <f>MID($E234,5,1)</f>
        <v/>
      </c>
      <c r="AB234">
        <f>MID($E234,6,1)</f>
        <v/>
      </c>
      <c r="AC234">
        <f>MID($E234,7,1)</f>
        <v/>
      </c>
      <c r="AD234">
        <f>MID($E234,8,1)</f>
        <v/>
      </c>
      <c r="AE234">
        <f>MID($E234,9,1)</f>
        <v/>
      </c>
      <c r="AF234">
        <f>MID($E234,10,1)</f>
        <v/>
      </c>
    </row>
    <row r="235">
      <c r="A235" s="4" t="inlineStr">
        <is>
          <t>DN234</t>
        </is>
      </c>
      <c r="B235" s="4" t="n">
        <v>3</v>
      </c>
      <c r="C235" s="4" t="n">
        <v>5</v>
      </c>
      <c r="D235" s="5" t="inlineStr">
        <is>
          <t>GATCCTGCTG</t>
        </is>
      </c>
      <c r="E235" s="5" t="inlineStr">
        <is>
          <t>GCTTGCGATA</t>
        </is>
      </c>
      <c r="F235" s="4">
        <f>LEN(SUBSTITUTE(SUBSTITUTE(D235,"A",""),"T",""))</f>
        <v/>
      </c>
      <c r="G235" s="4">
        <f>LEN(SUBSTITUTE(SUBSTITUTE(E235,"A",""),"T",""))</f>
        <v/>
      </c>
      <c r="H235" s="4" t="n">
        <v>-2.96</v>
      </c>
      <c r="I235" s="4" t="n">
        <v>-0.99</v>
      </c>
      <c r="J235" s="4" t="n">
        <v>-3.18</v>
      </c>
      <c r="K235" s="4" t="n">
        <v>-1.23</v>
      </c>
      <c r="M235">
        <f>MID($D235,1,1)</f>
        <v/>
      </c>
      <c r="N235">
        <f>MID($D235,2,1)</f>
        <v/>
      </c>
      <c r="O235">
        <f>MID($D235,3,1)</f>
        <v/>
      </c>
      <c r="P235">
        <f>MID($D235,4,1)</f>
        <v/>
      </c>
      <c r="Q235">
        <f>MID($D235,5,1)</f>
        <v/>
      </c>
      <c r="R235">
        <f>MID($D235,6,1)</f>
        <v/>
      </c>
      <c r="S235">
        <f>MID($D235,7,1)</f>
        <v/>
      </c>
      <c r="T235">
        <f>MID($D235,8,1)</f>
        <v/>
      </c>
      <c r="U235">
        <f>MID($D235,9,1)</f>
        <v/>
      </c>
      <c r="V235">
        <f>MID($D235,10,1)</f>
        <v/>
      </c>
      <c r="W235">
        <f>MID($E235,1,1)</f>
        <v/>
      </c>
      <c r="X235">
        <f>MID($E235,2,1)</f>
        <v/>
      </c>
      <c r="Y235">
        <f>MID($E235,3,1)</f>
        <v/>
      </c>
      <c r="Z235">
        <f>MID($E235,4,1)</f>
        <v/>
      </c>
      <c r="AA235">
        <f>MID($E235,5,1)</f>
        <v/>
      </c>
      <c r="AB235">
        <f>MID($E235,6,1)</f>
        <v/>
      </c>
      <c r="AC235">
        <f>MID($E235,7,1)</f>
        <v/>
      </c>
      <c r="AD235">
        <f>MID($E235,8,1)</f>
        <v/>
      </c>
      <c r="AE235">
        <f>MID($E235,9,1)</f>
        <v/>
      </c>
      <c r="AF235">
        <f>MID($E235,10,1)</f>
        <v/>
      </c>
    </row>
    <row r="236">
      <c r="A236" s="4" t="inlineStr">
        <is>
          <t>DN235</t>
        </is>
      </c>
      <c r="B236" s="4" t="n">
        <v>3</v>
      </c>
      <c r="C236" s="4" t="n">
        <v>5</v>
      </c>
      <c r="D236" s="5" t="inlineStr">
        <is>
          <t>AGCTGGTATT</t>
        </is>
      </c>
      <c r="E236" s="5" t="inlineStr">
        <is>
          <t>ACCGAATTAG</t>
        </is>
      </c>
      <c r="F236" s="4">
        <f>LEN(SUBSTITUTE(SUBSTITUTE(D236,"A",""),"T",""))</f>
        <v/>
      </c>
      <c r="G236" s="4">
        <f>LEN(SUBSTITUTE(SUBSTITUTE(E236,"A",""),"T",""))</f>
        <v/>
      </c>
      <c r="H236" s="4" t="n">
        <v>-3.81</v>
      </c>
      <c r="I236" s="4" t="n">
        <v>-1.66</v>
      </c>
      <c r="J236" s="4" t="n">
        <v>-3.43</v>
      </c>
      <c r="K236" s="4" t="n">
        <v>-0.79</v>
      </c>
      <c r="M236">
        <f>MID($D236,1,1)</f>
        <v/>
      </c>
      <c r="N236">
        <f>MID($D236,2,1)</f>
        <v/>
      </c>
      <c r="O236">
        <f>MID($D236,3,1)</f>
        <v/>
      </c>
      <c r="P236">
        <f>MID($D236,4,1)</f>
        <v/>
      </c>
      <c r="Q236">
        <f>MID($D236,5,1)</f>
        <v/>
      </c>
      <c r="R236">
        <f>MID($D236,6,1)</f>
        <v/>
      </c>
      <c r="S236">
        <f>MID($D236,7,1)</f>
        <v/>
      </c>
      <c r="T236">
        <f>MID($D236,8,1)</f>
        <v/>
      </c>
      <c r="U236">
        <f>MID($D236,9,1)</f>
        <v/>
      </c>
      <c r="V236">
        <f>MID($D236,10,1)</f>
        <v/>
      </c>
      <c r="W236">
        <f>MID($E236,1,1)</f>
        <v/>
      </c>
      <c r="X236">
        <f>MID($E236,2,1)</f>
        <v/>
      </c>
      <c r="Y236">
        <f>MID($E236,3,1)</f>
        <v/>
      </c>
      <c r="Z236">
        <f>MID($E236,4,1)</f>
        <v/>
      </c>
      <c r="AA236">
        <f>MID($E236,5,1)</f>
        <v/>
      </c>
      <c r="AB236">
        <f>MID($E236,6,1)</f>
        <v/>
      </c>
      <c r="AC236">
        <f>MID($E236,7,1)</f>
        <v/>
      </c>
      <c r="AD236">
        <f>MID($E236,8,1)</f>
        <v/>
      </c>
      <c r="AE236">
        <f>MID($E236,9,1)</f>
        <v/>
      </c>
      <c r="AF236">
        <f>MID($E236,10,1)</f>
        <v/>
      </c>
    </row>
    <row r="237">
      <c r="A237" s="4" t="inlineStr">
        <is>
          <t>DN236</t>
        </is>
      </c>
      <c r="B237" s="4" t="n">
        <v>3</v>
      </c>
      <c r="C237" s="4" t="n">
        <v>5</v>
      </c>
      <c r="D237" s="5" t="inlineStr">
        <is>
          <t>GCCATAACCG</t>
        </is>
      </c>
      <c r="E237" s="5" t="inlineStr">
        <is>
          <t>TTAGAGAAGG</t>
        </is>
      </c>
      <c r="F237" s="4">
        <f>LEN(SUBSTITUTE(SUBSTITUTE(D237,"A",""),"T",""))</f>
        <v/>
      </c>
      <c r="G237" s="4">
        <f>LEN(SUBSTITUTE(SUBSTITUTE(E237,"A",""),"T",""))</f>
        <v/>
      </c>
      <c r="H237" s="4" t="n">
        <v>-2.62</v>
      </c>
      <c r="I237" s="4" t="n">
        <v>0.02</v>
      </c>
      <c r="J237" s="4" t="n">
        <v>-2.27</v>
      </c>
      <c r="K237" s="4" t="n">
        <v>-1.06</v>
      </c>
      <c r="M237">
        <f>MID($D237,1,1)</f>
        <v/>
      </c>
      <c r="N237">
        <f>MID($D237,2,1)</f>
        <v/>
      </c>
      <c r="O237">
        <f>MID($D237,3,1)</f>
        <v/>
      </c>
      <c r="P237">
        <f>MID($D237,4,1)</f>
        <v/>
      </c>
      <c r="Q237">
        <f>MID($D237,5,1)</f>
        <v/>
      </c>
      <c r="R237">
        <f>MID($D237,6,1)</f>
        <v/>
      </c>
      <c r="S237">
        <f>MID($D237,7,1)</f>
        <v/>
      </c>
      <c r="T237">
        <f>MID($D237,8,1)</f>
        <v/>
      </c>
      <c r="U237">
        <f>MID($D237,9,1)</f>
        <v/>
      </c>
      <c r="V237">
        <f>MID($D237,10,1)</f>
        <v/>
      </c>
      <c r="W237">
        <f>MID($E237,1,1)</f>
        <v/>
      </c>
      <c r="X237">
        <f>MID($E237,2,1)</f>
        <v/>
      </c>
      <c r="Y237">
        <f>MID($E237,3,1)</f>
        <v/>
      </c>
      <c r="Z237">
        <f>MID($E237,4,1)</f>
        <v/>
      </c>
      <c r="AA237">
        <f>MID($E237,5,1)</f>
        <v/>
      </c>
      <c r="AB237">
        <f>MID($E237,6,1)</f>
        <v/>
      </c>
      <c r="AC237">
        <f>MID($E237,7,1)</f>
        <v/>
      </c>
      <c r="AD237">
        <f>MID($E237,8,1)</f>
        <v/>
      </c>
      <c r="AE237">
        <f>MID($E237,9,1)</f>
        <v/>
      </c>
      <c r="AF237">
        <f>MID($E237,10,1)</f>
        <v/>
      </c>
    </row>
    <row r="238">
      <c r="A238" s="4" t="inlineStr">
        <is>
          <t>DN237</t>
        </is>
      </c>
      <c r="B238" s="4" t="n">
        <v>3</v>
      </c>
      <c r="C238" s="4" t="n">
        <v>5</v>
      </c>
      <c r="D238" s="5" t="inlineStr">
        <is>
          <t>CGGTATCGTC</t>
        </is>
      </c>
      <c r="E238" s="5" t="inlineStr">
        <is>
          <t>TTGCATGTGG</t>
        </is>
      </c>
      <c r="F238" s="4">
        <f>LEN(SUBSTITUTE(SUBSTITUTE(D238,"A",""),"T",""))</f>
        <v/>
      </c>
      <c r="G238" s="4">
        <f>LEN(SUBSTITUTE(SUBSTITUTE(E238,"A",""),"T",""))</f>
        <v/>
      </c>
      <c r="H238" s="4" t="n">
        <v>-2.29</v>
      </c>
      <c r="I238" s="4" t="n">
        <v>-1.06</v>
      </c>
      <c r="J238" s="4" t="n">
        <v>-4.26</v>
      </c>
      <c r="K238" s="4" t="n">
        <v>-0.9</v>
      </c>
      <c r="M238">
        <f>MID($D238,1,1)</f>
        <v/>
      </c>
      <c r="N238">
        <f>MID($D238,2,1)</f>
        <v/>
      </c>
      <c r="O238">
        <f>MID($D238,3,1)</f>
        <v/>
      </c>
      <c r="P238">
        <f>MID($D238,4,1)</f>
        <v/>
      </c>
      <c r="Q238">
        <f>MID($D238,5,1)</f>
        <v/>
      </c>
      <c r="R238">
        <f>MID($D238,6,1)</f>
        <v/>
      </c>
      <c r="S238">
        <f>MID($D238,7,1)</f>
        <v/>
      </c>
      <c r="T238">
        <f>MID($D238,8,1)</f>
        <v/>
      </c>
      <c r="U238">
        <f>MID($D238,9,1)</f>
        <v/>
      </c>
      <c r="V238">
        <f>MID($D238,10,1)</f>
        <v/>
      </c>
      <c r="W238">
        <f>MID($E238,1,1)</f>
        <v/>
      </c>
      <c r="X238">
        <f>MID($E238,2,1)</f>
        <v/>
      </c>
      <c r="Y238">
        <f>MID($E238,3,1)</f>
        <v/>
      </c>
      <c r="Z238">
        <f>MID($E238,4,1)</f>
        <v/>
      </c>
      <c r="AA238">
        <f>MID($E238,5,1)</f>
        <v/>
      </c>
      <c r="AB238">
        <f>MID($E238,6,1)</f>
        <v/>
      </c>
      <c r="AC238">
        <f>MID($E238,7,1)</f>
        <v/>
      </c>
      <c r="AD238">
        <f>MID($E238,8,1)</f>
        <v/>
      </c>
      <c r="AE238">
        <f>MID($E238,9,1)</f>
        <v/>
      </c>
      <c r="AF238">
        <f>MID($E238,10,1)</f>
        <v/>
      </c>
    </row>
    <row r="239">
      <c r="A239" s="4" t="inlineStr">
        <is>
          <t>DN238</t>
        </is>
      </c>
      <c r="B239" s="4" t="n">
        <v>3</v>
      </c>
      <c r="C239" s="4" t="n">
        <v>5</v>
      </c>
      <c r="D239" s="5" t="inlineStr">
        <is>
          <t>CATGCGTGGT</t>
        </is>
      </c>
      <c r="E239" s="5" t="inlineStr">
        <is>
          <t>AACCACAGCC</t>
        </is>
      </c>
      <c r="F239" s="4">
        <f>LEN(SUBSTITUTE(SUBSTITUTE(D239,"A",""),"T",""))</f>
        <v/>
      </c>
      <c r="G239" s="4">
        <f>LEN(SUBSTITUTE(SUBSTITUTE(E239,"A",""),"T",""))</f>
        <v/>
      </c>
      <c r="H239" s="4" t="n">
        <v>-3.74</v>
      </c>
      <c r="I239" s="4" t="n">
        <v>-0.62</v>
      </c>
      <c r="J239" s="4" t="n">
        <v>-3.21</v>
      </c>
      <c r="K239" s="4" t="n">
        <v>-1.74</v>
      </c>
      <c r="M239">
        <f>MID($D239,1,1)</f>
        <v/>
      </c>
      <c r="N239">
        <f>MID($D239,2,1)</f>
        <v/>
      </c>
      <c r="O239">
        <f>MID($D239,3,1)</f>
        <v/>
      </c>
      <c r="P239">
        <f>MID($D239,4,1)</f>
        <v/>
      </c>
      <c r="Q239">
        <f>MID($D239,5,1)</f>
        <v/>
      </c>
      <c r="R239">
        <f>MID($D239,6,1)</f>
        <v/>
      </c>
      <c r="S239">
        <f>MID($D239,7,1)</f>
        <v/>
      </c>
      <c r="T239">
        <f>MID($D239,8,1)</f>
        <v/>
      </c>
      <c r="U239">
        <f>MID($D239,9,1)</f>
        <v/>
      </c>
      <c r="V239">
        <f>MID($D239,10,1)</f>
        <v/>
      </c>
      <c r="W239">
        <f>MID($E239,1,1)</f>
        <v/>
      </c>
      <c r="X239">
        <f>MID($E239,2,1)</f>
        <v/>
      </c>
      <c r="Y239">
        <f>MID($E239,3,1)</f>
        <v/>
      </c>
      <c r="Z239">
        <f>MID($E239,4,1)</f>
        <v/>
      </c>
      <c r="AA239">
        <f>MID($E239,5,1)</f>
        <v/>
      </c>
      <c r="AB239">
        <f>MID($E239,6,1)</f>
        <v/>
      </c>
      <c r="AC239">
        <f>MID($E239,7,1)</f>
        <v/>
      </c>
      <c r="AD239">
        <f>MID($E239,8,1)</f>
        <v/>
      </c>
      <c r="AE239">
        <f>MID($E239,9,1)</f>
        <v/>
      </c>
      <c r="AF239">
        <f>MID($E239,10,1)</f>
        <v/>
      </c>
    </row>
    <row r="240">
      <c r="A240" s="4" t="inlineStr">
        <is>
          <t>DN239</t>
        </is>
      </c>
      <c r="B240" s="4" t="n">
        <v>3</v>
      </c>
      <c r="C240" s="4" t="n">
        <v>5</v>
      </c>
      <c r="D240" s="5" t="inlineStr">
        <is>
          <t>ACTCATGGAA</t>
        </is>
      </c>
      <c r="E240" s="5" t="inlineStr">
        <is>
          <t>CGGTAGTCAG</t>
        </is>
      </c>
      <c r="F240" s="4">
        <f>LEN(SUBSTITUTE(SUBSTITUTE(D240,"A",""),"T",""))</f>
        <v/>
      </c>
      <c r="G240" s="4">
        <f>LEN(SUBSTITUTE(SUBSTITUTE(E240,"A",""),"T",""))</f>
        <v/>
      </c>
      <c r="H240" s="4" t="n">
        <v>-3.2</v>
      </c>
      <c r="I240" s="4" t="n">
        <v>-1.67</v>
      </c>
      <c r="J240" s="4" t="n">
        <v>-3.01</v>
      </c>
      <c r="K240" s="4" t="n">
        <v>-1.12</v>
      </c>
      <c r="M240">
        <f>MID($D240,1,1)</f>
        <v/>
      </c>
      <c r="N240">
        <f>MID($D240,2,1)</f>
        <v/>
      </c>
      <c r="O240">
        <f>MID($D240,3,1)</f>
        <v/>
      </c>
      <c r="P240">
        <f>MID($D240,4,1)</f>
        <v/>
      </c>
      <c r="Q240">
        <f>MID($D240,5,1)</f>
        <v/>
      </c>
      <c r="R240">
        <f>MID($D240,6,1)</f>
        <v/>
      </c>
      <c r="S240">
        <f>MID($D240,7,1)</f>
        <v/>
      </c>
      <c r="T240">
        <f>MID($D240,8,1)</f>
        <v/>
      </c>
      <c r="U240">
        <f>MID($D240,9,1)</f>
        <v/>
      </c>
      <c r="V240">
        <f>MID($D240,10,1)</f>
        <v/>
      </c>
      <c r="W240">
        <f>MID($E240,1,1)</f>
        <v/>
      </c>
      <c r="X240">
        <f>MID($E240,2,1)</f>
        <v/>
      </c>
      <c r="Y240">
        <f>MID($E240,3,1)</f>
        <v/>
      </c>
      <c r="Z240">
        <f>MID($E240,4,1)</f>
        <v/>
      </c>
      <c r="AA240">
        <f>MID($E240,5,1)</f>
        <v/>
      </c>
      <c r="AB240">
        <f>MID($E240,6,1)</f>
        <v/>
      </c>
      <c r="AC240">
        <f>MID($E240,7,1)</f>
        <v/>
      </c>
      <c r="AD240">
        <f>MID($E240,8,1)</f>
        <v/>
      </c>
      <c r="AE240">
        <f>MID($E240,9,1)</f>
        <v/>
      </c>
      <c r="AF240">
        <f>MID($E240,10,1)</f>
        <v/>
      </c>
    </row>
    <row r="241">
      <c r="A241" s="4" t="inlineStr">
        <is>
          <t>DN240</t>
        </is>
      </c>
      <c r="B241" s="4" t="n">
        <v>3</v>
      </c>
      <c r="C241" s="4" t="n">
        <v>5</v>
      </c>
      <c r="D241" s="5" t="inlineStr">
        <is>
          <t>ACTGTGATGT</t>
        </is>
      </c>
      <c r="E241" s="5" t="inlineStr">
        <is>
          <t>TATCCGCGTA</t>
        </is>
      </c>
      <c r="F241" s="4">
        <f>LEN(SUBSTITUTE(SUBSTITUTE(D241,"A",""),"T",""))</f>
        <v/>
      </c>
      <c r="G241" s="4">
        <f>LEN(SUBSTITUTE(SUBSTITUTE(E241,"A",""),"T",""))</f>
        <v/>
      </c>
      <c r="H241" s="4" t="n">
        <v>-3.67</v>
      </c>
      <c r="I241" s="4" t="n">
        <v>-1.27</v>
      </c>
      <c r="J241" s="4" t="n">
        <v>-4.58</v>
      </c>
      <c r="K241" s="4" t="n">
        <v>-0.29</v>
      </c>
      <c r="M241">
        <f>MID($D241,1,1)</f>
        <v/>
      </c>
      <c r="N241">
        <f>MID($D241,2,1)</f>
        <v/>
      </c>
      <c r="O241">
        <f>MID($D241,3,1)</f>
        <v/>
      </c>
      <c r="P241">
        <f>MID($D241,4,1)</f>
        <v/>
      </c>
      <c r="Q241">
        <f>MID($D241,5,1)</f>
        <v/>
      </c>
      <c r="R241">
        <f>MID($D241,6,1)</f>
        <v/>
      </c>
      <c r="S241">
        <f>MID($D241,7,1)</f>
        <v/>
      </c>
      <c r="T241">
        <f>MID($D241,8,1)</f>
        <v/>
      </c>
      <c r="U241">
        <f>MID($D241,9,1)</f>
        <v/>
      </c>
      <c r="V241">
        <f>MID($D241,10,1)</f>
        <v/>
      </c>
      <c r="W241">
        <f>MID($E241,1,1)</f>
        <v/>
      </c>
      <c r="X241">
        <f>MID($E241,2,1)</f>
        <v/>
      </c>
      <c r="Y241">
        <f>MID($E241,3,1)</f>
        <v/>
      </c>
      <c r="Z241">
        <f>MID($E241,4,1)</f>
        <v/>
      </c>
      <c r="AA241">
        <f>MID($E241,5,1)</f>
        <v/>
      </c>
      <c r="AB241">
        <f>MID($E241,6,1)</f>
        <v/>
      </c>
      <c r="AC241">
        <f>MID($E241,7,1)</f>
        <v/>
      </c>
      <c r="AD241">
        <f>MID($E241,8,1)</f>
        <v/>
      </c>
      <c r="AE241">
        <f>MID($E241,9,1)</f>
        <v/>
      </c>
      <c r="AF241">
        <f>MID($E241,10,1)</f>
        <v/>
      </c>
    </row>
    <row r="242">
      <c r="A242" s="4" t="inlineStr">
        <is>
          <t>DN241</t>
        </is>
      </c>
      <c r="B242" s="4" t="n">
        <v>3</v>
      </c>
      <c r="C242" s="4" t="n">
        <v>6</v>
      </c>
      <c r="D242" s="5" t="inlineStr">
        <is>
          <t>GTGCGACTTG</t>
        </is>
      </c>
      <c r="E242" s="5" t="inlineStr">
        <is>
          <t>CTGCTGCAAC</t>
        </is>
      </c>
      <c r="F242" s="4">
        <f>LEN(SUBSTITUTE(SUBSTITUTE(D242,"A",""),"T",""))</f>
        <v/>
      </c>
      <c r="G242" s="4">
        <f>LEN(SUBSTITUTE(SUBSTITUTE(E242,"A",""),"T",""))</f>
        <v/>
      </c>
      <c r="H242" s="4" t="n">
        <v>-2.79</v>
      </c>
      <c r="I242" s="4" t="n">
        <v>-2.79</v>
      </c>
      <c r="J242" s="4" t="n">
        <v>-3.73</v>
      </c>
      <c r="K242" s="4" t="n">
        <v>-0.99</v>
      </c>
      <c r="M242">
        <f>MID($D242,1,1)</f>
        <v/>
      </c>
      <c r="N242">
        <f>MID($D242,2,1)</f>
        <v/>
      </c>
      <c r="O242">
        <f>MID($D242,3,1)</f>
        <v/>
      </c>
      <c r="P242">
        <f>MID($D242,4,1)</f>
        <v/>
      </c>
      <c r="Q242">
        <f>MID($D242,5,1)</f>
        <v/>
      </c>
      <c r="R242">
        <f>MID($D242,6,1)</f>
        <v/>
      </c>
      <c r="S242">
        <f>MID($D242,7,1)</f>
        <v/>
      </c>
      <c r="T242">
        <f>MID($D242,8,1)</f>
        <v/>
      </c>
      <c r="U242">
        <f>MID($D242,9,1)</f>
        <v/>
      </c>
      <c r="V242">
        <f>MID($D242,10,1)</f>
        <v/>
      </c>
      <c r="W242">
        <f>MID($E242,1,1)</f>
        <v/>
      </c>
      <c r="X242">
        <f>MID($E242,2,1)</f>
        <v/>
      </c>
      <c r="Y242">
        <f>MID($E242,3,1)</f>
        <v/>
      </c>
      <c r="Z242">
        <f>MID($E242,4,1)</f>
        <v/>
      </c>
      <c r="AA242">
        <f>MID($E242,5,1)</f>
        <v/>
      </c>
      <c r="AB242">
        <f>MID($E242,6,1)</f>
        <v/>
      </c>
      <c r="AC242">
        <f>MID($E242,7,1)</f>
        <v/>
      </c>
      <c r="AD242">
        <f>MID($E242,8,1)</f>
        <v/>
      </c>
      <c r="AE242">
        <f>MID($E242,9,1)</f>
        <v/>
      </c>
      <c r="AF242">
        <f>MID($E242,10,1)</f>
        <v/>
      </c>
    </row>
    <row r="243">
      <c r="A243" s="4" t="inlineStr">
        <is>
          <t>DN242</t>
        </is>
      </c>
      <c r="B243" s="4" t="n">
        <v>3</v>
      </c>
      <c r="C243" s="4" t="n">
        <v>6</v>
      </c>
      <c r="D243" s="5" t="inlineStr">
        <is>
          <t>GAACCGCCTT</t>
        </is>
      </c>
      <c r="E243" s="5" t="inlineStr">
        <is>
          <t>CTGGACTAAT</t>
        </is>
      </c>
      <c r="F243" s="4">
        <f>LEN(SUBSTITUTE(SUBSTITUTE(D243,"A",""),"T",""))</f>
        <v/>
      </c>
      <c r="G243" s="4">
        <f>LEN(SUBSTITUTE(SUBSTITUTE(E243,"A",""),"T",""))</f>
        <v/>
      </c>
      <c r="H243" s="4" t="n">
        <v>-3.57</v>
      </c>
      <c r="I243" s="4" t="n">
        <v>-1.82</v>
      </c>
      <c r="J243" s="4" t="n">
        <v>-2.36</v>
      </c>
      <c r="K243" s="4" t="n">
        <v>-2.36</v>
      </c>
      <c r="M243">
        <f>MID($D243,1,1)</f>
        <v/>
      </c>
      <c r="N243">
        <f>MID($D243,2,1)</f>
        <v/>
      </c>
      <c r="O243">
        <f>MID($D243,3,1)</f>
        <v/>
      </c>
      <c r="P243">
        <f>MID($D243,4,1)</f>
        <v/>
      </c>
      <c r="Q243">
        <f>MID($D243,5,1)</f>
        <v/>
      </c>
      <c r="R243">
        <f>MID($D243,6,1)</f>
        <v/>
      </c>
      <c r="S243">
        <f>MID($D243,7,1)</f>
        <v/>
      </c>
      <c r="T243">
        <f>MID($D243,8,1)</f>
        <v/>
      </c>
      <c r="U243">
        <f>MID($D243,9,1)</f>
        <v/>
      </c>
      <c r="V243">
        <f>MID($D243,10,1)</f>
        <v/>
      </c>
      <c r="W243">
        <f>MID($E243,1,1)</f>
        <v/>
      </c>
      <c r="X243">
        <f>MID($E243,2,1)</f>
        <v/>
      </c>
      <c r="Y243">
        <f>MID($E243,3,1)</f>
        <v/>
      </c>
      <c r="Z243">
        <f>MID($E243,4,1)</f>
        <v/>
      </c>
      <c r="AA243">
        <f>MID($E243,5,1)</f>
        <v/>
      </c>
      <c r="AB243">
        <f>MID($E243,6,1)</f>
        <v/>
      </c>
      <c r="AC243">
        <f>MID($E243,7,1)</f>
        <v/>
      </c>
      <c r="AD243">
        <f>MID($E243,8,1)</f>
        <v/>
      </c>
      <c r="AE243">
        <f>MID($E243,9,1)</f>
        <v/>
      </c>
      <c r="AF243">
        <f>MID($E243,10,1)</f>
        <v/>
      </c>
    </row>
    <row r="244">
      <c r="A244" s="4" t="inlineStr">
        <is>
          <t>DN243</t>
        </is>
      </c>
      <c r="B244" s="4" t="n">
        <v>3</v>
      </c>
      <c r="C244" s="4" t="n">
        <v>6</v>
      </c>
      <c r="D244" s="5" t="inlineStr">
        <is>
          <t>GCCAATCGTC</t>
        </is>
      </c>
      <c r="E244" s="5" t="inlineStr">
        <is>
          <t>CTCTCGCTGT</t>
        </is>
      </c>
      <c r="F244" s="4">
        <f>LEN(SUBSTITUTE(SUBSTITUTE(D244,"A",""),"T",""))</f>
        <v/>
      </c>
      <c r="G244" s="4">
        <f>LEN(SUBSTITUTE(SUBSTITUTE(E244,"A",""),"T",""))</f>
        <v/>
      </c>
      <c r="H244" s="4" t="n">
        <v>-2.29</v>
      </c>
      <c r="I244" s="4" t="n">
        <v>-0.16</v>
      </c>
      <c r="J244" s="4" t="n">
        <v>-3.03</v>
      </c>
      <c r="K244" s="4" t="n">
        <v>-0.72</v>
      </c>
      <c r="M244">
        <f>MID($D244,1,1)</f>
        <v/>
      </c>
      <c r="N244">
        <f>MID($D244,2,1)</f>
        <v/>
      </c>
      <c r="O244">
        <f>MID($D244,3,1)</f>
        <v/>
      </c>
      <c r="P244">
        <f>MID($D244,4,1)</f>
        <v/>
      </c>
      <c r="Q244">
        <f>MID($D244,5,1)</f>
        <v/>
      </c>
      <c r="R244">
        <f>MID($D244,6,1)</f>
        <v/>
      </c>
      <c r="S244">
        <f>MID($D244,7,1)</f>
        <v/>
      </c>
      <c r="T244">
        <f>MID($D244,8,1)</f>
        <v/>
      </c>
      <c r="U244">
        <f>MID($D244,9,1)</f>
        <v/>
      </c>
      <c r="V244">
        <f>MID($D244,10,1)</f>
        <v/>
      </c>
      <c r="W244">
        <f>MID($E244,1,1)</f>
        <v/>
      </c>
      <c r="X244">
        <f>MID($E244,2,1)</f>
        <v/>
      </c>
      <c r="Y244">
        <f>MID($E244,3,1)</f>
        <v/>
      </c>
      <c r="Z244">
        <f>MID($E244,4,1)</f>
        <v/>
      </c>
      <c r="AA244">
        <f>MID($E244,5,1)</f>
        <v/>
      </c>
      <c r="AB244">
        <f>MID($E244,6,1)</f>
        <v/>
      </c>
      <c r="AC244">
        <f>MID($E244,7,1)</f>
        <v/>
      </c>
      <c r="AD244">
        <f>MID($E244,8,1)</f>
        <v/>
      </c>
      <c r="AE244">
        <f>MID($E244,9,1)</f>
        <v/>
      </c>
      <c r="AF244">
        <f>MID($E244,10,1)</f>
        <v/>
      </c>
    </row>
    <row r="245">
      <c r="A245" s="4" t="inlineStr">
        <is>
          <t>DN244</t>
        </is>
      </c>
      <c r="B245" s="4" t="n">
        <v>3</v>
      </c>
      <c r="C245" s="4" t="n">
        <v>6</v>
      </c>
      <c r="D245" s="5" t="inlineStr">
        <is>
          <t>ACCTCGGATA</t>
        </is>
      </c>
      <c r="E245" s="5" t="inlineStr">
        <is>
          <t>AGGCGGAGTA</t>
        </is>
      </c>
      <c r="F245" s="4">
        <f>LEN(SUBSTITUTE(SUBSTITUTE(D245,"A",""),"T",""))</f>
        <v/>
      </c>
      <c r="G245" s="4">
        <f>LEN(SUBSTITUTE(SUBSTITUTE(E245,"A",""),"T",""))</f>
        <v/>
      </c>
      <c r="H245" s="4" t="n">
        <v>-3.95</v>
      </c>
      <c r="I245" s="4" t="n">
        <v>-2.2</v>
      </c>
      <c r="J245" s="4" t="n">
        <v>-5.5</v>
      </c>
      <c r="K245" s="4" t="n">
        <v>-3.04</v>
      </c>
      <c r="M245">
        <f>MID($D245,1,1)</f>
        <v/>
      </c>
      <c r="N245">
        <f>MID($D245,2,1)</f>
        <v/>
      </c>
      <c r="O245">
        <f>MID($D245,3,1)</f>
        <v/>
      </c>
      <c r="P245">
        <f>MID($D245,4,1)</f>
        <v/>
      </c>
      <c r="Q245">
        <f>MID($D245,5,1)</f>
        <v/>
      </c>
      <c r="R245">
        <f>MID($D245,6,1)</f>
        <v/>
      </c>
      <c r="S245">
        <f>MID($D245,7,1)</f>
        <v/>
      </c>
      <c r="T245">
        <f>MID($D245,8,1)</f>
        <v/>
      </c>
      <c r="U245">
        <f>MID($D245,9,1)</f>
        <v/>
      </c>
      <c r="V245">
        <f>MID($D245,10,1)</f>
        <v/>
      </c>
      <c r="W245">
        <f>MID($E245,1,1)</f>
        <v/>
      </c>
      <c r="X245">
        <f>MID($E245,2,1)</f>
        <v/>
      </c>
      <c r="Y245">
        <f>MID($E245,3,1)</f>
        <v/>
      </c>
      <c r="Z245">
        <f>MID($E245,4,1)</f>
        <v/>
      </c>
      <c r="AA245">
        <f>MID($E245,5,1)</f>
        <v/>
      </c>
      <c r="AB245">
        <f>MID($E245,6,1)</f>
        <v/>
      </c>
      <c r="AC245">
        <f>MID($E245,7,1)</f>
        <v/>
      </c>
      <c r="AD245">
        <f>MID($E245,8,1)</f>
        <v/>
      </c>
      <c r="AE245">
        <f>MID($E245,9,1)</f>
        <v/>
      </c>
      <c r="AF245">
        <f>MID($E245,10,1)</f>
        <v/>
      </c>
    </row>
    <row r="246">
      <c r="A246" s="4" t="inlineStr">
        <is>
          <t>DN245</t>
        </is>
      </c>
      <c r="B246" s="4" t="n">
        <v>3</v>
      </c>
      <c r="C246" s="4" t="n">
        <v>6</v>
      </c>
      <c r="D246" s="5" t="inlineStr">
        <is>
          <t>CTTGCCAACT</t>
        </is>
      </c>
      <c r="E246" s="5" t="inlineStr">
        <is>
          <t>GTGCGTTACC</t>
        </is>
      </c>
      <c r="F246" s="4">
        <f>LEN(SUBSTITUTE(SUBSTITUTE(D246,"A",""),"T",""))</f>
        <v/>
      </c>
      <c r="G246" s="4">
        <f>LEN(SUBSTITUTE(SUBSTITUTE(E246,"A",""),"T",""))</f>
        <v/>
      </c>
      <c r="H246" s="4" t="n">
        <v>-2.69</v>
      </c>
      <c r="I246" s="4" t="n">
        <v>-1.82</v>
      </c>
      <c r="J246" s="4" t="n">
        <v>-2.63</v>
      </c>
      <c r="K246" s="4" t="n">
        <v>-0.23</v>
      </c>
      <c r="M246">
        <f>MID($D246,1,1)</f>
        <v/>
      </c>
      <c r="N246">
        <f>MID($D246,2,1)</f>
        <v/>
      </c>
      <c r="O246">
        <f>MID($D246,3,1)</f>
        <v/>
      </c>
      <c r="P246">
        <f>MID($D246,4,1)</f>
        <v/>
      </c>
      <c r="Q246">
        <f>MID($D246,5,1)</f>
        <v/>
      </c>
      <c r="R246">
        <f>MID($D246,6,1)</f>
        <v/>
      </c>
      <c r="S246">
        <f>MID($D246,7,1)</f>
        <v/>
      </c>
      <c r="T246">
        <f>MID($D246,8,1)</f>
        <v/>
      </c>
      <c r="U246">
        <f>MID($D246,9,1)</f>
        <v/>
      </c>
      <c r="V246">
        <f>MID($D246,10,1)</f>
        <v/>
      </c>
      <c r="W246">
        <f>MID($E246,1,1)</f>
        <v/>
      </c>
      <c r="X246">
        <f>MID($E246,2,1)</f>
        <v/>
      </c>
      <c r="Y246">
        <f>MID($E246,3,1)</f>
        <v/>
      </c>
      <c r="Z246">
        <f>MID($E246,4,1)</f>
        <v/>
      </c>
      <c r="AA246">
        <f>MID($E246,5,1)</f>
        <v/>
      </c>
      <c r="AB246">
        <f>MID($E246,6,1)</f>
        <v/>
      </c>
      <c r="AC246">
        <f>MID($E246,7,1)</f>
        <v/>
      </c>
      <c r="AD246">
        <f>MID($E246,8,1)</f>
        <v/>
      </c>
      <c r="AE246">
        <f>MID($E246,9,1)</f>
        <v/>
      </c>
      <c r="AF246">
        <f>MID($E246,10,1)</f>
        <v/>
      </c>
    </row>
    <row r="247">
      <c r="A247" s="4" t="inlineStr">
        <is>
          <t>DN246</t>
        </is>
      </c>
      <c r="B247" s="4" t="n">
        <v>3</v>
      </c>
      <c r="C247" s="4" t="n">
        <v>6</v>
      </c>
      <c r="D247" s="5" t="inlineStr">
        <is>
          <t>ACGGCTAGGT</t>
        </is>
      </c>
      <c r="E247" s="5" t="inlineStr">
        <is>
          <t>ATCCGGCACT</t>
        </is>
      </c>
      <c r="F247" s="4">
        <f>LEN(SUBSTITUTE(SUBSTITUTE(D247,"A",""),"T",""))</f>
        <v/>
      </c>
      <c r="G247" s="4">
        <f>LEN(SUBSTITUTE(SUBSTITUTE(E247,"A",""),"T",""))</f>
        <v/>
      </c>
      <c r="H247" s="4" t="n">
        <v>-3.96</v>
      </c>
      <c r="I247" s="4" t="n">
        <v>-3.45</v>
      </c>
      <c r="J247" s="4" t="n">
        <v>-3.6</v>
      </c>
      <c r="K247" s="4" t="n">
        <v>-3.12</v>
      </c>
      <c r="M247">
        <f>MID($D247,1,1)</f>
        <v/>
      </c>
      <c r="N247">
        <f>MID($D247,2,1)</f>
        <v/>
      </c>
      <c r="O247">
        <f>MID($D247,3,1)</f>
        <v/>
      </c>
      <c r="P247">
        <f>MID($D247,4,1)</f>
        <v/>
      </c>
      <c r="Q247">
        <f>MID($D247,5,1)</f>
        <v/>
      </c>
      <c r="R247">
        <f>MID($D247,6,1)</f>
        <v/>
      </c>
      <c r="S247">
        <f>MID($D247,7,1)</f>
        <v/>
      </c>
      <c r="T247">
        <f>MID($D247,8,1)</f>
        <v/>
      </c>
      <c r="U247">
        <f>MID($D247,9,1)</f>
        <v/>
      </c>
      <c r="V247">
        <f>MID($D247,10,1)</f>
        <v/>
      </c>
      <c r="W247">
        <f>MID($E247,1,1)</f>
        <v/>
      </c>
      <c r="X247">
        <f>MID($E247,2,1)</f>
        <v/>
      </c>
      <c r="Y247">
        <f>MID($E247,3,1)</f>
        <v/>
      </c>
      <c r="Z247">
        <f>MID($E247,4,1)</f>
        <v/>
      </c>
      <c r="AA247">
        <f>MID($E247,5,1)</f>
        <v/>
      </c>
      <c r="AB247">
        <f>MID($E247,6,1)</f>
        <v/>
      </c>
      <c r="AC247">
        <f>MID($E247,7,1)</f>
        <v/>
      </c>
      <c r="AD247">
        <f>MID($E247,8,1)</f>
        <v/>
      </c>
      <c r="AE247">
        <f>MID($E247,9,1)</f>
        <v/>
      </c>
      <c r="AF247">
        <f>MID($E247,10,1)</f>
        <v/>
      </c>
    </row>
    <row r="248">
      <c r="A248" s="4" t="inlineStr">
        <is>
          <t>DN247</t>
        </is>
      </c>
      <c r="B248" s="4" t="n">
        <v>3</v>
      </c>
      <c r="C248" s="4" t="n">
        <v>6</v>
      </c>
      <c r="D248" s="5" t="inlineStr">
        <is>
          <t>AGAGCACAGG</t>
        </is>
      </c>
      <c r="E248" s="5" t="inlineStr">
        <is>
          <t>GTGTCCGTTG</t>
        </is>
      </c>
      <c r="F248" s="4">
        <f>LEN(SUBSTITUTE(SUBSTITUTE(D248,"A",""),"T",""))</f>
        <v/>
      </c>
      <c r="G248" s="4">
        <f>LEN(SUBSTITUTE(SUBSTITUTE(E248,"A",""),"T",""))</f>
        <v/>
      </c>
      <c r="H248" s="4" t="n">
        <v>-2.71</v>
      </c>
      <c r="I248" s="4" t="n">
        <v>-1.58</v>
      </c>
      <c r="J248" s="4" t="n">
        <v>-2.9</v>
      </c>
      <c r="K248" s="4" t="n">
        <v>-0.24</v>
      </c>
      <c r="M248">
        <f>MID($D248,1,1)</f>
        <v/>
      </c>
      <c r="N248">
        <f>MID($D248,2,1)</f>
        <v/>
      </c>
      <c r="O248">
        <f>MID($D248,3,1)</f>
        <v/>
      </c>
      <c r="P248">
        <f>MID($D248,4,1)</f>
        <v/>
      </c>
      <c r="Q248">
        <f>MID($D248,5,1)</f>
        <v/>
      </c>
      <c r="R248">
        <f>MID($D248,6,1)</f>
        <v/>
      </c>
      <c r="S248">
        <f>MID($D248,7,1)</f>
        <v/>
      </c>
      <c r="T248">
        <f>MID($D248,8,1)</f>
        <v/>
      </c>
      <c r="U248">
        <f>MID($D248,9,1)</f>
        <v/>
      </c>
      <c r="V248">
        <f>MID($D248,10,1)</f>
        <v/>
      </c>
      <c r="W248">
        <f>MID($E248,1,1)</f>
        <v/>
      </c>
      <c r="X248">
        <f>MID($E248,2,1)</f>
        <v/>
      </c>
      <c r="Y248">
        <f>MID($E248,3,1)</f>
        <v/>
      </c>
      <c r="Z248">
        <f>MID($E248,4,1)</f>
        <v/>
      </c>
      <c r="AA248">
        <f>MID($E248,5,1)</f>
        <v/>
      </c>
      <c r="AB248">
        <f>MID($E248,6,1)</f>
        <v/>
      </c>
      <c r="AC248">
        <f>MID($E248,7,1)</f>
        <v/>
      </c>
      <c r="AD248">
        <f>MID($E248,8,1)</f>
        <v/>
      </c>
      <c r="AE248">
        <f>MID($E248,9,1)</f>
        <v/>
      </c>
      <c r="AF248">
        <f>MID($E248,10,1)</f>
        <v/>
      </c>
    </row>
    <row r="249">
      <c r="A249" s="4" t="inlineStr">
        <is>
          <t>DN248</t>
        </is>
      </c>
      <c r="B249" s="4" t="n">
        <v>3</v>
      </c>
      <c r="C249" s="4" t="n">
        <v>6</v>
      </c>
      <c r="D249" s="5" t="inlineStr">
        <is>
          <t>CAGCTCCAGA</t>
        </is>
      </c>
      <c r="E249" s="5" t="inlineStr">
        <is>
          <t>GAGATACCAT</t>
        </is>
      </c>
      <c r="F249" s="4">
        <f>LEN(SUBSTITUTE(SUBSTITUTE(D249,"A",""),"T",""))</f>
        <v/>
      </c>
      <c r="G249" s="4">
        <f>LEN(SUBSTITUTE(SUBSTITUTE(E249,"A",""),"T",""))</f>
        <v/>
      </c>
      <c r="H249" s="4" t="n">
        <v>-2.54</v>
      </c>
      <c r="I249" s="4" t="n">
        <v>-1.74</v>
      </c>
      <c r="J249" s="4" t="n">
        <v>-1.56</v>
      </c>
      <c r="K249" s="4" t="n">
        <v>-0.67</v>
      </c>
      <c r="M249">
        <f>MID($D249,1,1)</f>
        <v/>
      </c>
      <c r="N249">
        <f>MID($D249,2,1)</f>
        <v/>
      </c>
      <c r="O249">
        <f>MID($D249,3,1)</f>
        <v/>
      </c>
      <c r="P249">
        <f>MID($D249,4,1)</f>
        <v/>
      </c>
      <c r="Q249">
        <f>MID($D249,5,1)</f>
        <v/>
      </c>
      <c r="R249">
        <f>MID($D249,6,1)</f>
        <v/>
      </c>
      <c r="S249">
        <f>MID($D249,7,1)</f>
        <v/>
      </c>
      <c r="T249">
        <f>MID($D249,8,1)</f>
        <v/>
      </c>
      <c r="U249">
        <f>MID($D249,9,1)</f>
        <v/>
      </c>
      <c r="V249">
        <f>MID($D249,10,1)</f>
        <v/>
      </c>
      <c r="W249">
        <f>MID($E249,1,1)</f>
        <v/>
      </c>
      <c r="X249">
        <f>MID($E249,2,1)</f>
        <v/>
      </c>
      <c r="Y249">
        <f>MID($E249,3,1)</f>
        <v/>
      </c>
      <c r="Z249">
        <f>MID($E249,4,1)</f>
        <v/>
      </c>
      <c r="AA249">
        <f>MID($E249,5,1)</f>
        <v/>
      </c>
      <c r="AB249">
        <f>MID($E249,6,1)</f>
        <v/>
      </c>
      <c r="AC249">
        <f>MID($E249,7,1)</f>
        <v/>
      </c>
      <c r="AD249">
        <f>MID($E249,8,1)</f>
        <v/>
      </c>
      <c r="AE249">
        <f>MID($E249,9,1)</f>
        <v/>
      </c>
      <c r="AF249">
        <f>MID($E249,10,1)</f>
        <v/>
      </c>
    </row>
    <row r="250">
      <c r="A250" s="4" t="inlineStr">
        <is>
          <t>DN249</t>
        </is>
      </c>
      <c r="B250" s="4" t="n">
        <v>3</v>
      </c>
      <c r="C250" s="4" t="n">
        <v>6</v>
      </c>
      <c r="D250" s="5" t="inlineStr">
        <is>
          <t>CGCCTCATAA</t>
        </is>
      </c>
      <c r="E250" s="5" t="inlineStr">
        <is>
          <t>GTATAGCTTG</t>
        </is>
      </c>
      <c r="F250" s="4">
        <f>LEN(SUBSTITUTE(SUBSTITUTE(D250,"A",""),"T",""))</f>
        <v/>
      </c>
      <c r="G250" s="4">
        <f>LEN(SUBSTITUTE(SUBSTITUTE(E250,"A",""),"T",""))</f>
        <v/>
      </c>
      <c r="H250" s="4" t="n">
        <v>-3.11</v>
      </c>
      <c r="I250" s="4" t="n">
        <v>-2.76</v>
      </c>
      <c r="J250" s="4" t="n">
        <v>-2.91</v>
      </c>
      <c r="K250" s="4" t="n">
        <v>-2.91</v>
      </c>
      <c r="M250">
        <f>MID($D250,1,1)</f>
        <v/>
      </c>
      <c r="N250">
        <f>MID($D250,2,1)</f>
        <v/>
      </c>
      <c r="O250">
        <f>MID($D250,3,1)</f>
        <v/>
      </c>
      <c r="P250">
        <f>MID($D250,4,1)</f>
        <v/>
      </c>
      <c r="Q250">
        <f>MID($D250,5,1)</f>
        <v/>
      </c>
      <c r="R250">
        <f>MID($D250,6,1)</f>
        <v/>
      </c>
      <c r="S250">
        <f>MID($D250,7,1)</f>
        <v/>
      </c>
      <c r="T250">
        <f>MID($D250,8,1)</f>
        <v/>
      </c>
      <c r="U250">
        <f>MID($D250,9,1)</f>
        <v/>
      </c>
      <c r="V250">
        <f>MID($D250,10,1)</f>
        <v/>
      </c>
      <c r="W250">
        <f>MID($E250,1,1)</f>
        <v/>
      </c>
      <c r="X250">
        <f>MID($E250,2,1)</f>
        <v/>
      </c>
      <c r="Y250">
        <f>MID($E250,3,1)</f>
        <v/>
      </c>
      <c r="Z250">
        <f>MID($E250,4,1)</f>
        <v/>
      </c>
      <c r="AA250">
        <f>MID($E250,5,1)</f>
        <v/>
      </c>
      <c r="AB250">
        <f>MID($E250,6,1)</f>
        <v/>
      </c>
      <c r="AC250">
        <f>MID($E250,7,1)</f>
        <v/>
      </c>
      <c r="AD250">
        <f>MID($E250,8,1)</f>
        <v/>
      </c>
      <c r="AE250">
        <f>MID($E250,9,1)</f>
        <v/>
      </c>
      <c r="AF250">
        <f>MID($E250,10,1)</f>
        <v/>
      </c>
    </row>
    <row r="251">
      <c r="A251" s="4" t="inlineStr">
        <is>
          <t>DN250</t>
        </is>
      </c>
      <c r="B251" s="4" t="n">
        <v>3</v>
      </c>
      <c r="C251" s="4" t="n">
        <v>6</v>
      </c>
      <c r="D251" s="5" t="inlineStr">
        <is>
          <t>CAGTAGTGTT</t>
        </is>
      </c>
      <c r="E251" s="5" t="inlineStr">
        <is>
          <t>ATCCGCAAGG</t>
        </is>
      </c>
      <c r="F251" s="4">
        <f>LEN(SUBSTITUTE(SUBSTITUTE(D251,"A",""),"T",""))</f>
        <v/>
      </c>
      <c r="G251" s="4">
        <f>LEN(SUBSTITUTE(SUBSTITUTE(E251,"A",""),"T",""))</f>
        <v/>
      </c>
      <c r="H251" s="4" t="n">
        <v>-2.02</v>
      </c>
      <c r="I251" s="4" t="n">
        <v>-1.4</v>
      </c>
      <c r="J251" s="4" t="n">
        <v>-3.01</v>
      </c>
      <c r="K251" s="4" t="n">
        <v>-0.51</v>
      </c>
      <c r="M251">
        <f>MID($D251,1,1)</f>
        <v/>
      </c>
      <c r="N251">
        <f>MID($D251,2,1)</f>
        <v/>
      </c>
      <c r="O251">
        <f>MID($D251,3,1)</f>
        <v/>
      </c>
      <c r="P251">
        <f>MID($D251,4,1)</f>
        <v/>
      </c>
      <c r="Q251">
        <f>MID($D251,5,1)</f>
        <v/>
      </c>
      <c r="R251">
        <f>MID($D251,6,1)</f>
        <v/>
      </c>
      <c r="S251">
        <f>MID($D251,7,1)</f>
        <v/>
      </c>
      <c r="T251">
        <f>MID($D251,8,1)</f>
        <v/>
      </c>
      <c r="U251">
        <f>MID($D251,9,1)</f>
        <v/>
      </c>
      <c r="V251">
        <f>MID($D251,10,1)</f>
        <v/>
      </c>
      <c r="W251">
        <f>MID($E251,1,1)</f>
        <v/>
      </c>
      <c r="X251">
        <f>MID($E251,2,1)</f>
        <v/>
      </c>
      <c r="Y251">
        <f>MID($E251,3,1)</f>
        <v/>
      </c>
      <c r="Z251">
        <f>MID($E251,4,1)</f>
        <v/>
      </c>
      <c r="AA251">
        <f>MID($E251,5,1)</f>
        <v/>
      </c>
      <c r="AB251">
        <f>MID($E251,6,1)</f>
        <v/>
      </c>
      <c r="AC251">
        <f>MID($E251,7,1)</f>
        <v/>
      </c>
      <c r="AD251">
        <f>MID($E251,8,1)</f>
        <v/>
      </c>
      <c r="AE251">
        <f>MID($E251,9,1)</f>
        <v/>
      </c>
      <c r="AF251">
        <f>MID($E251,10,1)</f>
        <v/>
      </c>
    </row>
    <row r="252">
      <c r="A252" s="4" t="inlineStr">
        <is>
          <t>DN251</t>
        </is>
      </c>
      <c r="B252" s="4" t="n">
        <v>3</v>
      </c>
      <c r="C252" s="4" t="n">
        <v>6</v>
      </c>
      <c r="D252" s="5" t="inlineStr">
        <is>
          <t>CACCATCCTC</t>
        </is>
      </c>
      <c r="E252" s="5" t="inlineStr">
        <is>
          <t>ACAGCCAGCA</t>
        </is>
      </c>
      <c r="F252" s="4">
        <f>LEN(SUBSTITUTE(SUBSTITUTE(D252,"A",""),"T",""))</f>
        <v/>
      </c>
      <c r="G252" s="4">
        <f>LEN(SUBSTITUTE(SUBSTITUTE(E252,"A",""),"T",""))</f>
        <v/>
      </c>
      <c r="H252" s="4" t="n">
        <v>-1.77</v>
      </c>
      <c r="I252" s="4" t="n">
        <v>0</v>
      </c>
      <c r="J252" s="4" t="n">
        <v>-5.35</v>
      </c>
      <c r="K252" s="4" t="n">
        <v>-1.88</v>
      </c>
      <c r="M252">
        <f>MID($D252,1,1)</f>
        <v/>
      </c>
      <c r="N252">
        <f>MID($D252,2,1)</f>
        <v/>
      </c>
      <c r="O252">
        <f>MID($D252,3,1)</f>
        <v/>
      </c>
      <c r="P252">
        <f>MID($D252,4,1)</f>
        <v/>
      </c>
      <c r="Q252">
        <f>MID($D252,5,1)</f>
        <v/>
      </c>
      <c r="R252">
        <f>MID($D252,6,1)</f>
        <v/>
      </c>
      <c r="S252">
        <f>MID($D252,7,1)</f>
        <v/>
      </c>
      <c r="T252">
        <f>MID($D252,8,1)</f>
        <v/>
      </c>
      <c r="U252">
        <f>MID($D252,9,1)</f>
        <v/>
      </c>
      <c r="V252">
        <f>MID($D252,10,1)</f>
        <v/>
      </c>
      <c r="W252">
        <f>MID($E252,1,1)</f>
        <v/>
      </c>
      <c r="X252">
        <f>MID($E252,2,1)</f>
        <v/>
      </c>
      <c r="Y252">
        <f>MID($E252,3,1)</f>
        <v/>
      </c>
      <c r="Z252">
        <f>MID($E252,4,1)</f>
        <v/>
      </c>
      <c r="AA252">
        <f>MID($E252,5,1)</f>
        <v/>
      </c>
      <c r="AB252">
        <f>MID($E252,6,1)</f>
        <v/>
      </c>
      <c r="AC252">
        <f>MID($E252,7,1)</f>
        <v/>
      </c>
      <c r="AD252">
        <f>MID($E252,8,1)</f>
        <v/>
      </c>
      <c r="AE252">
        <f>MID($E252,9,1)</f>
        <v/>
      </c>
      <c r="AF252">
        <f>MID($E252,10,1)</f>
        <v/>
      </c>
    </row>
    <row r="253">
      <c r="A253" s="4" t="inlineStr">
        <is>
          <t>DN252</t>
        </is>
      </c>
      <c r="B253" s="4" t="n">
        <v>3</v>
      </c>
      <c r="C253" s="4" t="n">
        <v>6</v>
      </c>
      <c r="D253" s="5" t="inlineStr">
        <is>
          <t>TGTCAGCGAG</t>
        </is>
      </c>
      <c r="E253" s="5" t="inlineStr">
        <is>
          <t>CCATGGCGTT</t>
        </is>
      </c>
      <c r="F253" s="4">
        <f>LEN(SUBSTITUTE(SUBSTITUTE(D253,"A",""),"T",""))</f>
        <v/>
      </c>
      <c r="G253" s="4">
        <f>LEN(SUBSTITUTE(SUBSTITUTE(E253,"A",""),"T",""))</f>
        <v/>
      </c>
      <c r="H253" s="4" t="n">
        <v>-3.23</v>
      </c>
      <c r="I253" s="4" t="n">
        <v>-3.23</v>
      </c>
      <c r="J253" s="4" t="n">
        <v>-3.81</v>
      </c>
      <c r="K253" s="4" t="n">
        <v>-2.07</v>
      </c>
      <c r="M253">
        <f>MID($D253,1,1)</f>
        <v/>
      </c>
      <c r="N253">
        <f>MID($D253,2,1)</f>
        <v/>
      </c>
      <c r="O253">
        <f>MID($D253,3,1)</f>
        <v/>
      </c>
      <c r="P253">
        <f>MID($D253,4,1)</f>
        <v/>
      </c>
      <c r="Q253">
        <f>MID($D253,5,1)</f>
        <v/>
      </c>
      <c r="R253">
        <f>MID($D253,6,1)</f>
        <v/>
      </c>
      <c r="S253">
        <f>MID($D253,7,1)</f>
        <v/>
      </c>
      <c r="T253">
        <f>MID($D253,8,1)</f>
        <v/>
      </c>
      <c r="U253">
        <f>MID($D253,9,1)</f>
        <v/>
      </c>
      <c r="V253">
        <f>MID($D253,10,1)</f>
        <v/>
      </c>
      <c r="W253">
        <f>MID($E253,1,1)</f>
        <v/>
      </c>
      <c r="X253">
        <f>MID($E253,2,1)</f>
        <v/>
      </c>
      <c r="Y253">
        <f>MID($E253,3,1)</f>
        <v/>
      </c>
      <c r="Z253">
        <f>MID($E253,4,1)</f>
        <v/>
      </c>
      <c r="AA253">
        <f>MID($E253,5,1)</f>
        <v/>
      </c>
      <c r="AB253">
        <f>MID($E253,6,1)</f>
        <v/>
      </c>
      <c r="AC253">
        <f>MID($E253,7,1)</f>
        <v/>
      </c>
      <c r="AD253">
        <f>MID($E253,8,1)</f>
        <v/>
      </c>
      <c r="AE253">
        <f>MID($E253,9,1)</f>
        <v/>
      </c>
      <c r="AF253">
        <f>MID($E253,10,1)</f>
        <v/>
      </c>
    </row>
    <row r="254">
      <c r="A254" s="4" t="inlineStr">
        <is>
          <t>DN253</t>
        </is>
      </c>
      <c r="B254" s="4" t="n">
        <v>3</v>
      </c>
      <c r="C254" s="4" t="n">
        <v>6</v>
      </c>
      <c r="D254" s="5" t="inlineStr">
        <is>
          <t>CATAGTCCTG</t>
        </is>
      </c>
      <c r="E254" s="5" t="inlineStr">
        <is>
          <t>TGAATAGCAC</t>
        </is>
      </c>
      <c r="F254" s="4">
        <f>LEN(SUBSTITUTE(SUBSTITUTE(D254,"A",""),"T",""))</f>
        <v/>
      </c>
      <c r="G254" s="4">
        <f>LEN(SUBSTITUTE(SUBSTITUTE(E254,"A",""),"T",""))</f>
        <v/>
      </c>
      <c r="H254" s="4" t="n">
        <v>-2.04</v>
      </c>
      <c r="I254" s="4" t="n">
        <v>-0.29</v>
      </c>
      <c r="J254" s="4" t="n">
        <v>-2.33</v>
      </c>
      <c r="K254" s="4" t="n">
        <v>-1.29</v>
      </c>
      <c r="M254">
        <f>MID($D254,1,1)</f>
        <v/>
      </c>
      <c r="N254">
        <f>MID($D254,2,1)</f>
        <v/>
      </c>
      <c r="O254">
        <f>MID($D254,3,1)</f>
        <v/>
      </c>
      <c r="P254">
        <f>MID($D254,4,1)</f>
        <v/>
      </c>
      <c r="Q254">
        <f>MID($D254,5,1)</f>
        <v/>
      </c>
      <c r="R254">
        <f>MID($D254,6,1)</f>
        <v/>
      </c>
      <c r="S254">
        <f>MID($D254,7,1)</f>
        <v/>
      </c>
      <c r="T254">
        <f>MID($D254,8,1)</f>
        <v/>
      </c>
      <c r="U254">
        <f>MID($D254,9,1)</f>
        <v/>
      </c>
      <c r="V254">
        <f>MID($D254,10,1)</f>
        <v/>
      </c>
      <c r="W254">
        <f>MID($E254,1,1)</f>
        <v/>
      </c>
      <c r="X254">
        <f>MID($E254,2,1)</f>
        <v/>
      </c>
      <c r="Y254">
        <f>MID($E254,3,1)</f>
        <v/>
      </c>
      <c r="Z254">
        <f>MID($E254,4,1)</f>
        <v/>
      </c>
      <c r="AA254">
        <f>MID($E254,5,1)</f>
        <v/>
      </c>
      <c r="AB254">
        <f>MID($E254,6,1)</f>
        <v/>
      </c>
      <c r="AC254">
        <f>MID($E254,7,1)</f>
        <v/>
      </c>
      <c r="AD254">
        <f>MID($E254,8,1)</f>
        <v/>
      </c>
      <c r="AE254">
        <f>MID($E254,9,1)</f>
        <v/>
      </c>
      <c r="AF254">
        <f>MID($E254,10,1)</f>
        <v/>
      </c>
    </row>
    <row r="255">
      <c r="A255" s="4" t="inlineStr">
        <is>
          <t>DN254</t>
        </is>
      </c>
      <c r="B255" s="4" t="n">
        <v>3</v>
      </c>
      <c r="C255" s="4" t="n">
        <v>6</v>
      </c>
      <c r="D255" s="5" t="inlineStr">
        <is>
          <t>CGTCCGTAGA</t>
        </is>
      </c>
      <c r="E255" s="5" t="inlineStr">
        <is>
          <t>TAACACCAGT</t>
        </is>
      </c>
      <c r="F255" s="4">
        <f>LEN(SUBSTITUTE(SUBSTITUTE(D255,"A",""),"T",""))</f>
        <v/>
      </c>
      <c r="G255" s="4">
        <f>LEN(SUBSTITUTE(SUBSTITUTE(E255,"A",""),"T",""))</f>
        <v/>
      </c>
      <c r="H255" s="4" t="n">
        <v>-3.56</v>
      </c>
      <c r="I255" s="4" t="n">
        <v>-0.42</v>
      </c>
      <c r="J255" s="4" t="n">
        <v>-2.1</v>
      </c>
      <c r="K255" s="4" t="n">
        <v>-0.25</v>
      </c>
      <c r="M255">
        <f>MID($D255,1,1)</f>
        <v/>
      </c>
      <c r="N255">
        <f>MID($D255,2,1)</f>
        <v/>
      </c>
      <c r="O255">
        <f>MID($D255,3,1)</f>
        <v/>
      </c>
      <c r="P255">
        <f>MID($D255,4,1)</f>
        <v/>
      </c>
      <c r="Q255">
        <f>MID($D255,5,1)</f>
        <v/>
      </c>
      <c r="R255">
        <f>MID($D255,6,1)</f>
        <v/>
      </c>
      <c r="S255">
        <f>MID($D255,7,1)</f>
        <v/>
      </c>
      <c r="T255">
        <f>MID($D255,8,1)</f>
        <v/>
      </c>
      <c r="U255">
        <f>MID($D255,9,1)</f>
        <v/>
      </c>
      <c r="V255">
        <f>MID($D255,10,1)</f>
        <v/>
      </c>
      <c r="W255">
        <f>MID($E255,1,1)</f>
        <v/>
      </c>
      <c r="X255">
        <f>MID($E255,2,1)</f>
        <v/>
      </c>
      <c r="Y255">
        <f>MID($E255,3,1)</f>
        <v/>
      </c>
      <c r="Z255">
        <f>MID($E255,4,1)</f>
        <v/>
      </c>
      <c r="AA255">
        <f>MID($E255,5,1)</f>
        <v/>
      </c>
      <c r="AB255">
        <f>MID($E255,6,1)</f>
        <v/>
      </c>
      <c r="AC255">
        <f>MID($E255,7,1)</f>
        <v/>
      </c>
      <c r="AD255">
        <f>MID($E255,8,1)</f>
        <v/>
      </c>
      <c r="AE255">
        <f>MID($E255,9,1)</f>
        <v/>
      </c>
      <c r="AF255">
        <f>MID($E255,10,1)</f>
        <v/>
      </c>
    </row>
    <row r="256">
      <c r="A256" s="4" t="inlineStr">
        <is>
          <t>DN255</t>
        </is>
      </c>
      <c r="B256" s="4" t="n">
        <v>3</v>
      </c>
      <c r="C256" s="4" t="n">
        <v>6</v>
      </c>
      <c r="D256" s="5" t="inlineStr">
        <is>
          <t>AGCATGCGTC</t>
        </is>
      </c>
      <c r="E256" s="5" t="inlineStr">
        <is>
          <t>TCCGTGACTG</t>
        </is>
      </c>
      <c r="F256" s="4">
        <f>LEN(SUBSTITUTE(SUBSTITUTE(D256,"A",""),"T",""))</f>
        <v/>
      </c>
      <c r="G256" s="4">
        <f>LEN(SUBSTITUTE(SUBSTITUTE(E256,"A",""),"T",""))</f>
        <v/>
      </c>
      <c r="H256" s="4" t="n">
        <v>-4.01</v>
      </c>
      <c r="I256" s="4" t="n">
        <v>-1.01</v>
      </c>
      <c r="J256" s="4" t="n">
        <v>-4.2</v>
      </c>
      <c r="K256" s="4" t="n">
        <v>-1</v>
      </c>
      <c r="M256">
        <f>MID($D256,1,1)</f>
        <v/>
      </c>
      <c r="N256">
        <f>MID($D256,2,1)</f>
        <v/>
      </c>
      <c r="O256">
        <f>MID($D256,3,1)</f>
        <v/>
      </c>
      <c r="P256">
        <f>MID($D256,4,1)</f>
        <v/>
      </c>
      <c r="Q256">
        <f>MID($D256,5,1)</f>
        <v/>
      </c>
      <c r="R256">
        <f>MID($D256,6,1)</f>
        <v/>
      </c>
      <c r="S256">
        <f>MID($D256,7,1)</f>
        <v/>
      </c>
      <c r="T256">
        <f>MID($D256,8,1)</f>
        <v/>
      </c>
      <c r="U256">
        <f>MID($D256,9,1)</f>
        <v/>
      </c>
      <c r="V256">
        <f>MID($D256,10,1)</f>
        <v/>
      </c>
      <c r="W256">
        <f>MID($E256,1,1)</f>
        <v/>
      </c>
      <c r="X256">
        <f>MID($E256,2,1)</f>
        <v/>
      </c>
      <c r="Y256">
        <f>MID($E256,3,1)</f>
        <v/>
      </c>
      <c r="Z256">
        <f>MID($E256,4,1)</f>
        <v/>
      </c>
      <c r="AA256">
        <f>MID($E256,5,1)</f>
        <v/>
      </c>
      <c r="AB256">
        <f>MID($E256,6,1)</f>
        <v/>
      </c>
      <c r="AC256">
        <f>MID($E256,7,1)</f>
        <v/>
      </c>
      <c r="AD256">
        <f>MID($E256,8,1)</f>
        <v/>
      </c>
      <c r="AE256">
        <f>MID($E256,9,1)</f>
        <v/>
      </c>
      <c r="AF256">
        <f>MID($E256,10,1)</f>
        <v/>
      </c>
    </row>
    <row r="257">
      <c r="A257" s="4" t="inlineStr">
        <is>
          <t>DN256</t>
        </is>
      </c>
      <c r="B257" s="4" t="n">
        <v>3</v>
      </c>
      <c r="C257" s="4" t="n">
        <v>6</v>
      </c>
      <c r="D257" s="5" t="inlineStr">
        <is>
          <t>ACCGATACTT</t>
        </is>
      </c>
      <c r="E257" s="5" t="inlineStr">
        <is>
          <t>GCTTAACAGT</t>
        </is>
      </c>
      <c r="F257" s="4">
        <f>LEN(SUBSTITUTE(SUBSTITUTE(D257,"A",""),"T",""))</f>
        <v/>
      </c>
      <c r="G257" s="4">
        <f>LEN(SUBSTITUTE(SUBSTITUTE(E257,"A",""),"T",""))</f>
        <v/>
      </c>
      <c r="H257" s="4" t="n">
        <v>-3.43</v>
      </c>
      <c r="I257" s="4" t="n">
        <v>-0.67</v>
      </c>
      <c r="J257" s="4" t="n">
        <v>-1.96</v>
      </c>
      <c r="K257" s="4" t="n">
        <v>-1.4</v>
      </c>
      <c r="M257">
        <f>MID($D257,1,1)</f>
        <v/>
      </c>
      <c r="N257">
        <f>MID($D257,2,1)</f>
        <v/>
      </c>
      <c r="O257">
        <f>MID($D257,3,1)</f>
        <v/>
      </c>
      <c r="P257">
        <f>MID($D257,4,1)</f>
        <v/>
      </c>
      <c r="Q257">
        <f>MID($D257,5,1)</f>
        <v/>
      </c>
      <c r="R257">
        <f>MID($D257,6,1)</f>
        <v/>
      </c>
      <c r="S257">
        <f>MID($D257,7,1)</f>
        <v/>
      </c>
      <c r="T257">
        <f>MID($D257,8,1)</f>
        <v/>
      </c>
      <c r="U257">
        <f>MID($D257,9,1)</f>
        <v/>
      </c>
      <c r="V257">
        <f>MID($D257,10,1)</f>
        <v/>
      </c>
      <c r="W257">
        <f>MID($E257,1,1)</f>
        <v/>
      </c>
      <c r="X257">
        <f>MID($E257,2,1)</f>
        <v/>
      </c>
      <c r="Y257">
        <f>MID($E257,3,1)</f>
        <v/>
      </c>
      <c r="Z257">
        <f>MID($E257,4,1)</f>
        <v/>
      </c>
      <c r="AA257">
        <f>MID($E257,5,1)</f>
        <v/>
      </c>
      <c r="AB257">
        <f>MID($E257,6,1)</f>
        <v/>
      </c>
      <c r="AC257">
        <f>MID($E257,7,1)</f>
        <v/>
      </c>
      <c r="AD257">
        <f>MID($E257,8,1)</f>
        <v/>
      </c>
      <c r="AE257">
        <f>MID($E257,9,1)</f>
        <v/>
      </c>
      <c r="AF257">
        <f>MID($E257,10,1)</f>
        <v/>
      </c>
    </row>
    <row r="258">
      <c r="A258" s="4" t="inlineStr">
        <is>
          <t>DN257</t>
        </is>
      </c>
      <c r="B258" s="4" t="n">
        <v>3</v>
      </c>
      <c r="C258" s="4" t="n">
        <v>6</v>
      </c>
      <c r="D258" s="5" t="inlineStr">
        <is>
          <t>TCTCTAATGC</t>
        </is>
      </c>
      <c r="E258" s="5" t="inlineStr">
        <is>
          <t>TGCTCAGAAC</t>
        </is>
      </c>
      <c r="F258" s="4">
        <f>LEN(SUBSTITUTE(SUBSTITUTE(D258,"A",""),"T",""))</f>
        <v/>
      </c>
      <c r="G258" s="4">
        <f>LEN(SUBSTITUTE(SUBSTITUTE(E258,"A",""),"T",""))</f>
        <v/>
      </c>
      <c r="H258" s="4" t="n">
        <v>-2.26</v>
      </c>
      <c r="I258" s="4" t="n">
        <v>-0.16</v>
      </c>
      <c r="J258" s="4" t="n">
        <v>-1.87</v>
      </c>
      <c r="K258" s="4" t="n">
        <v>-1.02</v>
      </c>
      <c r="M258">
        <f>MID($D258,1,1)</f>
        <v/>
      </c>
      <c r="N258">
        <f>MID($D258,2,1)</f>
        <v/>
      </c>
      <c r="O258">
        <f>MID($D258,3,1)</f>
        <v/>
      </c>
      <c r="P258">
        <f>MID($D258,4,1)</f>
        <v/>
      </c>
      <c r="Q258">
        <f>MID($D258,5,1)</f>
        <v/>
      </c>
      <c r="R258">
        <f>MID($D258,6,1)</f>
        <v/>
      </c>
      <c r="S258">
        <f>MID($D258,7,1)</f>
        <v/>
      </c>
      <c r="T258">
        <f>MID($D258,8,1)</f>
        <v/>
      </c>
      <c r="U258">
        <f>MID($D258,9,1)</f>
        <v/>
      </c>
      <c r="V258">
        <f>MID($D258,10,1)</f>
        <v/>
      </c>
      <c r="W258">
        <f>MID($E258,1,1)</f>
        <v/>
      </c>
      <c r="X258">
        <f>MID($E258,2,1)</f>
        <v/>
      </c>
      <c r="Y258">
        <f>MID($E258,3,1)</f>
        <v/>
      </c>
      <c r="Z258">
        <f>MID($E258,4,1)</f>
        <v/>
      </c>
      <c r="AA258">
        <f>MID($E258,5,1)</f>
        <v/>
      </c>
      <c r="AB258">
        <f>MID($E258,6,1)</f>
        <v/>
      </c>
      <c r="AC258">
        <f>MID($E258,7,1)</f>
        <v/>
      </c>
      <c r="AD258">
        <f>MID($E258,8,1)</f>
        <v/>
      </c>
      <c r="AE258">
        <f>MID($E258,9,1)</f>
        <v/>
      </c>
      <c r="AF258">
        <f>MID($E258,10,1)</f>
        <v/>
      </c>
    </row>
    <row r="259">
      <c r="A259" s="4" t="inlineStr">
        <is>
          <t>DN258</t>
        </is>
      </c>
      <c r="B259" s="4" t="n">
        <v>3</v>
      </c>
      <c r="C259" s="4" t="n">
        <v>6</v>
      </c>
      <c r="D259" s="5" t="inlineStr">
        <is>
          <t>ATAACTGGCT</t>
        </is>
      </c>
      <c r="E259" s="5" t="inlineStr">
        <is>
          <t>CGGAGCATCT</t>
        </is>
      </c>
      <c r="F259" s="4">
        <f>LEN(SUBSTITUTE(SUBSTITUTE(D259,"A",""),"T",""))</f>
        <v/>
      </c>
      <c r="G259" s="4">
        <f>LEN(SUBSTITUTE(SUBSTITUTE(E259,"A",""),"T",""))</f>
        <v/>
      </c>
      <c r="H259" s="4" t="n">
        <v>-3.21</v>
      </c>
      <c r="I259" s="4" t="n">
        <v>-2.35</v>
      </c>
      <c r="J259" s="4" t="n">
        <v>-3.31</v>
      </c>
      <c r="K259" s="4" t="n">
        <v>-1.81</v>
      </c>
      <c r="M259">
        <f>MID($D259,1,1)</f>
        <v/>
      </c>
      <c r="N259">
        <f>MID($D259,2,1)</f>
        <v/>
      </c>
      <c r="O259">
        <f>MID($D259,3,1)</f>
        <v/>
      </c>
      <c r="P259">
        <f>MID($D259,4,1)</f>
        <v/>
      </c>
      <c r="Q259">
        <f>MID($D259,5,1)</f>
        <v/>
      </c>
      <c r="R259">
        <f>MID($D259,6,1)</f>
        <v/>
      </c>
      <c r="S259">
        <f>MID($D259,7,1)</f>
        <v/>
      </c>
      <c r="T259">
        <f>MID($D259,8,1)</f>
        <v/>
      </c>
      <c r="U259">
        <f>MID($D259,9,1)</f>
        <v/>
      </c>
      <c r="V259">
        <f>MID($D259,10,1)</f>
        <v/>
      </c>
      <c r="W259">
        <f>MID($E259,1,1)</f>
        <v/>
      </c>
      <c r="X259">
        <f>MID($E259,2,1)</f>
        <v/>
      </c>
      <c r="Y259">
        <f>MID($E259,3,1)</f>
        <v/>
      </c>
      <c r="Z259">
        <f>MID($E259,4,1)</f>
        <v/>
      </c>
      <c r="AA259">
        <f>MID($E259,5,1)</f>
        <v/>
      </c>
      <c r="AB259">
        <f>MID($E259,6,1)</f>
        <v/>
      </c>
      <c r="AC259">
        <f>MID($E259,7,1)</f>
        <v/>
      </c>
      <c r="AD259">
        <f>MID($E259,8,1)</f>
        <v/>
      </c>
      <c r="AE259">
        <f>MID($E259,9,1)</f>
        <v/>
      </c>
      <c r="AF259">
        <f>MID($E259,10,1)</f>
        <v/>
      </c>
    </row>
    <row r="260">
      <c r="A260" s="4" t="inlineStr">
        <is>
          <t>DN259</t>
        </is>
      </c>
      <c r="B260" s="4" t="n">
        <v>3</v>
      </c>
      <c r="C260" s="4" t="n">
        <v>6</v>
      </c>
      <c r="D260" s="5" t="inlineStr">
        <is>
          <t>GTCCACAGAA</t>
        </is>
      </c>
      <c r="E260" s="5" t="inlineStr">
        <is>
          <t>GAGCCAAGTC</t>
        </is>
      </c>
      <c r="F260" s="4">
        <f>LEN(SUBSTITUTE(SUBSTITUTE(D260,"A",""),"T",""))</f>
        <v/>
      </c>
      <c r="G260" s="4">
        <f>LEN(SUBSTITUTE(SUBSTITUTE(E260,"A",""),"T",""))</f>
        <v/>
      </c>
      <c r="H260" s="4" t="n">
        <v>-2.25</v>
      </c>
      <c r="I260" s="4" t="n">
        <v>-1.27</v>
      </c>
      <c r="J260" s="4" t="n">
        <v>-3.81</v>
      </c>
      <c r="K260" s="4" t="n">
        <v>-1.88</v>
      </c>
      <c r="M260">
        <f>MID($D260,1,1)</f>
        <v/>
      </c>
      <c r="N260">
        <f>MID($D260,2,1)</f>
        <v/>
      </c>
      <c r="O260">
        <f>MID($D260,3,1)</f>
        <v/>
      </c>
      <c r="P260">
        <f>MID($D260,4,1)</f>
        <v/>
      </c>
      <c r="Q260">
        <f>MID($D260,5,1)</f>
        <v/>
      </c>
      <c r="R260">
        <f>MID($D260,6,1)</f>
        <v/>
      </c>
      <c r="S260">
        <f>MID($D260,7,1)</f>
        <v/>
      </c>
      <c r="T260">
        <f>MID($D260,8,1)</f>
        <v/>
      </c>
      <c r="U260">
        <f>MID($D260,9,1)</f>
        <v/>
      </c>
      <c r="V260">
        <f>MID($D260,10,1)</f>
        <v/>
      </c>
      <c r="W260">
        <f>MID($E260,1,1)</f>
        <v/>
      </c>
      <c r="X260">
        <f>MID($E260,2,1)</f>
        <v/>
      </c>
      <c r="Y260">
        <f>MID($E260,3,1)</f>
        <v/>
      </c>
      <c r="Z260">
        <f>MID($E260,4,1)</f>
        <v/>
      </c>
      <c r="AA260">
        <f>MID($E260,5,1)</f>
        <v/>
      </c>
      <c r="AB260">
        <f>MID($E260,6,1)</f>
        <v/>
      </c>
      <c r="AC260">
        <f>MID($E260,7,1)</f>
        <v/>
      </c>
      <c r="AD260">
        <f>MID($E260,8,1)</f>
        <v/>
      </c>
      <c r="AE260">
        <f>MID($E260,9,1)</f>
        <v/>
      </c>
      <c r="AF260">
        <f>MID($E260,10,1)</f>
        <v/>
      </c>
    </row>
    <row r="261">
      <c r="A261" s="4" t="inlineStr">
        <is>
          <t>DN260</t>
        </is>
      </c>
      <c r="B261" s="4" t="n">
        <v>3</v>
      </c>
      <c r="C261" s="4" t="n">
        <v>6</v>
      </c>
      <c r="D261" s="5" t="inlineStr">
        <is>
          <t>GACATTGGTA</t>
        </is>
      </c>
      <c r="E261" s="5" t="inlineStr">
        <is>
          <t>CATACAGAGT</t>
        </is>
      </c>
      <c r="F261" s="4">
        <f>LEN(SUBSTITUTE(SUBSTITUTE(D261,"A",""),"T",""))</f>
        <v/>
      </c>
      <c r="G261" s="4">
        <f>LEN(SUBSTITUTE(SUBSTITUTE(E261,"A",""),"T",""))</f>
        <v/>
      </c>
      <c r="H261" s="4" t="n">
        <v>-2.14</v>
      </c>
      <c r="I261" s="4" t="n">
        <v>-0.6899999999999999</v>
      </c>
      <c r="J261" s="4" t="n">
        <v>-2.25</v>
      </c>
      <c r="K261" s="4" t="n">
        <v>-1.27</v>
      </c>
      <c r="M261">
        <f>MID($D261,1,1)</f>
        <v/>
      </c>
      <c r="N261">
        <f>MID($D261,2,1)</f>
        <v/>
      </c>
      <c r="O261">
        <f>MID($D261,3,1)</f>
        <v/>
      </c>
      <c r="P261">
        <f>MID($D261,4,1)</f>
        <v/>
      </c>
      <c r="Q261">
        <f>MID($D261,5,1)</f>
        <v/>
      </c>
      <c r="R261">
        <f>MID($D261,6,1)</f>
        <v/>
      </c>
      <c r="S261">
        <f>MID($D261,7,1)</f>
        <v/>
      </c>
      <c r="T261">
        <f>MID($D261,8,1)</f>
        <v/>
      </c>
      <c r="U261">
        <f>MID($D261,9,1)</f>
        <v/>
      </c>
      <c r="V261">
        <f>MID($D261,10,1)</f>
        <v/>
      </c>
      <c r="W261">
        <f>MID($E261,1,1)</f>
        <v/>
      </c>
      <c r="X261">
        <f>MID($E261,2,1)</f>
        <v/>
      </c>
      <c r="Y261">
        <f>MID($E261,3,1)</f>
        <v/>
      </c>
      <c r="Z261">
        <f>MID($E261,4,1)</f>
        <v/>
      </c>
      <c r="AA261">
        <f>MID($E261,5,1)</f>
        <v/>
      </c>
      <c r="AB261">
        <f>MID($E261,6,1)</f>
        <v/>
      </c>
      <c r="AC261">
        <f>MID($E261,7,1)</f>
        <v/>
      </c>
      <c r="AD261">
        <f>MID($E261,8,1)</f>
        <v/>
      </c>
      <c r="AE261">
        <f>MID($E261,9,1)</f>
        <v/>
      </c>
      <c r="AF261">
        <f>MID($E261,10,1)</f>
        <v/>
      </c>
    </row>
    <row r="262">
      <c r="A262" s="4" t="inlineStr">
        <is>
          <t>DN261</t>
        </is>
      </c>
      <c r="B262" s="4" t="n">
        <v>3</v>
      </c>
      <c r="C262" s="4" t="n">
        <v>6</v>
      </c>
      <c r="D262" s="5" t="inlineStr">
        <is>
          <t>GCGATGGCAA</t>
        </is>
      </c>
      <c r="E262" s="5" t="inlineStr">
        <is>
          <t>CAGATGGATG</t>
        </is>
      </c>
      <c r="F262" s="4">
        <f>LEN(SUBSTITUTE(SUBSTITUTE(D262,"A",""),"T",""))</f>
        <v/>
      </c>
      <c r="G262" s="4">
        <f>LEN(SUBSTITUTE(SUBSTITUTE(E262,"A",""),"T",""))</f>
        <v/>
      </c>
      <c r="H262" s="4" t="n">
        <v>-3.5</v>
      </c>
      <c r="I262" s="4" t="n">
        <v>-2.75</v>
      </c>
      <c r="J262" s="4" t="n">
        <v>-3.2</v>
      </c>
      <c r="K262" s="4" t="n">
        <v>-1.67</v>
      </c>
      <c r="M262">
        <f>MID($D262,1,1)</f>
        <v/>
      </c>
      <c r="N262">
        <f>MID($D262,2,1)</f>
        <v/>
      </c>
      <c r="O262">
        <f>MID($D262,3,1)</f>
        <v/>
      </c>
      <c r="P262">
        <f>MID($D262,4,1)</f>
        <v/>
      </c>
      <c r="Q262">
        <f>MID($D262,5,1)</f>
        <v/>
      </c>
      <c r="R262">
        <f>MID($D262,6,1)</f>
        <v/>
      </c>
      <c r="S262">
        <f>MID($D262,7,1)</f>
        <v/>
      </c>
      <c r="T262">
        <f>MID($D262,8,1)</f>
        <v/>
      </c>
      <c r="U262">
        <f>MID($D262,9,1)</f>
        <v/>
      </c>
      <c r="V262">
        <f>MID($D262,10,1)</f>
        <v/>
      </c>
      <c r="W262">
        <f>MID($E262,1,1)</f>
        <v/>
      </c>
      <c r="X262">
        <f>MID($E262,2,1)</f>
        <v/>
      </c>
      <c r="Y262">
        <f>MID($E262,3,1)</f>
        <v/>
      </c>
      <c r="Z262">
        <f>MID($E262,4,1)</f>
        <v/>
      </c>
      <c r="AA262">
        <f>MID($E262,5,1)</f>
        <v/>
      </c>
      <c r="AB262">
        <f>MID($E262,6,1)</f>
        <v/>
      </c>
      <c r="AC262">
        <f>MID($E262,7,1)</f>
        <v/>
      </c>
      <c r="AD262">
        <f>MID($E262,8,1)</f>
        <v/>
      </c>
      <c r="AE262">
        <f>MID($E262,9,1)</f>
        <v/>
      </c>
      <c r="AF262">
        <f>MID($E262,10,1)</f>
        <v/>
      </c>
    </row>
    <row r="263">
      <c r="A263" s="4" t="inlineStr">
        <is>
          <t>DN262</t>
        </is>
      </c>
      <c r="B263" s="4" t="n">
        <v>3</v>
      </c>
      <c r="C263" s="4" t="n">
        <v>6</v>
      </c>
      <c r="D263" s="5" t="inlineStr">
        <is>
          <t>GCCGGATAAC</t>
        </is>
      </c>
      <c r="E263" s="5" t="inlineStr">
        <is>
          <t>CTTGTTCTCC</t>
        </is>
      </c>
      <c r="F263" s="4">
        <f>LEN(SUBSTITUTE(SUBSTITUTE(D263,"A",""),"T",""))</f>
        <v/>
      </c>
      <c r="G263" s="4">
        <f>LEN(SUBSTITUTE(SUBSTITUTE(E263,"A",""),"T",""))</f>
        <v/>
      </c>
      <c r="H263" s="4" t="n">
        <v>-3.32</v>
      </c>
      <c r="I263" s="4" t="n">
        <v>-2.28</v>
      </c>
      <c r="J263" s="4" t="n">
        <v>-1.82</v>
      </c>
      <c r="K263" s="4" t="n">
        <v>-0.64</v>
      </c>
      <c r="M263">
        <f>MID($D263,1,1)</f>
        <v/>
      </c>
      <c r="N263">
        <f>MID($D263,2,1)</f>
        <v/>
      </c>
      <c r="O263">
        <f>MID($D263,3,1)</f>
        <v/>
      </c>
      <c r="P263">
        <f>MID($D263,4,1)</f>
        <v/>
      </c>
      <c r="Q263">
        <f>MID($D263,5,1)</f>
        <v/>
      </c>
      <c r="R263">
        <f>MID($D263,6,1)</f>
        <v/>
      </c>
      <c r="S263">
        <f>MID($D263,7,1)</f>
        <v/>
      </c>
      <c r="T263">
        <f>MID($D263,8,1)</f>
        <v/>
      </c>
      <c r="U263">
        <f>MID($D263,9,1)</f>
        <v/>
      </c>
      <c r="V263">
        <f>MID($D263,10,1)</f>
        <v/>
      </c>
      <c r="W263">
        <f>MID($E263,1,1)</f>
        <v/>
      </c>
      <c r="X263">
        <f>MID($E263,2,1)</f>
        <v/>
      </c>
      <c r="Y263">
        <f>MID($E263,3,1)</f>
        <v/>
      </c>
      <c r="Z263">
        <f>MID($E263,4,1)</f>
        <v/>
      </c>
      <c r="AA263">
        <f>MID($E263,5,1)</f>
        <v/>
      </c>
      <c r="AB263">
        <f>MID($E263,6,1)</f>
        <v/>
      </c>
      <c r="AC263">
        <f>MID($E263,7,1)</f>
        <v/>
      </c>
      <c r="AD263">
        <f>MID($E263,8,1)</f>
        <v/>
      </c>
      <c r="AE263">
        <f>MID($E263,9,1)</f>
        <v/>
      </c>
      <c r="AF263">
        <f>MID($E263,10,1)</f>
        <v/>
      </c>
    </row>
    <row r="264">
      <c r="A264" s="4" t="inlineStr">
        <is>
          <t>DN263</t>
        </is>
      </c>
      <c r="B264" s="4" t="n">
        <v>3</v>
      </c>
      <c r="C264" s="4" t="n">
        <v>6</v>
      </c>
      <c r="D264" s="5" t="inlineStr">
        <is>
          <t>GCCTTCGAGT</t>
        </is>
      </c>
      <c r="E264" s="5" t="inlineStr">
        <is>
          <t>ATCAGACATG</t>
        </is>
      </c>
      <c r="F264" s="4">
        <f>LEN(SUBSTITUTE(SUBSTITUTE(D264,"A",""),"T",""))</f>
        <v/>
      </c>
      <c r="G264" s="4">
        <f>LEN(SUBSTITUTE(SUBSTITUTE(E264,"A",""),"T",""))</f>
        <v/>
      </c>
      <c r="H264" s="4" t="n">
        <v>-3.47</v>
      </c>
      <c r="I264" s="4" t="n">
        <v>-1.03</v>
      </c>
      <c r="J264" s="4" t="n">
        <v>-2.09</v>
      </c>
      <c r="K264" s="4" t="n">
        <v>-1.02</v>
      </c>
      <c r="M264">
        <f>MID($D264,1,1)</f>
        <v/>
      </c>
      <c r="N264">
        <f>MID($D264,2,1)</f>
        <v/>
      </c>
      <c r="O264">
        <f>MID($D264,3,1)</f>
        <v/>
      </c>
      <c r="P264">
        <f>MID($D264,4,1)</f>
        <v/>
      </c>
      <c r="Q264">
        <f>MID($D264,5,1)</f>
        <v/>
      </c>
      <c r="R264">
        <f>MID($D264,6,1)</f>
        <v/>
      </c>
      <c r="S264">
        <f>MID($D264,7,1)</f>
        <v/>
      </c>
      <c r="T264">
        <f>MID($D264,8,1)</f>
        <v/>
      </c>
      <c r="U264">
        <f>MID($D264,9,1)</f>
        <v/>
      </c>
      <c r="V264">
        <f>MID($D264,10,1)</f>
        <v/>
      </c>
      <c r="W264">
        <f>MID($E264,1,1)</f>
        <v/>
      </c>
      <c r="X264">
        <f>MID($E264,2,1)</f>
        <v/>
      </c>
      <c r="Y264">
        <f>MID($E264,3,1)</f>
        <v/>
      </c>
      <c r="Z264">
        <f>MID($E264,4,1)</f>
        <v/>
      </c>
      <c r="AA264">
        <f>MID($E264,5,1)</f>
        <v/>
      </c>
      <c r="AB264">
        <f>MID($E264,6,1)</f>
        <v/>
      </c>
      <c r="AC264">
        <f>MID($E264,7,1)</f>
        <v/>
      </c>
      <c r="AD264">
        <f>MID($E264,8,1)</f>
        <v/>
      </c>
      <c r="AE264">
        <f>MID($E264,9,1)</f>
        <v/>
      </c>
      <c r="AF264">
        <f>MID($E264,10,1)</f>
        <v/>
      </c>
    </row>
    <row r="265">
      <c r="A265" s="4" t="inlineStr">
        <is>
          <t>DN264</t>
        </is>
      </c>
      <c r="B265" s="4" t="n">
        <v>3</v>
      </c>
      <c r="C265" s="4" t="n">
        <v>6</v>
      </c>
      <c r="D265" s="5" t="inlineStr">
        <is>
          <t>GTCCGGTTGT</t>
        </is>
      </c>
      <c r="E265" s="5" t="inlineStr">
        <is>
          <t>ATTAGTAGCG</t>
        </is>
      </c>
      <c r="F265" s="4">
        <f>LEN(SUBSTITUTE(SUBSTITUTE(D265,"A",""),"T",""))</f>
        <v/>
      </c>
      <c r="G265" s="4">
        <f>LEN(SUBSTITUTE(SUBSTITUTE(E265,"A",""),"T",""))</f>
        <v/>
      </c>
      <c r="H265" s="4" t="n">
        <v>-2.55</v>
      </c>
      <c r="I265" s="4" t="n">
        <v>-1.29</v>
      </c>
      <c r="J265" s="4" t="n">
        <v>-3.18</v>
      </c>
      <c r="K265" s="4" t="n">
        <v>-0.61</v>
      </c>
      <c r="M265">
        <f>MID($D265,1,1)</f>
        <v/>
      </c>
      <c r="N265">
        <f>MID($D265,2,1)</f>
        <v/>
      </c>
      <c r="O265">
        <f>MID($D265,3,1)</f>
        <v/>
      </c>
      <c r="P265">
        <f>MID($D265,4,1)</f>
        <v/>
      </c>
      <c r="Q265">
        <f>MID($D265,5,1)</f>
        <v/>
      </c>
      <c r="R265">
        <f>MID($D265,6,1)</f>
        <v/>
      </c>
      <c r="S265">
        <f>MID($D265,7,1)</f>
        <v/>
      </c>
      <c r="T265">
        <f>MID($D265,8,1)</f>
        <v/>
      </c>
      <c r="U265">
        <f>MID($D265,9,1)</f>
        <v/>
      </c>
      <c r="V265">
        <f>MID($D265,10,1)</f>
        <v/>
      </c>
      <c r="W265">
        <f>MID($E265,1,1)</f>
        <v/>
      </c>
      <c r="X265">
        <f>MID($E265,2,1)</f>
        <v/>
      </c>
      <c r="Y265">
        <f>MID($E265,3,1)</f>
        <v/>
      </c>
      <c r="Z265">
        <f>MID($E265,4,1)</f>
        <v/>
      </c>
      <c r="AA265">
        <f>MID($E265,5,1)</f>
        <v/>
      </c>
      <c r="AB265">
        <f>MID($E265,6,1)</f>
        <v/>
      </c>
      <c r="AC265">
        <f>MID($E265,7,1)</f>
        <v/>
      </c>
      <c r="AD265">
        <f>MID($E265,8,1)</f>
        <v/>
      </c>
      <c r="AE265">
        <f>MID($E265,9,1)</f>
        <v/>
      </c>
      <c r="AF265">
        <f>MID($E265,10,1)</f>
        <v/>
      </c>
    </row>
    <row r="266">
      <c r="A266" s="4" t="inlineStr">
        <is>
          <t>DN265</t>
        </is>
      </c>
      <c r="B266" s="4" t="n">
        <v>3</v>
      </c>
      <c r="C266" s="4" t="n">
        <v>6</v>
      </c>
      <c r="D266" s="5" t="inlineStr">
        <is>
          <t>CCTTAAGTCC</t>
        </is>
      </c>
      <c r="E266" s="5" t="inlineStr">
        <is>
          <t>CGATAGTGGC</t>
        </is>
      </c>
      <c r="F266" s="4">
        <f>LEN(SUBSTITUTE(SUBSTITUTE(D266,"A",""),"T",""))</f>
        <v/>
      </c>
      <c r="G266" s="4">
        <f>LEN(SUBSTITUTE(SUBSTITUTE(E266,"A",""),"T",""))</f>
        <v/>
      </c>
      <c r="H266" s="4" t="n">
        <v>-1.66</v>
      </c>
      <c r="I266" s="4" t="n">
        <v>-0.29</v>
      </c>
      <c r="J266" s="4" t="n">
        <v>-3.36</v>
      </c>
      <c r="K266" s="4" t="n">
        <v>-1.93</v>
      </c>
      <c r="M266">
        <f>MID($D266,1,1)</f>
        <v/>
      </c>
      <c r="N266">
        <f>MID($D266,2,1)</f>
        <v/>
      </c>
      <c r="O266">
        <f>MID($D266,3,1)</f>
        <v/>
      </c>
      <c r="P266">
        <f>MID($D266,4,1)</f>
        <v/>
      </c>
      <c r="Q266">
        <f>MID($D266,5,1)</f>
        <v/>
      </c>
      <c r="R266">
        <f>MID($D266,6,1)</f>
        <v/>
      </c>
      <c r="S266">
        <f>MID($D266,7,1)</f>
        <v/>
      </c>
      <c r="T266">
        <f>MID($D266,8,1)</f>
        <v/>
      </c>
      <c r="U266">
        <f>MID($D266,9,1)</f>
        <v/>
      </c>
      <c r="V266">
        <f>MID($D266,10,1)</f>
        <v/>
      </c>
      <c r="W266">
        <f>MID($E266,1,1)</f>
        <v/>
      </c>
      <c r="X266">
        <f>MID($E266,2,1)</f>
        <v/>
      </c>
      <c r="Y266">
        <f>MID($E266,3,1)</f>
        <v/>
      </c>
      <c r="Z266">
        <f>MID($E266,4,1)</f>
        <v/>
      </c>
      <c r="AA266">
        <f>MID($E266,5,1)</f>
        <v/>
      </c>
      <c r="AB266">
        <f>MID($E266,6,1)</f>
        <v/>
      </c>
      <c r="AC266">
        <f>MID($E266,7,1)</f>
        <v/>
      </c>
      <c r="AD266">
        <f>MID($E266,8,1)</f>
        <v/>
      </c>
      <c r="AE266">
        <f>MID($E266,9,1)</f>
        <v/>
      </c>
      <c r="AF266">
        <f>MID($E266,10,1)</f>
        <v/>
      </c>
    </row>
    <row r="267">
      <c r="A267" s="4" t="inlineStr">
        <is>
          <t>DN266</t>
        </is>
      </c>
      <c r="B267" s="4" t="n">
        <v>3</v>
      </c>
      <c r="C267" s="4" t="n">
        <v>6</v>
      </c>
      <c r="D267" s="5" t="inlineStr">
        <is>
          <t>GCAACTTATC</t>
        </is>
      </c>
      <c r="E267" s="5" t="inlineStr">
        <is>
          <t>ACCAGTTCCG</t>
        </is>
      </c>
      <c r="F267" s="4">
        <f>LEN(SUBSTITUTE(SUBSTITUTE(D267,"A",""),"T",""))</f>
        <v/>
      </c>
      <c r="G267" s="4">
        <f>LEN(SUBSTITUTE(SUBSTITUTE(E267,"A",""),"T",""))</f>
        <v/>
      </c>
      <c r="H267" s="4" t="n">
        <v>-2.12</v>
      </c>
      <c r="I267" s="4" t="n">
        <v>-0.71</v>
      </c>
      <c r="J267" s="4" t="n">
        <v>-2.66</v>
      </c>
      <c r="K267" s="4" t="n">
        <v>-0.7</v>
      </c>
      <c r="M267">
        <f>MID($D267,1,1)</f>
        <v/>
      </c>
      <c r="N267">
        <f>MID($D267,2,1)</f>
        <v/>
      </c>
      <c r="O267">
        <f>MID($D267,3,1)</f>
        <v/>
      </c>
      <c r="P267">
        <f>MID($D267,4,1)</f>
        <v/>
      </c>
      <c r="Q267">
        <f>MID($D267,5,1)</f>
        <v/>
      </c>
      <c r="R267">
        <f>MID($D267,6,1)</f>
        <v/>
      </c>
      <c r="S267">
        <f>MID($D267,7,1)</f>
        <v/>
      </c>
      <c r="T267">
        <f>MID($D267,8,1)</f>
        <v/>
      </c>
      <c r="U267">
        <f>MID($D267,9,1)</f>
        <v/>
      </c>
      <c r="V267">
        <f>MID($D267,10,1)</f>
        <v/>
      </c>
      <c r="W267">
        <f>MID($E267,1,1)</f>
        <v/>
      </c>
      <c r="X267">
        <f>MID($E267,2,1)</f>
        <v/>
      </c>
      <c r="Y267">
        <f>MID($E267,3,1)</f>
        <v/>
      </c>
      <c r="Z267">
        <f>MID($E267,4,1)</f>
        <v/>
      </c>
      <c r="AA267">
        <f>MID($E267,5,1)</f>
        <v/>
      </c>
      <c r="AB267">
        <f>MID($E267,6,1)</f>
        <v/>
      </c>
      <c r="AC267">
        <f>MID($E267,7,1)</f>
        <v/>
      </c>
      <c r="AD267">
        <f>MID($E267,8,1)</f>
        <v/>
      </c>
      <c r="AE267">
        <f>MID($E267,9,1)</f>
        <v/>
      </c>
      <c r="AF267">
        <f>MID($E267,10,1)</f>
        <v/>
      </c>
    </row>
    <row r="268">
      <c r="A268" s="4" t="inlineStr">
        <is>
          <t>DN267</t>
        </is>
      </c>
      <c r="B268" s="4" t="n">
        <v>3</v>
      </c>
      <c r="C268" s="4" t="n">
        <v>6</v>
      </c>
      <c r="D268" s="5" t="inlineStr">
        <is>
          <t>GAAGCAATTG</t>
        </is>
      </c>
      <c r="E268" s="5" t="inlineStr">
        <is>
          <t>ACTATTGAGG</t>
        </is>
      </c>
      <c r="F268" s="4">
        <f>LEN(SUBSTITUTE(SUBSTITUTE(D268,"A",""),"T",""))</f>
        <v/>
      </c>
      <c r="G268" s="4">
        <f>LEN(SUBSTITUTE(SUBSTITUTE(E268,"A",""),"T",""))</f>
        <v/>
      </c>
      <c r="H268" s="4" t="n">
        <v>-2.74</v>
      </c>
      <c r="I268" s="4" t="n">
        <v>-1.01</v>
      </c>
      <c r="J268" s="4" t="n">
        <v>-2.3</v>
      </c>
      <c r="K268" s="4" t="n">
        <v>-1.08</v>
      </c>
      <c r="M268">
        <f>MID($D268,1,1)</f>
        <v/>
      </c>
      <c r="N268">
        <f>MID($D268,2,1)</f>
        <v/>
      </c>
      <c r="O268">
        <f>MID($D268,3,1)</f>
        <v/>
      </c>
      <c r="P268">
        <f>MID($D268,4,1)</f>
        <v/>
      </c>
      <c r="Q268">
        <f>MID($D268,5,1)</f>
        <v/>
      </c>
      <c r="R268">
        <f>MID($D268,6,1)</f>
        <v/>
      </c>
      <c r="S268">
        <f>MID($D268,7,1)</f>
        <v/>
      </c>
      <c r="T268">
        <f>MID($D268,8,1)</f>
        <v/>
      </c>
      <c r="U268">
        <f>MID($D268,9,1)</f>
        <v/>
      </c>
      <c r="V268">
        <f>MID($D268,10,1)</f>
        <v/>
      </c>
      <c r="W268">
        <f>MID($E268,1,1)</f>
        <v/>
      </c>
      <c r="X268">
        <f>MID($E268,2,1)</f>
        <v/>
      </c>
      <c r="Y268">
        <f>MID($E268,3,1)</f>
        <v/>
      </c>
      <c r="Z268">
        <f>MID($E268,4,1)</f>
        <v/>
      </c>
      <c r="AA268">
        <f>MID($E268,5,1)</f>
        <v/>
      </c>
      <c r="AB268">
        <f>MID($E268,6,1)</f>
        <v/>
      </c>
      <c r="AC268">
        <f>MID($E268,7,1)</f>
        <v/>
      </c>
      <c r="AD268">
        <f>MID($E268,8,1)</f>
        <v/>
      </c>
      <c r="AE268">
        <f>MID($E268,9,1)</f>
        <v/>
      </c>
      <c r="AF268">
        <f>MID($E268,10,1)</f>
        <v/>
      </c>
    </row>
    <row r="269">
      <c r="A269" s="4" t="inlineStr">
        <is>
          <t>DN268</t>
        </is>
      </c>
      <c r="B269" s="4" t="n">
        <v>3</v>
      </c>
      <c r="C269" s="4" t="n">
        <v>6</v>
      </c>
      <c r="D269" s="5" t="inlineStr">
        <is>
          <t>TGAGACGCAG</t>
        </is>
      </c>
      <c r="E269" s="5" t="inlineStr">
        <is>
          <t>TCGTTCACTA</t>
        </is>
      </c>
      <c r="F269" s="4">
        <f>LEN(SUBSTITUTE(SUBSTITUTE(D269,"A",""),"T",""))</f>
        <v/>
      </c>
      <c r="G269" s="4">
        <f>LEN(SUBSTITUTE(SUBSTITUTE(E269,"A",""),"T",""))</f>
        <v/>
      </c>
      <c r="H269" s="4" t="n">
        <v>-3.27</v>
      </c>
      <c r="I269" s="4" t="n">
        <v>-1.57</v>
      </c>
      <c r="J269" s="4" t="n">
        <v>-1.76</v>
      </c>
      <c r="K269" s="4" t="n">
        <v>-0.16</v>
      </c>
      <c r="M269">
        <f>MID($D269,1,1)</f>
        <v/>
      </c>
      <c r="N269">
        <f>MID($D269,2,1)</f>
        <v/>
      </c>
      <c r="O269">
        <f>MID($D269,3,1)</f>
        <v/>
      </c>
      <c r="P269">
        <f>MID($D269,4,1)</f>
        <v/>
      </c>
      <c r="Q269">
        <f>MID($D269,5,1)</f>
        <v/>
      </c>
      <c r="R269">
        <f>MID($D269,6,1)</f>
        <v/>
      </c>
      <c r="S269">
        <f>MID($D269,7,1)</f>
        <v/>
      </c>
      <c r="T269">
        <f>MID($D269,8,1)</f>
        <v/>
      </c>
      <c r="U269">
        <f>MID($D269,9,1)</f>
        <v/>
      </c>
      <c r="V269">
        <f>MID($D269,10,1)</f>
        <v/>
      </c>
      <c r="W269">
        <f>MID($E269,1,1)</f>
        <v/>
      </c>
      <c r="X269">
        <f>MID($E269,2,1)</f>
        <v/>
      </c>
      <c r="Y269">
        <f>MID($E269,3,1)</f>
        <v/>
      </c>
      <c r="Z269">
        <f>MID($E269,4,1)</f>
        <v/>
      </c>
      <c r="AA269">
        <f>MID($E269,5,1)</f>
        <v/>
      </c>
      <c r="AB269">
        <f>MID($E269,6,1)</f>
        <v/>
      </c>
      <c r="AC269">
        <f>MID($E269,7,1)</f>
        <v/>
      </c>
      <c r="AD269">
        <f>MID($E269,8,1)</f>
        <v/>
      </c>
      <c r="AE269">
        <f>MID($E269,9,1)</f>
        <v/>
      </c>
      <c r="AF269">
        <f>MID($E269,10,1)</f>
        <v/>
      </c>
    </row>
    <row r="270">
      <c r="A270" s="4" t="inlineStr">
        <is>
          <t>DN269</t>
        </is>
      </c>
      <c r="B270" s="4" t="n">
        <v>3</v>
      </c>
      <c r="C270" s="4" t="n">
        <v>6</v>
      </c>
      <c r="D270" s="5" t="inlineStr">
        <is>
          <t>ATTCGCTCCG</t>
        </is>
      </c>
      <c r="E270" s="5" t="inlineStr">
        <is>
          <t>TCCTCTACGT</t>
        </is>
      </c>
      <c r="F270" s="4">
        <f>LEN(SUBSTITUTE(SUBSTITUTE(D270,"A",""),"T",""))</f>
        <v/>
      </c>
      <c r="G270" s="4">
        <f>LEN(SUBSTITUTE(SUBSTITUTE(E270,"A",""),"T",""))</f>
        <v/>
      </c>
      <c r="H270" s="4" t="n">
        <v>-3.01</v>
      </c>
      <c r="I270" s="4" t="n">
        <v>-0.63</v>
      </c>
      <c r="J270" s="4" t="n">
        <v>-2.05</v>
      </c>
      <c r="K270" s="4" t="n">
        <v>-1.92</v>
      </c>
      <c r="M270">
        <f>MID($D270,1,1)</f>
        <v/>
      </c>
      <c r="N270">
        <f>MID($D270,2,1)</f>
        <v/>
      </c>
      <c r="O270">
        <f>MID($D270,3,1)</f>
        <v/>
      </c>
      <c r="P270">
        <f>MID($D270,4,1)</f>
        <v/>
      </c>
      <c r="Q270">
        <f>MID($D270,5,1)</f>
        <v/>
      </c>
      <c r="R270">
        <f>MID($D270,6,1)</f>
        <v/>
      </c>
      <c r="S270">
        <f>MID($D270,7,1)</f>
        <v/>
      </c>
      <c r="T270">
        <f>MID($D270,8,1)</f>
        <v/>
      </c>
      <c r="U270">
        <f>MID($D270,9,1)</f>
        <v/>
      </c>
      <c r="V270">
        <f>MID($D270,10,1)</f>
        <v/>
      </c>
      <c r="W270">
        <f>MID($E270,1,1)</f>
        <v/>
      </c>
      <c r="X270">
        <f>MID($E270,2,1)</f>
        <v/>
      </c>
      <c r="Y270">
        <f>MID($E270,3,1)</f>
        <v/>
      </c>
      <c r="Z270">
        <f>MID($E270,4,1)</f>
        <v/>
      </c>
      <c r="AA270">
        <f>MID($E270,5,1)</f>
        <v/>
      </c>
      <c r="AB270">
        <f>MID($E270,6,1)</f>
        <v/>
      </c>
      <c r="AC270">
        <f>MID($E270,7,1)</f>
        <v/>
      </c>
      <c r="AD270">
        <f>MID($E270,8,1)</f>
        <v/>
      </c>
      <c r="AE270">
        <f>MID($E270,9,1)</f>
        <v/>
      </c>
      <c r="AF270">
        <f>MID($E270,10,1)</f>
        <v/>
      </c>
    </row>
    <row r="271">
      <c r="A271" s="4" t="inlineStr">
        <is>
          <t>DN270</t>
        </is>
      </c>
      <c r="B271" s="4" t="n">
        <v>3</v>
      </c>
      <c r="C271" s="4" t="n">
        <v>6</v>
      </c>
      <c r="D271" s="5" t="inlineStr">
        <is>
          <t>AAGTACCGTA</t>
        </is>
      </c>
      <c r="E271" s="5" t="inlineStr">
        <is>
          <t>GTGAGCGGAA</t>
        </is>
      </c>
      <c r="F271" s="4">
        <f>LEN(SUBSTITUTE(SUBSTITUTE(D271,"A",""),"T",""))</f>
        <v/>
      </c>
      <c r="G271" s="4">
        <f>LEN(SUBSTITUTE(SUBSTITUTE(E271,"A",""),"T",""))</f>
        <v/>
      </c>
      <c r="H271" s="4" t="n">
        <v>-3.21</v>
      </c>
      <c r="I271" s="4" t="n">
        <v>0</v>
      </c>
      <c r="J271" s="4" t="n">
        <v>-3.64</v>
      </c>
      <c r="K271" s="4" t="n">
        <v>-2.27</v>
      </c>
      <c r="M271">
        <f>MID($D271,1,1)</f>
        <v/>
      </c>
      <c r="N271">
        <f>MID($D271,2,1)</f>
        <v/>
      </c>
      <c r="O271">
        <f>MID($D271,3,1)</f>
        <v/>
      </c>
      <c r="P271">
        <f>MID($D271,4,1)</f>
        <v/>
      </c>
      <c r="Q271">
        <f>MID($D271,5,1)</f>
        <v/>
      </c>
      <c r="R271">
        <f>MID($D271,6,1)</f>
        <v/>
      </c>
      <c r="S271">
        <f>MID($D271,7,1)</f>
        <v/>
      </c>
      <c r="T271">
        <f>MID($D271,8,1)</f>
        <v/>
      </c>
      <c r="U271">
        <f>MID($D271,9,1)</f>
        <v/>
      </c>
      <c r="V271">
        <f>MID($D271,10,1)</f>
        <v/>
      </c>
      <c r="W271">
        <f>MID($E271,1,1)</f>
        <v/>
      </c>
      <c r="X271">
        <f>MID($E271,2,1)</f>
        <v/>
      </c>
      <c r="Y271">
        <f>MID($E271,3,1)</f>
        <v/>
      </c>
      <c r="Z271">
        <f>MID($E271,4,1)</f>
        <v/>
      </c>
      <c r="AA271">
        <f>MID($E271,5,1)</f>
        <v/>
      </c>
      <c r="AB271">
        <f>MID($E271,6,1)</f>
        <v/>
      </c>
      <c r="AC271">
        <f>MID($E271,7,1)</f>
        <v/>
      </c>
      <c r="AD271">
        <f>MID($E271,8,1)</f>
        <v/>
      </c>
      <c r="AE271">
        <f>MID($E271,9,1)</f>
        <v/>
      </c>
      <c r="AF271">
        <f>MID($E271,10,1)</f>
        <v/>
      </c>
    </row>
    <row r="272">
      <c r="A272" s="4" t="inlineStr">
        <is>
          <t>DN271</t>
        </is>
      </c>
      <c r="B272" s="4" t="n">
        <v>3</v>
      </c>
      <c r="C272" s="4" t="n">
        <v>6</v>
      </c>
      <c r="D272" s="5" t="inlineStr">
        <is>
          <t>GCCTGTCATG</t>
        </is>
      </c>
      <c r="E272" s="5" t="inlineStr">
        <is>
          <t>CCTCAGTGAC</t>
        </is>
      </c>
      <c r="F272" s="4">
        <f>LEN(SUBSTITUTE(SUBSTITUTE(D272,"A",""),"T",""))</f>
        <v/>
      </c>
      <c r="G272" s="4">
        <f>LEN(SUBSTITUTE(SUBSTITUTE(E272,"A",""),"T",""))</f>
        <v/>
      </c>
      <c r="H272" s="4" t="n">
        <v>-2.28</v>
      </c>
      <c r="I272" s="4" t="n">
        <v>-2.38</v>
      </c>
      <c r="J272" s="4" t="n">
        <v>-1.77</v>
      </c>
      <c r="K272" s="4" t="n">
        <v>-1.33</v>
      </c>
      <c r="M272">
        <f>MID($D272,1,1)</f>
        <v/>
      </c>
      <c r="N272">
        <f>MID($D272,2,1)</f>
        <v/>
      </c>
      <c r="O272">
        <f>MID($D272,3,1)</f>
        <v/>
      </c>
      <c r="P272">
        <f>MID($D272,4,1)</f>
        <v/>
      </c>
      <c r="Q272">
        <f>MID($D272,5,1)</f>
        <v/>
      </c>
      <c r="R272">
        <f>MID($D272,6,1)</f>
        <v/>
      </c>
      <c r="S272">
        <f>MID($D272,7,1)</f>
        <v/>
      </c>
      <c r="T272">
        <f>MID($D272,8,1)</f>
        <v/>
      </c>
      <c r="U272">
        <f>MID($D272,9,1)</f>
        <v/>
      </c>
      <c r="V272">
        <f>MID($D272,10,1)</f>
        <v/>
      </c>
      <c r="W272">
        <f>MID($E272,1,1)</f>
        <v/>
      </c>
      <c r="X272">
        <f>MID($E272,2,1)</f>
        <v/>
      </c>
      <c r="Y272">
        <f>MID($E272,3,1)</f>
        <v/>
      </c>
      <c r="Z272">
        <f>MID($E272,4,1)</f>
        <v/>
      </c>
      <c r="AA272">
        <f>MID($E272,5,1)</f>
        <v/>
      </c>
      <c r="AB272">
        <f>MID($E272,6,1)</f>
        <v/>
      </c>
      <c r="AC272">
        <f>MID($E272,7,1)</f>
        <v/>
      </c>
      <c r="AD272">
        <f>MID($E272,8,1)</f>
        <v/>
      </c>
      <c r="AE272">
        <f>MID($E272,9,1)</f>
        <v/>
      </c>
      <c r="AF272">
        <f>MID($E272,10,1)</f>
        <v/>
      </c>
    </row>
    <row r="273">
      <c r="A273" s="4" t="inlineStr">
        <is>
          <t>DN272</t>
        </is>
      </c>
      <c r="B273" s="4" t="n">
        <v>3</v>
      </c>
      <c r="C273" s="4" t="n">
        <v>6</v>
      </c>
      <c r="D273" s="5" t="inlineStr">
        <is>
          <t>CGCACACTCA</t>
        </is>
      </c>
      <c r="E273" s="5" t="inlineStr">
        <is>
          <t>CAGGAGGCAA</t>
        </is>
      </c>
      <c r="F273" s="4">
        <f>LEN(SUBSTITUTE(SUBSTITUTE(D273,"A",""),"T",""))</f>
        <v/>
      </c>
      <c r="G273" s="4">
        <f>LEN(SUBSTITUTE(SUBSTITUTE(E273,"A",""),"T",""))</f>
        <v/>
      </c>
      <c r="H273" s="4" t="n">
        <v>-2.38</v>
      </c>
      <c r="I273" s="4" t="n">
        <v>-0.33</v>
      </c>
      <c r="J273" s="4" t="n">
        <v>-3.6</v>
      </c>
      <c r="K273" s="4" t="n">
        <v>-2.78</v>
      </c>
      <c r="M273">
        <f>MID($D273,1,1)</f>
        <v/>
      </c>
      <c r="N273">
        <f>MID($D273,2,1)</f>
        <v/>
      </c>
      <c r="O273">
        <f>MID($D273,3,1)</f>
        <v/>
      </c>
      <c r="P273">
        <f>MID($D273,4,1)</f>
        <v/>
      </c>
      <c r="Q273">
        <f>MID($D273,5,1)</f>
        <v/>
      </c>
      <c r="R273">
        <f>MID($D273,6,1)</f>
        <v/>
      </c>
      <c r="S273">
        <f>MID($D273,7,1)</f>
        <v/>
      </c>
      <c r="T273">
        <f>MID($D273,8,1)</f>
        <v/>
      </c>
      <c r="U273">
        <f>MID($D273,9,1)</f>
        <v/>
      </c>
      <c r="V273">
        <f>MID($D273,10,1)</f>
        <v/>
      </c>
      <c r="W273">
        <f>MID($E273,1,1)</f>
        <v/>
      </c>
      <c r="X273">
        <f>MID($E273,2,1)</f>
        <v/>
      </c>
      <c r="Y273">
        <f>MID($E273,3,1)</f>
        <v/>
      </c>
      <c r="Z273">
        <f>MID($E273,4,1)</f>
        <v/>
      </c>
      <c r="AA273">
        <f>MID($E273,5,1)</f>
        <v/>
      </c>
      <c r="AB273">
        <f>MID($E273,6,1)</f>
        <v/>
      </c>
      <c r="AC273">
        <f>MID($E273,7,1)</f>
        <v/>
      </c>
      <c r="AD273">
        <f>MID($E273,8,1)</f>
        <v/>
      </c>
      <c r="AE273">
        <f>MID($E273,9,1)</f>
        <v/>
      </c>
      <c r="AF273">
        <f>MID($E273,10,1)</f>
        <v/>
      </c>
    </row>
    <row r="274">
      <c r="A274" s="4" t="inlineStr">
        <is>
          <t>DN273</t>
        </is>
      </c>
      <c r="B274" s="4" t="n">
        <v>3</v>
      </c>
      <c r="C274" s="4" t="n">
        <v>6</v>
      </c>
      <c r="D274" s="5" t="inlineStr">
        <is>
          <t>AGAGCTGTCC</t>
        </is>
      </c>
      <c r="E274" s="5" t="inlineStr">
        <is>
          <t>GACGAGTGAA</t>
        </is>
      </c>
      <c r="F274" s="4">
        <f>LEN(SUBSTITUTE(SUBSTITUTE(D274,"A",""),"T",""))</f>
        <v/>
      </c>
      <c r="G274" s="4">
        <f>LEN(SUBSTITUTE(SUBSTITUTE(E274,"A",""),"T",""))</f>
        <v/>
      </c>
      <c r="H274" s="4" t="n">
        <v>-2.9</v>
      </c>
      <c r="I274" s="4" t="n">
        <v>-2.18</v>
      </c>
      <c r="J274" s="4" t="n">
        <v>-3.18</v>
      </c>
      <c r="K274" s="4" t="n">
        <v>-2.21</v>
      </c>
      <c r="M274">
        <f>MID($D274,1,1)</f>
        <v/>
      </c>
      <c r="N274">
        <f>MID($D274,2,1)</f>
        <v/>
      </c>
      <c r="O274">
        <f>MID($D274,3,1)</f>
        <v/>
      </c>
      <c r="P274">
        <f>MID($D274,4,1)</f>
        <v/>
      </c>
      <c r="Q274">
        <f>MID($D274,5,1)</f>
        <v/>
      </c>
      <c r="R274">
        <f>MID($D274,6,1)</f>
        <v/>
      </c>
      <c r="S274">
        <f>MID($D274,7,1)</f>
        <v/>
      </c>
      <c r="T274">
        <f>MID($D274,8,1)</f>
        <v/>
      </c>
      <c r="U274">
        <f>MID($D274,9,1)</f>
        <v/>
      </c>
      <c r="V274">
        <f>MID($D274,10,1)</f>
        <v/>
      </c>
      <c r="W274">
        <f>MID($E274,1,1)</f>
        <v/>
      </c>
      <c r="X274">
        <f>MID($E274,2,1)</f>
        <v/>
      </c>
      <c r="Y274">
        <f>MID($E274,3,1)</f>
        <v/>
      </c>
      <c r="Z274">
        <f>MID($E274,4,1)</f>
        <v/>
      </c>
      <c r="AA274">
        <f>MID($E274,5,1)</f>
        <v/>
      </c>
      <c r="AB274">
        <f>MID($E274,6,1)</f>
        <v/>
      </c>
      <c r="AC274">
        <f>MID($E274,7,1)</f>
        <v/>
      </c>
      <c r="AD274">
        <f>MID($E274,8,1)</f>
        <v/>
      </c>
      <c r="AE274">
        <f>MID($E274,9,1)</f>
        <v/>
      </c>
      <c r="AF274">
        <f>MID($E274,10,1)</f>
        <v/>
      </c>
    </row>
    <row r="275">
      <c r="A275" s="4" t="inlineStr">
        <is>
          <t>DN274</t>
        </is>
      </c>
      <c r="B275" s="4" t="n">
        <v>3</v>
      </c>
      <c r="C275" s="4" t="n">
        <v>6</v>
      </c>
      <c r="D275" s="5" t="inlineStr">
        <is>
          <t>CGTCTACCAC</t>
        </is>
      </c>
      <c r="E275" s="5" t="inlineStr">
        <is>
          <t>TGCATGTTAC</t>
        </is>
      </c>
      <c r="F275" s="4">
        <f>LEN(SUBSTITUTE(SUBSTITUTE(D275,"A",""),"T",""))</f>
        <v/>
      </c>
      <c r="G275" s="4">
        <f>LEN(SUBSTITUTE(SUBSTITUTE(E275,"A",""),"T",""))</f>
        <v/>
      </c>
      <c r="H275" s="4" t="n">
        <v>-1.87</v>
      </c>
      <c r="I275" s="4" t="n">
        <v>-1.7</v>
      </c>
      <c r="J275" s="4" t="n">
        <v>-3.03</v>
      </c>
      <c r="K275" s="4" t="n">
        <v>-0.74</v>
      </c>
      <c r="M275">
        <f>MID($D275,1,1)</f>
        <v/>
      </c>
      <c r="N275">
        <f>MID($D275,2,1)</f>
        <v/>
      </c>
      <c r="O275">
        <f>MID($D275,3,1)</f>
        <v/>
      </c>
      <c r="P275">
        <f>MID($D275,4,1)</f>
        <v/>
      </c>
      <c r="Q275">
        <f>MID($D275,5,1)</f>
        <v/>
      </c>
      <c r="R275">
        <f>MID($D275,6,1)</f>
        <v/>
      </c>
      <c r="S275">
        <f>MID($D275,7,1)</f>
        <v/>
      </c>
      <c r="T275">
        <f>MID($D275,8,1)</f>
        <v/>
      </c>
      <c r="U275">
        <f>MID($D275,9,1)</f>
        <v/>
      </c>
      <c r="V275">
        <f>MID($D275,10,1)</f>
        <v/>
      </c>
      <c r="W275">
        <f>MID($E275,1,1)</f>
        <v/>
      </c>
      <c r="X275">
        <f>MID($E275,2,1)</f>
        <v/>
      </c>
      <c r="Y275">
        <f>MID($E275,3,1)</f>
        <v/>
      </c>
      <c r="Z275">
        <f>MID($E275,4,1)</f>
        <v/>
      </c>
      <c r="AA275">
        <f>MID($E275,5,1)</f>
        <v/>
      </c>
      <c r="AB275">
        <f>MID($E275,6,1)</f>
        <v/>
      </c>
      <c r="AC275">
        <f>MID($E275,7,1)</f>
        <v/>
      </c>
      <c r="AD275">
        <f>MID($E275,8,1)</f>
        <v/>
      </c>
      <c r="AE275">
        <f>MID($E275,9,1)</f>
        <v/>
      </c>
      <c r="AF275">
        <f>MID($E275,10,1)</f>
        <v/>
      </c>
    </row>
    <row r="276">
      <c r="A276" s="4" t="inlineStr">
        <is>
          <t>DN275</t>
        </is>
      </c>
      <c r="B276" s="4" t="n">
        <v>3</v>
      </c>
      <c r="C276" s="4" t="n">
        <v>6</v>
      </c>
      <c r="D276" s="5" t="inlineStr">
        <is>
          <t>ACCAGAGGAC</t>
        </is>
      </c>
      <c r="E276" s="5" t="inlineStr">
        <is>
          <t>TGCGTCCTGA</t>
        </is>
      </c>
      <c r="F276" s="4">
        <f>LEN(SUBSTITUTE(SUBSTITUTE(D276,"A",""),"T",""))</f>
        <v/>
      </c>
      <c r="G276" s="4">
        <f>LEN(SUBSTITUTE(SUBSTITUTE(E276,"A",""),"T",""))</f>
        <v/>
      </c>
      <c r="H276" s="4" t="n">
        <v>-2.72</v>
      </c>
      <c r="I276" s="4" t="n">
        <v>-1.96</v>
      </c>
      <c r="J276" s="4" t="n">
        <v>-2.88</v>
      </c>
      <c r="K276" s="4" t="n">
        <v>-2.88</v>
      </c>
      <c r="M276">
        <f>MID($D276,1,1)</f>
        <v/>
      </c>
      <c r="N276">
        <f>MID($D276,2,1)</f>
        <v/>
      </c>
      <c r="O276">
        <f>MID($D276,3,1)</f>
        <v/>
      </c>
      <c r="P276">
        <f>MID($D276,4,1)</f>
        <v/>
      </c>
      <c r="Q276">
        <f>MID($D276,5,1)</f>
        <v/>
      </c>
      <c r="R276">
        <f>MID($D276,6,1)</f>
        <v/>
      </c>
      <c r="S276">
        <f>MID($D276,7,1)</f>
        <v/>
      </c>
      <c r="T276">
        <f>MID($D276,8,1)</f>
        <v/>
      </c>
      <c r="U276">
        <f>MID($D276,9,1)</f>
        <v/>
      </c>
      <c r="V276">
        <f>MID($D276,10,1)</f>
        <v/>
      </c>
      <c r="W276">
        <f>MID($E276,1,1)</f>
        <v/>
      </c>
      <c r="X276">
        <f>MID($E276,2,1)</f>
        <v/>
      </c>
      <c r="Y276">
        <f>MID($E276,3,1)</f>
        <v/>
      </c>
      <c r="Z276">
        <f>MID($E276,4,1)</f>
        <v/>
      </c>
      <c r="AA276">
        <f>MID($E276,5,1)</f>
        <v/>
      </c>
      <c r="AB276">
        <f>MID($E276,6,1)</f>
        <v/>
      </c>
      <c r="AC276">
        <f>MID($E276,7,1)</f>
        <v/>
      </c>
      <c r="AD276">
        <f>MID($E276,8,1)</f>
        <v/>
      </c>
      <c r="AE276">
        <f>MID($E276,9,1)</f>
        <v/>
      </c>
      <c r="AF276">
        <f>MID($E276,10,1)</f>
        <v/>
      </c>
    </row>
    <row r="277">
      <c r="A277" s="4" t="inlineStr">
        <is>
          <t>DN276</t>
        </is>
      </c>
      <c r="B277" s="4" t="n">
        <v>3</v>
      </c>
      <c r="C277" s="4" t="n">
        <v>6</v>
      </c>
      <c r="D277" s="5" t="inlineStr">
        <is>
          <t>TTAGGCAGAT</t>
        </is>
      </c>
      <c r="E277" s="5" t="inlineStr">
        <is>
          <t>CACGAAGAAG</t>
        </is>
      </c>
      <c r="F277" s="4">
        <f>LEN(SUBSTITUTE(SUBSTITUTE(D277,"A",""),"T",""))</f>
        <v/>
      </c>
      <c r="G277" s="4">
        <f>LEN(SUBSTITUTE(SUBSTITUTE(E277,"A",""),"T",""))</f>
        <v/>
      </c>
      <c r="H277" s="4" t="n">
        <v>-4.58</v>
      </c>
      <c r="I277" s="4" t="n">
        <v>-4.58</v>
      </c>
      <c r="J277" s="4" t="n">
        <v>-3.71</v>
      </c>
      <c r="K277" s="4" t="n">
        <v>-1.64</v>
      </c>
      <c r="M277">
        <f>MID($D277,1,1)</f>
        <v/>
      </c>
      <c r="N277">
        <f>MID($D277,2,1)</f>
        <v/>
      </c>
      <c r="O277">
        <f>MID($D277,3,1)</f>
        <v/>
      </c>
      <c r="P277">
        <f>MID($D277,4,1)</f>
        <v/>
      </c>
      <c r="Q277">
        <f>MID($D277,5,1)</f>
        <v/>
      </c>
      <c r="R277">
        <f>MID($D277,6,1)</f>
        <v/>
      </c>
      <c r="S277">
        <f>MID($D277,7,1)</f>
        <v/>
      </c>
      <c r="T277">
        <f>MID($D277,8,1)</f>
        <v/>
      </c>
      <c r="U277">
        <f>MID($D277,9,1)</f>
        <v/>
      </c>
      <c r="V277">
        <f>MID($D277,10,1)</f>
        <v/>
      </c>
      <c r="W277">
        <f>MID($E277,1,1)</f>
        <v/>
      </c>
      <c r="X277">
        <f>MID($E277,2,1)</f>
        <v/>
      </c>
      <c r="Y277">
        <f>MID($E277,3,1)</f>
        <v/>
      </c>
      <c r="Z277">
        <f>MID($E277,4,1)</f>
        <v/>
      </c>
      <c r="AA277">
        <f>MID($E277,5,1)</f>
        <v/>
      </c>
      <c r="AB277">
        <f>MID($E277,6,1)</f>
        <v/>
      </c>
      <c r="AC277">
        <f>MID($E277,7,1)</f>
        <v/>
      </c>
      <c r="AD277">
        <f>MID($E277,8,1)</f>
        <v/>
      </c>
      <c r="AE277">
        <f>MID($E277,9,1)</f>
        <v/>
      </c>
      <c r="AF277">
        <f>MID($E277,10,1)</f>
        <v/>
      </c>
    </row>
    <row r="278">
      <c r="A278" s="4" t="inlineStr">
        <is>
          <t>DN277</t>
        </is>
      </c>
      <c r="B278" s="4" t="n">
        <v>3</v>
      </c>
      <c r="C278" s="4" t="n">
        <v>6</v>
      </c>
      <c r="D278" s="5" t="inlineStr">
        <is>
          <t>CTCATATGTC</t>
        </is>
      </c>
      <c r="E278" s="5" t="inlineStr">
        <is>
          <t>AGACGATAGC</t>
        </is>
      </c>
      <c r="F278" s="4">
        <f>LEN(SUBSTITUTE(SUBSTITUTE(D278,"A",""),"T",""))</f>
        <v/>
      </c>
      <c r="G278" s="4">
        <f>LEN(SUBSTITUTE(SUBSTITUTE(E278,"A",""),"T",""))</f>
        <v/>
      </c>
      <c r="H278" s="4" t="n">
        <v>-1.17</v>
      </c>
      <c r="I278" s="4" t="n">
        <v>-1.16</v>
      </c>
      <c r="J278" s="4" t="n">
        <v>-3.04</v>
      </c>
      <c r="K278" s="4" t="n">
        <v>-2.21</v>
      </c>
      <c r="M278">
        <f>MID($D278,1,1)</f>
        <v/>
      </c>
      <c r="N278">
        <f>MID($D278,2,1)</f>
        <v/>
      </c>
      <c r="O278">
        <f>MID($D278,3,1)</f>
        <v/>
      </c>
      <c r="P278">
        <f>MID($D278,4,1)</f>
        <v/>
      </c>
      <c r="Q278">
        <f>MID($D278,5,1)</f>
        <v/>
      </c>
      <c r="R278">
        <f>MID($D278,6,1)</f>
        <v/>
      </c>
      <c r="S278">
        <f>MID($D278,7,1)</f>
        <v/>
      </c>
      <c r="T278">
        <f>MID($D278,8,1)</f>
        <v/>
      </c>
      <c r="U278">
        <f>MID($D278,9,1)</f>
        <v/>
      </c>
      <c r="V278">
        <f>MID($D278,10,1)</f>
        <v/>
      </c>
      <c r="W278">
        <f>MID($E278,1,1)</f>
        <v/>
      </c>
      <c r="X278">
        <f>MID($E278,2,1)</f>
        <v/>
      </c>
      <c r="Y278">
        <f>MID($E278,3,1)</f>
        <v/>
      </c>
      <c r="Z278">
        <f>MID($E278,4,1)</f>
        <v/>
      </c>
      <c r="AA278">
        <f>MID($E278,5,1)</f>
        <v/>
      </c>
      <c r="AB278">
        <f>MID($E278,6,1)</f>
        <v/>
      </c>
      <c r="AC278">
        <f>MID($E278,7,1)</f>
        <v/>
      </c>
      <c r="AD278">
        <f>MID($E278,8,1)</f>
        <v/>
      </c>
      <c r="AE278">
        <f>MID($E278,9,1)</f>
        <v/>
      </c>
      <c r="AF278">
        <f>MID($E278,10,1)</f>
        <v/>
      </c>
    </row>
    <row r="279">
      <c r="A279" s="4" t="inlineStr">
        <is>
          <t>DN278</t>
        </is>
      </c>
      <c r="B279" s="4" t="n">
        <v>3</v>
      </c>
      <c r="C279" s="4" t="n">
        <v>6</v>
      </c>
      <c r="D279" s="5" t="inlineStr">
        <is>
          <t>GTTGGAGTCC</t>
        </is>
      </c>
      <c r="E279" s="5" t="inlineStr">
        <is>
          <t>ACAGGACTGC</t>
        </is>
      </c>
      <c r="F279" s="4">
        <f>LEN(SUBSTITUTE(SUBSTITUTE(D279,"A",""),"T",""))</f>
        <v/>
      </c>
      <c r="G279" s="4">
        <f>LEN(SUBSTITUTE(SUBSTITUTE(E279,"A",""),"T",""))</f>
        <v/>
      </c>
      <c r="H279" s="4" t="n">
        <v>-3</v>
      </c>
      <c r="I279" s="4" t="n">
        <v>-2.04</v>
      </c>
      <c r="J279" s="4" t="n">
        <v>-2.75</v>
      </c>
      <c r="K279" s="4" t="n">
        <v>-2.4</v>
      </c>
      <c r="M279">
        <f>MID($D279,1,1)</f>
        <v/>
      </c>
      <c r="N279">
        <f>MID($D279,2,1)</f>
        <v/>
      </c>
      <c r="O279">
        <f>MID($D279,3,1)</f>
        <v/>
      </c>
      <c r="P279">
        <f>MID($D279,4,1)</f>
        <v/>
      </c>
      <c r="Q279">
        <f>MID($D279,5,1)</f>
        <v/>
      </c>
      <c r="R279">
        <f>MID($D279,6,1)</f>
        <v/>
      </c>
      <c r="S279">
        <f>MID($D279,7,1)</f>
        <v/>
      </c>
      <c r="T279">
        <f>MID($D279,8,1)</f>
        <v/>
      </c>
      <c r="U279">
        <f>MID($D279,9,1)</f>
        <v/>
      </c>
      <c r="V279">
        <f>MID($D279,10,1)</f>
        <v/>
      </c>
      <c r="W279">
        <f>MID($E279,1,1)</f>
        <v/>
      </c>
      <c r="X279">
        <f>MID($E279,2,1)</f>
        <v/>
      </c>
      <c r="Y279">
        <f>MID($E279,3,1)</f>
        <v/>
      </c>
      <c r="Z279">
        <f>MID($E279,4,1)</f>
        <v/>
      </c>
      <c r="AA279">
        <f>MID($E279,5,1)</f>
        <v/>
      </c>
      <c r="AB279">
        <f>MID($E279,6,1)</f>
        <v/>
      </c>
      <c r="AC279">
        <f>MID($E279,7,1)</f>
        <v/>
      </c>
      <c r="AD279">
        <f>MID($E279,8,1)</f>
        <v/>
      </c>
      <c r="AE279">
        <f>MID($E279,9,1)</f>
        <v/>
      </c>
      <c r="AF279">
        <f>MID($E279,10,1)</f>
        <v/>
      </c>
    </row>
    <row r="280">
      <c r="A280" s="4" t="inlineStr">
        <is>
          <t>DN279</t>
        </is>
      </c>
      <c r="B280" s="4" t="n">
        <v>3</v>
      </c>
      <c r="C280" s="4" t="n">
        <v>6</v>
      </c>
      <c r="D280" s="5" t="inlineStr">
        <is>
          <t>TGGTAATGAC</t>
        </is>
      </c>
      <c r="E280" s="5" t="inlineStr">
        <is>
          <t>GCGTGTAAGC</t>
        </is>
      </c>
      <c r="F280" s="4">
        <f>LEN(SUBSTITUTE(SUBSTITUTE(D280,"A",""),"T",""))</f>
        <v/>
      </c>
      <c r="G280" s="4">
        <f>LEN(SUBSTITUTE(SUBSTITUTE(E280,"A",""),"T",""))</f>
        <v/>
      </c>
      <c r="H280" s="4" t="n">
        <v>-2.81</v>
      </c>
      <c r="I280" s="4" t="n">
        <v>-0.6899999999999999</v>
      </c>
      <c r="J280" s="4" t="n">
        <v>-3.53</v>
      </c>
      <c r="K280" s="4" t="n">
        <v>-0.85</v>
      </c>
      <c r="M280">
        <f>MID($D280,1,1)</f>
        <v/>
      </c>
      <c r="N280">
        <f>MID($D280,2,1)</f>
        <v/>
      </c>
      <c r="O280">
        <f>MID($D280,3,1)</f>
        <v/>
      </c>
      <c r="P280">
        <f>MID($D280,4,1)</f>
        <v/>
      </c>
      <c r="Q280">
        <f>MID($D280,5,1)</f>
        <v/>
      </c>
      <c r="R280">
        <f>MID($D280,6,1)</f>
        <v/>
      </c>
      <c r="S280">
        <f>MID($D280,7,1)</f>
        <v/>
      </c>
      <c r="T280">
        <f>MID($D280,8,1)</f>
        <v/>
      </c>
      <c r="U280">
        <f>MID($D280,9,1)</f>
        <v/>
      </c>
      <c r="V280">
        <f>MID($D280,10,1)</f>
        <v/>
      </c>
      <c r="W280">
        <f>MID($E280,1,1)</f>
        <v/>
      </c>
      <c r="X280">
        <f>MID($E280,2,1)</f>
        <v/>
      </c>
      <c r="Y280">
        <f>MID($E280,3,1)</f>
        <v/>
      </c>
      <c r="Z280">
        <f>MID($E280,4,1)</f>
        <v/>
      </c>
      <c r="AA280">
        <f>MID($E280,5,1)</f>
        <v/>
      </c>
      <c r="AB280">
        <f>MID($E280,6,1)</f>
        <v/>
      </c>
      <c r="AC280">
        <f>MID($E280,7,1)</f>
        <v/>
      </c>
      <c r="AD280">
        <f>MID($E280,8,1)</f>
        <v/>
      </c>
      <c r="AE280">
        <f>MID($E280,9,1)</f>
        <v/>
      </c>
      <c r="AF280">
        <f>MID($E280,10,1)</f>
        <v/>
      </c>
    </row>
    <row r="281">
      <c r="A281" s="4" t="inlineStr">
        <is>
          <t>DN280</t>
        </is>
      </c>
      <c r="B281" s="4" t="n">
        <v>3</v>
      </c>
      <c r="C281" s="4" t="n">
        <v>6</v>
      </c>
      <c r="D281" s="5" t="inlineStr">
        <is>
          <t>AATCCTTCCT</t>
        </is>
      </c>
      <c r="E281" s="5" t="inlineStr">
        <is>
          <t>GTAACTCCAA</t>
        </is>
      </c>
      <c r="F281" s="4">
        <f>LEN(SUBSTITUTE(SUBSTITUTE(D281,"A",""),"T",""))</f>
        <v/>
      </c>
      <c r="G281" s="4">
        <f>LEN(SUBSTITUTE(SUBSTITUTE(E281,"A",""),"T",""))</f>
        <v/>
      </c>
      <c r="H281" s="4" t="n">
        <v>-1.55</v>
      </c>
      <c r="I281" s="4" t="n">
        <v>0</v>
      </c>
      <c r="J281" s="4" t="n">
        <v>-2.62</v>
      </c>
      <c r="K281" s="4" t="n">
        <v>-0.98</v>
      </c>
      <c r="M281">
        <f>MID($D281,1,1)</f>
        <v/>
      </c>
      <c r="N281">
        <f>MID($D281,2,1)</f>
        <v/>
      </c>
      <c r="O281">
        <f>MID($D281,3,1)</f>
        <v/>
      </c>
      <c r="P281">
        <f>MID($D281,4,1)</f>
        <v/>
      </c>
      <c r="Q281">
        <f>MID($D281,5,1)</f>
        <v/>
      </c>
      <c r="R281">
        <f>MID($D281,6,1)</f>
        <v/>
      </c>
      <c r="S281">
        <f>MID($D281,7,1)</f>
        <v/>
      </c>
      <c r="T281">
        <f>MID($D281,8,1)</f>
        <v/>
      </c>
      <c r="U281">
        <f>MID($D281,9,1)</f>
        <v/>
      </c>
      <c r="V281">
        <f>MID($D281,10,1)</f>
        <v/>
      </c>
      <c r="W281">
        <f>MID($E281,1,1)</f>
        <v/>
      </c>
      <c r="X281">
        <f>MID($E281,2,1)</f>
        <v/>
      </c>
      <c r="Y281">
        <f>MID($E281,3,1)</f>
        <v/>
      </c>
      <c r="Z281">
        <f>MID($E281,4,1)</f>
        <v/>
      </c>
      <c r="AA281">
        <f>MID($E281,5,1)</f>
        <v/>
      </c>
      <c r="AB281">
        <f>MID($E281,6,1)</f>
        <v/>
      </c>
      <c r="AC281">
        <f>MID($E281,7,1)</f>
        <v/>
      </c>
      <c r="AD281">
        <f>MID($E281,8,1)</f>
        <v/>
      </c>
      <c r="AE281">
        <f>MID($E281,9,1)</f>
        <v/>
      </c>
      <c r="AF281">
        <f>MID($E281,10,1)</f>
        <v/>
      </c>
    </row>
    <row r="282">
      <c r="A282" s="4" t="inlineStr">
        <is>
          <t>DN281</t>
        </is>
      </c>
      <c r="B282" s="4" t="n">
        <v>3</v>
      </c>
      <c r="C282" s="4" t="n">
        <v>6</v>
      </c>
      <c r="D282" s="5" t="inlineStr">
        <is>
          <t>TTCAGGAACA</t>
        </is>
      </c>
      <c r="E282" s="5" t="inlineStr">
        <is>
          <t>TCTTGGCCGA</t>
        </is>
      </c>
      <c r="F282" s="4">
        <f>LEN(SUBSTITUTE(SUBSTITUTE(D282,"A",""),"T",""))</f>
        <v/>
      </c>
      <c r="G282" s="4">
        <f>LEN(SUBSTITUTE(SUBSTITUTE(E282,"A",""),"T",""))</f>
        <v/>
      </c>
      <c r="H282" s="4" t="n">
        <v>-2.43</v>
      </c>
      <c r="I282" s="4" t="n">
        <v>-1.32</v>
      </c>
      <c r="J282" s="4" t="n">
        <v>-3.25</v>
      </c>
      <c r="K282" s="4" t="n">
        <v>-2.08</v>
      </c>
      <c r="M282">
        <f>MID($D282,1,1)</f>
        <v/>
      </c>
      <c r="N282">
        <f>MID($D282,2,1)</f>
        <v/>
      </c>
      <c r="O282">
        <f>MID($D282,3,1)</f>
        <v/>
      </c>
      <c r="P282">
        <f>MID($D282,4,1)</f>
        <v/>
      </c>
      <c r="Q282">
        <f>MID($D282,5,1)</f>
        <v/>
      </c>
      <c r="R282">
        <f>MID($D282,6,1)</f>
        <v/>
      </c>
      <c r="S282">
        <f>MID($D282,7,1)</f>
        <v/>
      </c>
      <c r="T282">
        <f>MID($D282,8,1)</f>
        <v/>
      </c>
      <c r="U282">
        <f>MID($D282,9,1)</f>
        <v/>
      </c>
      <c r="V282">
        <f>MID($D282,10,1)</f>
        <v/>
      </c>
      <c r="W282">
        <f>MID($E282,1,1)</f>
        <v/>
      </c>
      <c r="X282">
        <f>MID($E282,2,1)</f>
        <v/>
      </c>
      <c r="Y282">
        <f>MID($E282,3,1)</f>
        <v/>
      </c>
      <c r="Z282">
        <f>MID($E282,4,1)</f>
        <v/>
      </c>
      <c r="AA282">
        <f>MID($E282,5,1)</f>
        <v/>
      </c>
      <c r="AB282">
        <f>MID($E282,6,1)</f>
        <v/>
      </c>
      <c r="AC282">
        <f>MID($E282,7,1)</f>
        <v/>
      </c>
      <c r="AD282">
        <f>MID($E282,8,1)</f>
        <v/>
      </c>
      <c r="AE282">
        <f>MID($E282,9,1)</f>
        <v/>
      </c>
      <c r="AF282">
        <f>MID($E282,10,1)</f>
        <v/>
      </c>
    </row>
    <row r="283">
      <c r="A283" s="4" t="inlineStr">
        <is>
          <t>DN282</t>
        </is>
      </c>
      <c r="B283" s="4" t="n">
        <v>3</v>
      </c>
      <c r="C283" s="4" t="n">
        <v>6</v>
      </c>
      <c r="D283" s="5" t="inlineStr">
        <is>
          <t>GCAGGTATGG</t>
        </is>
      </c>
      <c r="E283" s="5" t="inlineStr">
        <is>
          <t>TTGGAGCCAG</t>
        </is>
      </c>
      <c r="F283" s="4">
        <f>LEN(SUBSTITUTE(SUBSTITUTE(D283,"A",""),"T",""))</f>
        <v/>
      </c>
      <c r="G283" s="4">
        <f>LEN(SUBSTITUTE(SUBSTITUTE(E283,"A",""),"T",""))</f>
        <v/>
      </c>
      <c r="H283" s="4" t="n">
        <v>-2.87</v>
      </c>
      <c r="I283" s="4" t="n">
        <v>-0.92</v>
      </c>
      <c r="J283" s="4" t="n">
        <v>-4.54</v>
      </c>
      <c r="K283" s="4" t="n">
        <v>-1.88</v>
      </c>
      <c r="M283">
        <f>MID($D283,1,1)</f>
        <v/>
      </c>
      <c r="N283">
        <f>MID($D283,2,1)</f>
        <v/>
      </c>
      <c r="O283">
        <f>MID($D283,3,1)</f>
        <v/>
      </c>
      <c r="P283">
        <f>MID($D283,4,1)</f>
        <v/>
      </c>
      <c r="Q283">
        <f>MID($D283,5,1)</f>
        <v/>
      </c>
      <c r="R283">
        <f>MID($D283,6,1)</f>
        <v/>
      </c>
      <c r="S283">
        <f>MID($D283,7,1)</f>
        <v/>
      </c>
      <c r="T283">
        <f>MID($D283,8,1)</f>
        <v/>
      </c>
      <c r="U283">
        <f>MID($D283,9,1)</f>
        <v/>
      </c>
      <c r="V283">
        <f>MID($D283,10,1)</f>
        <v/>
      </c>
      <c r="W283">
        <f>MID($E283,1,1)</f>
        <v/>
      </c>
      <c r="X283">
        <f>MID($E283,2,1)</f>
        <v/>
      </c>
      <c r="Y283">
        <f>MID($E283,3,1)</f>
        <v/>
      </c>
      <c r="Z283">
        <f>MID($E283,4,1)</f>
        <v/>
      </c>
      <c r="AA283">
        <f>MID($E283,5,1)</f>
        <v/>
      </c>
      <c r="AB283">
        <f>MID($E283,6,1)</f>
        <v/>
      </c>
      <c r="AC283">
        <f>MID($E283,7,1)</f>
        <v/>
      </c>
      <c r="AD283">
        <f>MID($E283,8,1)</f>
        <v/>
      </c>
      <c r="AE283">
        <f>MID($E283,9,1)</f>
        <v/>
      </c>
      <c r="AF283">
        <f>MID($E283,10,1)</f>
        <v/>
      </c>
    </row>
    <row r="284">
      <c r="A284" s="4" t="inlineStr">
        <is>
          <t>DN283</t>
        </is>
      </c>
      <c r="B284" s="4" t="n">
        <v>3</v>
      </c>
      <c r="C284" s="4" t="n">
        <v>6</v>
      </c>
      <c r="D284" s="5" t="inlineStr">
        <is>
          <t>AGGACGAACG</t>
        </is>
      </c>
      <c r="E284" s="5" t="inlineStr">
        <is>
          <t>CTCGCATCGT</t>
        </is>
      </c>
      <c r="F284" s="4">
        <f>LEN(SUBSTITUTE(SUBSTITUTE(D284,"A",""),"T",""))</f>
        <v/>
      </c>
      <c r="G284" s="4">
        <f>LEN(SUBSTITUTE(SUBSTITUTE(E284,"A",""),"T",""))</f>
        <v/>
      </c>
      <c r="H284" s="4" t="n">
        <v>-3.56</v>
      </c>
      <c r="I284" s="4" t="n">
        <v>-2.59</v>
      </c>
      <c r="J284" s="4" t="n">
        <v>-2.85</v>
      </c>
      <c r="K284" s="4" t="n">
        <v>-0.33</v>
      </c>
      <c r="M284">
        <f>MID($D284,1,1)</f>
        <v/>
      </c>
      <c r="N284">
        <f>MID($D284,2,1)</f>
        <v/>
      </c>
      <c r="O284">
        <f>MID($D284,3,1)</f>
        <v/>
      </c>
      <c r="P284">
        <f>MID($D284,4,1)</f>
        <v/>
      </c>
      <c r="Q284">
        <f>MID($D284,5,1)</f>
        <v/>
      </c>
      <c r="R284">
        <f>MID($D284,6,1)</f>
        <v/>
      </c>
      <c r="S284">
        <f>MID($D284,7,1)</f>
        <v/>
      </c>
      <c r="T284">
        <f>MID($D284,8,1)</f>
        <v/>
      </c>
      <c r="U284">
        <f>MID($D284,9,1)</f>
        <v/>
      </c>
      <c r="V284">
        <f>MID($D284,10,1)</f>
        <v/>
      </c>
      <c r="W284">
        <f>MID($E284,1,1)</f>
        <v/>
      </c>
      <c r="X284">
        <f>MID($E284,2,1)</f>
        <v/>
      </c>
      <c r="Y284">
        <f>MID($E284,3,1)</f>
        <v/>
      </c>
      <c r="Z284">
        <f>MID($E284,4,1)</f>
        <v/>
      </c>
      <c r="AA284">
        <f>MID($E284,5,1)</f>
        <v/>
      </c>
      <c r="AB284">
        <f>MID($E284,6,1)</f>
        <v/>
      </c>
      <c r="AC284">
        <f>MID($E284,7,1)</f>
        <v/>
      </c>
      <c r="AD284">
        <f>MID($E284,8,1)</f>
        <v/>
      </c>
      <c r="AE284">
        <f>MID($E284,9,1)</f>
        <v/>
      </c>
      <c r="AF284">
        <f>MID($E284,10,1)</f>
        <v/>
      </c>
    </row>
    <row r="285">
      <c r="A285" s="4" t="inlineStr">
        <is>
          <t>DN284</t>
        </is>
      </c>
      <c r="B285" s="4" t="n">
        <v>3</v>
      </c>
      <c r="C285" s="4" t="n">
        <v>6</v>
      </c>
      <c r="D285" s="5" t="inlineStr">
        <is>
          <t>TTACAAGCGT</t>
        </is>
      </c>
      <c r="E285" s="5" t="inlineStr">
        <is>
          <t>CAAGGCATCC</t>
        </is>
      </c>
      <c r="F285" s="4">
        <f>LEN(SUBSTITUTE(SUBSTITUTE(D285,"A",""),"T",""))</f>
        <v/>
      </c>
      <c r="G285" s="4">
        <f>LEN(SUBSTITUTE(SUBSTITUTE(E285,"A",""),"T",""))</f>
        <v/>
      </c>
      <c r="H285" s="4" t="n">
        <v>-2.52</v>
      </c>
      <c r="I285" s="4" t="n">
        <v>-0.33</v>
      </c>
      <c r="J285" s="4" t="n">
        <v>-3.35</v>
      </c>
      <c r="K285" s="4" t="n">
        <v>-2.5</v>
      </c>
      <c r="M285">
        <f>MID($D285,1,1)</f>
        <v/>
      </c>
      <c r="N285">
        <f>MID($D285,2,1)</f>
        <v/>
      </c>
      <c r="O285">
        <f>MID($D285,3,1)</f>
        <v/>
      </c>
      <c r="P285">
        <f>MID($D285,4,1)</f>
        <v/>
      </c>
      <c r="Q285">
        <f>MID($D285,5,1)</f>
        <v/>
      </c>
      <c r="R285">
        <f>MID($D285,6,1)</f>
        <v/>
      </c>
      <c r="S285">
        <f>MID($D285,7,1)</f>
        <v/>
      </c>
      <c r="T285">
        <f>MID($D285,8,1)</f>
        <v/>
      </c>
      <c r="U285">
        <f>MID($D285,9,1)</f>
        <v/>
      </c>
      <c r="V285">
        <f>MID($D285,10,1)</f>
        <v/>
      </c>
      <c r="W285">
        <f>MID($E285,1,1)</f>
        <v/>
      </c>
      <c r="X285">
        <f>MID($E285,2,1)</f>
        <v/>
      </c>
      <c r="Y285">
        <f>MID($E285,3,1)</f>
        <v/>
      </c>
      <c r="Z285">
        <f>MID($E285,4,1)</f>
        <v/>
      </c>
      <c r="AA285">
        <f>MID($E285,5,1)</f>
        <v/>
      </c>
      <c r="AB285">
        <f>MID($E285,6,1)</f>
        <v/>
      </c>
      <c r="AC285">
        <f>MID($E285,7,1)</f>
        <v/>
      </c>
      <c r="AD285">
        <f>MID($E285,8,1)</f>
        <v/>
      </c>
      <c r="AE285">
        <f>MID($E285,9,1)</f>
        <v/>
      </c>
      <c r="AF285">
        <f>MID($E285,10,1)</f>
        <v/>
      </c>
    </row>
    <row r="286">
      <c r="A286" s="4" t="inlineStr">
        <is>
          <t>DN285</t>
        </is>
      </c>
      <c r="B286" s="4" t="n">
        <v>3</v>
      </c>
      <c r="C286" s="4" t="n">
        <v>6</v>
      </c>
      <c r="D286" s="5" t="inlineStr">
        <is>
          <t>TCTCTGGAGT</t>
        </is>
      </c>
      <c r="E286" s="5" t="inlineStr">
        <is>
          <t>GTCCACGTTC</t>
        </is>
      </c>
      <c r="F286" s="4">
        <f>LEN(SUBSTITUTE(SUBSTITUTE(D286,"A",""),"T",""))</f>
        <v/>
      </c>
      <c r="G286" s="4">
        <f>LEN(SUBSTITUTE(SUBSTITUTE(E286,"A",""),"T",""))</f>
        <v/>
      </c>
      <c r="H286" s="4" t="n">
        <v>-2.46</v>
      </c>
      <c r="I286" s="4" t="n">
        <v>-1.66</v>
      </c>
      <c r="J286" s="4" t="n">
        <v>-3.12</v>
      </c>
      <c r="K286" s="4" t="n">
        <v>-1.43</v>
      </c>
      <c r="M286">
        <f>MID($D286,1,1)</f>
        <v/>
      </c>
      <c r="N286">
        <f>MID($D286,2,1)</f>
        <v/>
      </c>
      <c r="O286">
        <f>MID($D286,3,1)</f>
        <v/>
      </c>
      <c r="P286">
        <f>MID($D286,4,1)</f>
        <v/>
      </c>
      <c r="Q286">
        <f>MID($D286,5,1)</f>
        <v/>
      </c>
      <c r="R286">
        <f>MID($D286,6,1)</f>
        <v/>
      </c>
      <c r="S286">
        <f>MID($D286,7,1)</f>
        <v/>
      </c>
      <c r="T286">
        <f>MID($D286,8,1)</f>
        <v/>
      </c>
      <c r="U286">
        <f>MID($D286,9,1)</f>
        <v/>
      </c>
      <c r="V286">
        <f>MID($D286,10,1)</f>
        <v/>
      </c>
      <c r="W286">
        <f>MID($E286,1,1)</f>
        <v/>
      </c>
      <c r="X286">
        <f>MID($E286,2,1)</f>
        <v/>
      </c>
      <c r="Y286">
        <f>MID($E286,3,1)</f>
        <v/>
      </c>
      <c r="Z286">
        <f>MID($E286,4,1)</f>
        <v/>
      </c>
      <c r="AA286">
        <f>MID($E286,5,1)</f>
        <v/>
      </c>
      <c r="AB286">
        <f>MID($E286,6,1)</f>
        <v/>
      </c>
      <c r="AC286">
        <f>MID($E286,7,1)</f>
        <v/>
      </c>
      <c r="AD286">
        <f>MID($E286,8,1)</f>
        <v/>
      </c>
      <c r="AE286">
        <f>MID($E286,9,1)</f>
        <v/>
      </c>
      <c r="AF286">
        <f>MID($E286,10,1)</f>
        <v/>
      </c>
    </row>
    <row r="287">
      <c r="A287" s="4" t="inlineStr">
        <is>
          <t>DN286</t>
        </is>
      </c>
      <c r="B287" s="4" t="n">
        <v>3</v>
      </c>
      <c r="C287" s="4" t="n">
        <v>6</v>
      </c>
      <c r="D287" s="5" t="inlineStr">
        <is>
          <t>GCCTAAGTTG</t>
        </is>
      </c>
      <c r="E287" s="5" t="inlineStr">
        <is>
          <t>CCTTATGGTG</t>
        </is>
      </c>
      <c r="F287" s="4">
        <f>LEN(SUBSTITUTE(SUBSTITUTE(D287,"A",""),"T",""))</f>
        <v/>
      </c>
      <c r="G287" s="4">
        <f>LEN(SUBSTITUTE(SUBSTITUTE(E287,"A",""),"T",""))</f>
        <v/>
      </c>
      <c r="H287" s="4" t="n">
        <v>-2.15</v>
      </c>
      <c r="I287" s="4" t="n">
        <v>-1.85</v>
      </c>
      <c r="J287" s="4" t="n">
        <v>-2.51</v>
      </c>
      <c r="K287" s="4" t="n">
        <v>-1.69</v>
      </c>
      <c r="M287">
        <f>MID($D287,1,1)</f>
        <v/>
      </c>
      <c r="N287">
        <f>MID($D287,2,1)</f>
        <v/>
      </c>
      <c r="O287">
        <f>MID($D287,3,1)</f>
        <v/>
      </c>
      <c r="P287">
        <f>MID($D287,4,1)</f>
        <v/>
      </c>
      <c r="Q287">
        <f>MID($D287,5,1)</f>
        <v/>
      </c>
      <c r="R287">
        <f>MID($D287,6,1)</f>
        <v/>
      </c>
      <c r="S287">
        <f>MID($D287,7,1)</f>
        <v/>
      </c>
      <c r="T287">
        <f>MID($D287,8,1)</f>
        <v/>
      </c>
      <c r="U287">
        <f>MID($D287,9,1)</f>
        <v/>
      </c>
      <c r="V287">
        <f>MID($D287,10,1)</f>
        <v/>
      </c>
      <c r="W287">
        <f>MID($E287,1,1)</f>
        <v/>
      </c>
      <c r="X287">
        <f>MID($E287,2,1)</f>
        <v/>
      </c>
      <c r="Y287">
        <f>MID($E287,3,1)</f>
        <v/>
      </c>
      <c r="Z287">
        <f>MID($E287,4,1)</f>
        <v/>
      </c>
      <c r="AA287">
        <f>MID($E287,5,1)</f>
        <v/>
      </c>
      <c r="AB287">
        <f>MID($E287,6,1)</f>
        <v/>
      </c>
      <c r="AC287">
        <f>MID($E287,7,1)</f>
        <v/>
      </c>
      <c r="AD287">
        <f>MID($E287,8,1)</f>
        <v/>
      </c>
      <c r="AE287">
        <f>MID($E287,9,1)</f>
        <v/>
      </c>
      <c r="AF287">
        <f>MID($E287,10,1)</f>
        <v/>
      </c>
    </row>
    <row r="288">
      <c r="A288" s="4" t="inlineStr">
        <is>
          <t>DN287</t>
        </is>
      </c>
      <c r="B288" s="4" t="n">
        <v>3</v>
      </c>
      <c r="C288" s="4" t="n">
        <v>6</v>
      </c>
      <c r="D288" s="5" t="inlineStr">
        <is>
          <t>CCTAGATTGC</t>
        </is>
      </c>
      <c r="E288" s="5" t="inlineStr">
        <is>
          <t>GCTACGGAGA</t>
        </is>
      </c>
      <c r="F288" s="4">
        <f>LEN(SUBSTITUTE(SUBSTITUTE(D288,"A",""),"T",""))</f>
        <v/>
      </c>
      <c r="G288" s="4">
        <f>LEN(SUBSTITUTE(SUBSTITUTE(E288,"A",""),"T",""))</f>
        <v/>
      </c>
      <c r="H288" s="4" t="n">
        <v>-1.66</v>
      </c>
      <c r="I288" s="4" t="n">
        <v>-0.9</v>
      </c>
      <c r="J288" s="4" t="n">
        <v>-3.34</v>
      </c>
      <c r="K288" s="4" t="n">
        <v>-2.45</v>
      </c>
      <c r="M288">
        <f>MID($D288,1,1)</f>
        <v/>
      </c>
      <c r="N288">
        <f>MID($D288,2,1)</f>
        <v/>
      </c>
      <c r="O288">
        <f>MID($D288,3,1)</f>
        <v/>
      </c>
      <c r="P288">
        <f>MID($D288,4,1)</f>
        <v/>
      </c>
      <c r="Q288">
        <f>MID($D288,5,1)</f>
        <v/>
      </c>
      <c r="R288">
        <f>MID($D288,6,1)</f>
        <v/>
      </c>
      <c r="S288">
        <f>MID($D288,7,1)</f>
        <v/>
      </c>
      <c r="T288">
        <f>MID($D288,8,1)</f>
        <v/>
      </c>
      <c r="U288">
        <f>MID($D288,9,1)</f>
        <v/>
      </c>
      <c r="V288">
        <f>MID($D288,10,1)</f>
        <v/>
      </c>
      <c r="W288">
        <f>MID($E288,1,1)</f>
        <v/>
      </c>
      <c r="X288">
        <f>MID($E288,2,1)</f>
        <v/>
      </c>
      <c r="Y288">
        <f>MID($E288,3,1)</f>
        <v/>
      </c>
      <c r="Z288">
        <f>MID($E288,4,1)</f>
        <v/>
      </c>
      <c r="AA288">
        <f>MID($E288,5,1)</f>
        <v/>
      </c>
      <c r="AB288">
        <f>MID($E288,6,1)</f>
        <v/>
      </c>
      <c r="AC288">
        <f>MID($E288,7,1)</f>
        <v/>
      </c>
      <c r="AD288">
        <f>MID($E288,8,1)</f>
        <v/>
      </c>
      <c r="AE288">
        <f>MID($E288,9,1)</f>
        <v/>
      </c>
      <c r="AF288">
        <f>MID($E288,10,1)</f>
        <v/>
      </c>
    </row>
    <row r="289">
      <c r="A289" s="4" t="inlineStr">
        <is>
          <t>DN288</t>
        </is>
      </c>
      <c r="B289" s="4" t="n">
        <v>3</v>
      </c>
      <c r="C289" s="4" t="n">
        <v>6</v>
      </c>
      <c r="D289" s="5" t="inlineStr">
        <is>
          <t>CAAGCGGTAG</t>
        </is>
      </c>
      <c r="E289" s="5" t="inlineStr">
        <is>
          <t>CCAGCTAACC</t>
        </is>
      </c>
      <c r="F289" s="4">
        <f>LEN(SUBSTITUTE(SUBSTITUTE(D289,"A",""),"T",""))</f>
        <v/>
      </c>
      <c r="G289" s="4">
        <f>LEN(SUBSTITUTE(SUBSTITUTE(E289,"A",""),"T",""))</f>
        <v/>
      </c>
      <c r="H289" s="4" t="n">
        <v>-2.89</v>
      </c>
      <c r="I289" s="4" t="n">
        <v>-1.53</v>
      </c>
      <c r="J289" s="4" t="n">
        <v>-2.84</v>
      </c>
      <c r="K289" s="4" t="n">
        <v>-1.34</v>
      </c>
      <c r="M289">
        <f>MID($D289,1,1)</f>
        <v/>
      </c>
      <c r="N289">
        <f>MID($D289,2,1)</f>
        <v/>
      </c>
      <c r="O289">
        <f>MID($D289,3,1)</f>
        <v/>
      </c>
      <c r="P289">
        <f>MID($D289,4,1)</f>
        <v/>
      </c>
      <c r="Q289">
        <f>MID($D289,5,1)</f>
        <v/>
      </c>
      <c r="R289">
        <f>MID($D289,6,1)</f>
        <v/>
      </c>
      <c r="S289">
        <f>MID($D289,7,1)</f>
        <v/>
      </c>
      <c r="T289">
        <f>MID($D289,8,1)</f>
        <v/>
      </c>
      <c r="U289">
        <f>MID($D289,9,1)</f>
        <v/>
      </c>
      <c r="V289">
        <f>MID($D289,10,1)</f>
        <v/>
      </c>
      <c r="W289">
        <f>MID($E289,1,1)</f>
        <v/>
      </c>
      <c r="X289">
        <f>MID($E289,2,1)</f>
        <v/>
      </c>
      <c r="Y289">
        <f>MID($E289,3,1)</f>
        <v/>
      </c>
      <c r="Z289">
        <f>MID($E289,4,1)</f>
        <v/>
      </c>
      <c r="AA289">
        <f>MID($E289,5,1)</f>
        <v/>
      </c>
      <c r="AB289">
        <f>MID($E289,6,1)</f>
        <v/>
      </c>
      <c r="AC289">
        <f>MID($E289,7,1)</f>
        <v/>
      </c>
      <c r="AD289">
        <f>MID($E289,8,1)</f>
        <v/>
      </c>
      <c r="AE289">
        <f>MID($E289,9,1)</f>
        <v/>
      </c>
      <c r="AF289">
        <f>MID($E289,10,1)</f>
        <v/>
      </c>
    </row>
    <row r="290">
      <c r="A290" s="4" t="inlineStr">
        <is>
          <t>DN289</t>
        </is>
      </c>
      <c r="B290" s="4" t="n">
        <v>4</v>
      </c>
      <c r="C290" s="4" t="n">
        <v>7</v>
      </c>
      <c r="D290" s="5" t="inlineStr">
        <is>
          <t>GAACACTGGC</t>
        </is>
      </c>
      <c r="E290" s="5" t="inlineStr">
        <is>
          <t>CGAGGCTAAG</t>
        </is>
      </c>
      <c r="F290" s="4">
        <f>LEN(SUBSTITUTE(SUBSTITUTE(D290,"A",""),"T",""))</f>
        <v/>
      </c>
      <c r="G290" s="4">
        <f>LEN(SUBSTITUTE(SUBSTITUTE(E290,"A",""),"T",""))</f>
        <v/>
      </c>
      <c r="H290" s="4" t="n">
        <v>-2.98</v>
      </c>
      <c r="I290" s="4" t="n">
        <v>-1.73</v>
      </c>
      <c r="J290" s="4" t="n">
        <v>-3.47</v>
      </c>
      <c r="K290" s="4" t="n">
        <v>-2.54</v>
      </c>
      <c r="M290">
        <f>MID($D290,1,1)</f>
        <v/>
      </c>
      <c r="N290">
        <f>MID($D290,2,1)</f>
        <v/>
      </c>
      <c r="O290">
        <f>MID($D290,3,1)</f>
        <v/>
      </c>
      <c r="P290">
        <f>MID($D290,4,1)</f>
        <v/>
      </c>
      <c r="Q290">
        <f>MID($D290,5,1)</f>
        <v/>
      </c>
      <c r="R290">
        <f>MID($D290,6,1)</f>
        <v/>
      </c>
      <c r="S290">
        <f>MID($D290,7,1)</f>
        <v/>
      </c>
      <c r="T290">
        <f>MID($D290,8,1)</f>
        <v/>
      </c>
      <c r="U290">
        <f>MID($D290,9,1)</f>
        <v/>
      </c>
      <c r="V290">
        <f>MID($D290,10,1)</f>
        <v/>
      </c>
      <c r="W290">
        <f>MID($E290,1,1)</f>
        <v/>
      </c>
      <c r="X290">
        <f>MID($E290,2,1)</f>
        <v/>
      </c>
      <c r="Y290">
        <f>MID($E290,3,1)</f>
        <v/>
      </c>
      <c r="Z290">
        <f>MID($E290,4,1)</f>
        <v/>
      </c>
      <c r="AA290">
        <f>MID($E290,5,1)</f>
        <v/>
      </c>
      <c r="AB290">
        <f>MID($E290,6,1)</f>
        <v/>
      </c>
      <c r="AC290">
        <f>MID($E290,7,1)</f>
        <v/>
      </c>
      <c r="AD290">
        <f>MID($E290,8,1)</f>
        <v/>
      </c>
      <c r="AE290">
        <f>MID($E290,9,1)</f>
        <v/>
      </c>
      <c r="AF290">
        <f>MID($E290,10,1)</f>
        <v/>
      </c>
    </row>
    <row r="291">
      <c r="A291" s="4" t="inlineStr">
        <is>
          <t>DN290</t>
        </is>
      </c>
      <c r="B291" s="4" t="n">
        <v>4</v>
      </c>
      <c r="C291" s="4" t="n">
        <v>7</v>
      </c>
      <c r="D291" s="5" t="inlineStr">
        <is>
          <t>AGGTCGTCCA</t>
        </is>
      </c>
      <c r="E291" s="5" t="inlineStr">
        <is>
          <t>GCGCCTAACA</t>
        </is>
      </c>
      <c r="F291" s="4">
        <f>LEN(SUBSTITUTE(SUBSTITUTE(D291,"A",""),"T",""))</f>
        <v/>
      </c>
      <c r="G291" s="4">
        <f>LEN(SUBSTITUTE(SUBSTITUTE(E291,"A",""),"T",""))</f>
        <v/>
      </c>
      <c r="H291" s="4" t="n">
        <v>-2.98</v>
      </c>
      <c r="I291" s="4" t="n">
        <v>-1.56</v>
      </c>
      <c r="J291" s="4" t="n">
        <v>-3.57</v>
      </c>
      <c r="K291" s="4" t="n">
        <v>-1.91</v>
      </c>
      <c r="M291">
        <f>MID($D291,1,1)</f>
        <v/>
      </c>
      <c r="N291">
        <f>MID($D291,2,1)</f>
        <v/>
      </c>
      <c r="O291">
        <f>MID($D291,3,1)</f>
        <v/>
      </c>
      <c r="P291">
        <f>MID($D291,4,1)</f>
        <v/>
      </c>
      <c r="Q291">
        <f>MID($D291,5,1)</f>
        <v/>
      </c>
      <c r="R291">
        <f>MID($D291,6,1)</f>
        <v/>
      </c>
      <c r="S291">
        <f>MID($D291,7,1)</f>
        <v/>
      </c>
      <c r="T291">
        <f>MID($D291,8,1)</f>
        <v/>
      </c>
      <c r="U291">
        <f>MID($D291,9,1)</f>
        <v/>
      </c>
      <c r="V291">
        <f>MID($D291,10,1)</f>
        <v/>
      </c>
      <c r="W291">
        <f>MID($E291,1,1)</f>
        <v/>
      </c>
      <c r="X291">
        <f>MID($E291,2,1)</f>
        <v/>
      </c>
      <c r="Y291">
        <f>MID($E291,3,1)</f>
        <v/>
      </c>
      <c r="Z291">
        <f>MID($E291,4,1)</f>
        <v/>
      </c>
      <c r="AA291">
        <f>MID($E291,5,1)</f>
        <v/>
      </c>
      <c r="AB291">
        <f>MID($E291,6,1)</f>
        <v/>
      </c>
      <c r="AC291">
        <f>MID($E291,7,1)</f>
        <v/>
      </c>
      <c r="AD291">
        <f>MID($E291,8,1)</f>
        <v/>
      </c>
      <c r="AE291">
        <f>MID($E291,9,1)</f>
        <v/>
      </c>
      <c r="AF291">
        <f>MID($E291,10,1)</f>
        <v/>
      </c>
    </row>
    <row r="292">
      <c r="A292" s="4" t="inlineStr">
        <is>
          <t>DN291</t>
        </is>
      </c>
      <c r="B292" s="4" t="n">
        <v>4</v>
      </c>
      <c r="C292" s="4" t="n">
        <v>7</v>
      </c>
      <c r="D292" s="5" t="inlineStr">
        <is>
          <t>TACTTACCTC</t>
        </is>
      </c>
      <c r="E292" s="5" t="inlineStr">
        <is>
          <t>CCAGAATAGA</t>
        </is>
      </c>
      <c r="F292" s="4">
        <f>LEN(SUBSTITUTE(SUBSTITUTE(D292,"A",""),"T",""))</f>
        <v/>
      </c>
      <c r="G292" s="4">
        <f>LEN(SUBSTITUTE(SUBSTITUTE(E292,"A",""),"T",""))</f>
        <v/>
      </c>
      <c r="H292" s="4" t="n">
        <v>-2.88</v>
      </c>
      <c r="I292" s="4" t="n">
        <v>0</v>
      </c>
      <c r="J292" s="4" t="n">
        <v>-2.55</v>
      </c>
      <c r="K292" s="4" t="n">
        <v>-0.86</v>
      </c>
      <c r="M292">
        <f>MID($D292,1,1)</f>
        <v/>
      </c>
      <c r="N292">
        <f>MID($D292,2,1)</f>
        <v/>
      </c>
      <c r="O292">
        <f>MID($D292,3,1)</f>
        <v/>
      </c>
      <c r="P292">
        <f>MID($D292,4,1)</f>
        <v/>
      </c>
      <c r="Q292">
        <f>MID($D292,5,1)</f>
        <v/>
      </c>
      <c r="R292">
        <f>MID($D292,6,1)</f>
        <v/>
      </c>
      <c r="S292">
        <f>MID($D292,7,1)</f>
        <v/>
      </c>
      <c r="T292">
        <f>MID($D292,8,1)</f>
        <v/>
      </c>
      <c r="U292">
        <f>MID($D292,9,1)</f>
        <v/>
      </c>
      <c r="V292">
        <f>MID($D292,10,1)</f>
        <v/>
      </c>
      <c r="W292">
        <f>MID($E292,1,1)</f>
        <v/>
      </c>
      <c r="X292">
        <f>MID($E292,2,1)</f>
        <v/>
      </c>
      <c r="Y292">
        <f>MID($E292,3,1)</f>
        <v/>
      </c>
      <c r="Z292">
        <f>MID($E292,4,1)</f>
        <v/>
      </c>
      <c r="AA292">
        <f>MID($E292,5,1)</f>
        <v/>
      </c>
      <c r="AB292">
        <f>MID($E292,6,1)</f>
        <v/>
      </c>
      <c r="AC292">
        <f>MID($E292,7,1)</f>
        <v/>
      </c>
      <c r="AD292">
        <f>MID($E292,8,1)</f>
        <v/>
      </c>
      <c r="AE292">
        <f>MID($E292,9,1)</f>
        <v/>
      </c>
      <c r="AF292">
        <f>MID($E292,10,1)</f>
        <v/>
      </c>
    </row>
    <row r="293">
      <c r="A293" s="4" t="inlineStr">
        <is>
          <t>DN292</t>
        </is>
      </c>
      <c r="B293" s="4" t="n">
        <v>4</v>
      </c>
      <c r="C293" s="4" t="n">
        <v>7</v>
      </c>
      <c r="D293" s="5" t="inlineStr">
        <is>
          <t>AATGAGAAGC</t>
        </is>
      </c>
      <c r="E293" s="5" t="inlineStr">
        <is>
          <t>CTGGTTAGCG</t>
        </is>
      </c>
      <c r="F293" s="4">
        <f>LEN(SUBSTITUTE(SUBSTITUTE(D293,"A",""),"T",""))</f>
        <v/>
      </c>
      <c r="G293" s="4">
        <f>LEN(SUBSTITUTE(SUBSTITUTE(E293,"A",""),"T",""))</f>
        <v/>
      </c>
      <c r="H293" s="4" t="n">
        <v>-2.33</v>
      </c>
      <c r="I293" s="4" t="n">
        <v>-1</v>
      </c>
      <c r="J293" s="4" t="n">
        <v>-2.79</v>
      </c>
      <c r="K293" s="4" t="n">
        <v>-1.16</v>
      </c>
      <c r="M293">
        <f>MID($D293,1,1)</f>
        <v/>
      </c>
      <c r="N293">
        <f>MID($D293,2,1)</f>
        <v/>
      </c>
      <c r="O293">
        <f>MID($D293,3,1)</f>
        <v/>
      </c>
      <c r="P293">
        <f>MID($D293,4,1)</f>
        <v/>
      </c>
      <c r="Q293">
        <f>MID($D293,5,1)</f>
        <v/>
      </c>
      <c r="R293">
        <f>MID($D293,6,1)</f>
        <v/>
      </c>
      <c r="S293">
        <f>MID($D293,7,1)</f>
        <v/>
      </c>
      <c r="T293">
        <f>MID($D293,8,1)</f>
        <v/>
      </c>
      <c r="U293">
        <f>MID($D293,9,1)</f>
        <v/>
      </c>
      <c r="V293">
        <f>MID($D293,10,1)</f>
        <v/>
      </c>
      <c r="W293">
        <f>MID($E293,1,1)</f>
        <v/>
      </c>
      <c r="X293">
        <f>MID($E293,2,1)</f>
        <v/>
      </c>
      <c r="Y293">
        <f>MID($E293,3,1)</f>
        <v/>
      </c>
      <c r="Z293">
        <f>MID($E293,4,1)</f>
        <v/>
      </c>
      <c r="AA293">
        <f>MID($E293,5,1)</f>
        <v/>
      </c>
      <c r="AB293">
        <f>MID($E293,6,1)</f>
        <v/>
      </c>
      <c r="AC293">
        <f>MID($E293,7,1)</f>
        <v/>
      </c>
      <c r="AD293">
        <f>MID($E293,8,1)</f>
        <v/>
      </c>
      <c r="AE293">
        <f>MID($E293,9,1)</f>
        <v/>
      </c>
      <c r="AF293">
        <f>MID($E293,10,1)</f>
        <v/>
      </c>
    </row>
    <row r="294">
      <c r="A294" s="4" t="inlineStr">
        <is>
          <t>DN293</t>
        </is>
      </c>
      <c r="B294" s="4" t="n">
        <v>4</v>
      </c>
      <c r="C294" s="4" t="n">
        <v>7</v>
      </c>
      <c r="D294" s="5" t="inlineStr">
        <is>
          <t>ACCACTCTGA</t>
        </is>
      </c>
      <c r="E294" s="5" t="inlineStr">
        <is>
          <t>AGTACTCTCG</t>
        </is>
      </c>
      <c r="F294" s="4">
        <f>LEN(SUBSTITUTE(SUBSTITUTE(D294,"A",""),"T",""))</f>
        <v/>
      </c>
      <c r="G294" s="4">
        <f>LEN(SUBSTITUTE(SUBSTITUTE(E294,"A",""),"T",""))</f>
        <v/>
      </c>
      <c r="H294" s="4" t="n">
        <v>-3.3</v>
      </c>
      <c r="I294" s="4" t="n">
        <v>-0.29</v>
      </c>
      <c r="J294" s="4" t="n">
        <v>-2.82</v>
      </c>
      <c r="K294" s="4" t="n">
        <v>-0.1</v>
      </c>
      <c r="M294">
        <f>MID($D294,1,1)</f>
        <v/>
      </c>
      <c r="N294">
        <f>MID($D294,2,1)</f>
        <v/>
      </c>
      <c r="O294">
        <f>MID($D294,3,1)</f>
        <v/>
      </c>
      <c r="P294">
        <f>MID($D294,4,1)</f>
        <v/>
      </c>
      <c r="Q294">
        <f>MID($D294,5,1)</f>
        <v/>
      </c>
      <c r="R294">
        <f>MID($D294,6,1)</f>
        <v/>
      </c>
      <c r="S294">
        <f>MID($D294,7,1)</f>
        <v/>
      </c>
      <c r="T294">
        <f>MID($D294,8,1)</f>
        <v/>
      </c>
      <c r="U294">
        <f>MID($D294,9,1)</f>
        <v/>
      </c>
      <c r="V294">
        <f>MID($D294,10,1)</f>
        <v/>
      </c>
      <c r="W294">
        <f>MID($E294,1,1)</f>
        <v/>
      </c>
      <c r="X294">
        <f>MID($E294,2,1)</f>
        <v/>
      </c>
      <c r="Y294">
        <f>MID($E294,3,1)</f>
        <v/>
      </c>
      <c r="Z294">
        <f>MID($E294,4,1)</f>
        <v/>
      </c>
      <c r="AA294">
        <f>MID($E294,5,1)</f>
        <v/>
      </c>
      <c r="AB294">
        <f>MID($E294,6,1)</f>
        <v/>
      </c>
      <c r="AC294">
        <f>MID($E294,7,1)</f>
        <v/>
      </c>
      <c r="AD294">
        <f>MID($E294,8,1)</f>
        <v/>
      </c>
      <c r="AE294">
        <f>MID($E294,9,1)</f>
        <v/>
      </c>
      <c r="AF294">
        <f>MID($E294,10,1)</f>
        <v/>
      </c>
    </row>
    <row r="295">
      <c r="A295" s="4" t="inlineStr">
        <is>
          <t>DN294</t>
        </is>
      </c>
      <c r="B295" s="4" t="n">
        <v>4</v>
      </c>
      <c r="C295" s="4" t="n">
        <v>7</v>
      </c>
      <c r="D295" s="5" t="inlineStr">
        <is>
          <t>GCATCGAAGG</t>
        </is>
      </c>
      <c r="E295" s="5" t="inlineStr">
        <is>
          <t>TTCTCCAAGA</t>
        </is>
      </c>
      <c r="F295" s="4">
        <f>LEN(SUBSTITUTE(SUBSTITUTE(D295,"A",""),"T",""))</f>
        <v/>
      </c>
      <c r="G295" s="4">
        <f>LEN(SUBSTITUTE(SUBSTITUTE(E295,"A",""),"T",""))</f>
        <v/>
      </c>
      <c r="H295" s="4" t="n">
        <v>-4.11</v>
      </c>
      <c r="I295" s="4" t="n">
        <v>-0.89</v>
      </c>
      <c r="J295" s="4" t="n">
        <v>-2.26</v>
      </c>
      <c r="K295" s="4" t="n">
        <v>-0.1</v>
      </c>
      <c r="M295">
        <f>MID($D295,1,1)</f>
        <v/>
      </c>
      <c r="N295">
        <f>MID($D295,2,1)</f>
        <v/>
      </c>
      <c r="O295">
        <f>MID($D295,3,1)</f>
        <v/>
      </c>
      <c r="P295">
        <f>MID($D295,4,1)</f>
        <v/>
      </c>
      <c r="Q295">
        <f>MID($D295,5,1)</f>
        <v/>
      </c>
      <c r="R295">
        <f>MID($D295,6,1)</f>
        <v/>
      </c>
      <c r="S295">
        <f>MID($D295,7,1)</f>
        <v/>
      </c>
      <c r="T295">
        <f>MID($D295,8,1)</f>
        <v/>
      </c>
      <c r="U295">
        <f>MID($D295,9,1)</f>
        <v/>
      </c>
      <c r="V295">
        <f>MID($D295,10,1)</f>
        <v/>
      </c>
      <c r="W295">
        <f>MID($E295,1,1)</f>
        <v/>
      </c>
      <c r="X295">
        <f>MID($E295,2,1)</f>
        <v/>
      </c>
      <c r="Y295">
        <f>MID($E295,3,1)</f>
        <v/>
      </c>
      <c r="Z295">
        <f>MID($E295,4,1)</f>
        <v/>
      </c>
      <c r="AA295">
        <f>MID($E295,5,1)</f>
        <v/>
      </c>
      <c r="AB295">
        <f>MID($E295,6,1)</f>
        <v/>
      </c>
      <c r="AC295">
        <f>MID($E295,7,1)</f>
        <v/>
      </c>
      <c r="AD295">
        <f>MID($E295,8,1)</f>
        <v/>
      </c>
      <c r="AE295">
        <f>MID($E295,9,1)</f>
        <v/>
      </c>
      <c r="AF295">
        <f>MID($E295,10,1)</f>
        <v/>
      </c>
    </row>
    <row r="296">
      <c r="A296" s="4" t="inlineStr">
        <is>
          <t>DN295</t>
        </is>
      </c>
      <c r="B296" s="4" t="n">
        <v>4</v>
      </c>
      <c r="C296" s="4" t="n">
        <v>7</v>
      </c>
      <c r="D296" s="5" t="inlineStr">
        <is>
          <t>CGGATAGACC</t>
        </is>
      </c>
      <c r="E296" s="5" t="inlineStr">
        <is>
          <t>ACACTGGCGA</t>
        </is>
      </c>
      <c r="F296" s="4">
        <f>LEN(SUBSTITUTE(SUBSTITUTE(D296,"A",""),"T",""))</f>
        <v/>
      </c>
      <c r="G296" s="4">
        <f>LEN(SUBSTITUTE(SUBSTITUTE(E296,"A",""),"T",""))</f>
        <v/>
      </c>
      <c r="H296" s="4" t="n">
        <v>-2.62</v>
      </c>
      <c r="I296" s="4" t="n">
        <v>-1.81</v>
      </c>
      <c r="J296" s="4" t="n">
        <v>-5.36</v>
      </c>
      <c r="K296" s="4" t="n">
        <v>-1.48</v>
      </c>
      <c r="M296">
        <f>MID($D296,1,1)</f>
        <v/>
      </c>
      <c r="N296">
        <f>MID($D296,2,1)</f>
        <v/>
      </c>
      <c r="O296">
        <f>MID($D296,3,1)</f>
        <v/>
      </c>
      <c r="P296">
        <f>MID($D296,4,1)</f>
        <v/>
      </c>
      <c r="Q296">
        <f>MID($D296,5,1)</f>
        <v/>
      </c>
      <c r="R296">
        <f>MID($D296,6,1)</f>
        <v/>
      </c>
      <c r="S296">
        <f>MID($D296,7,1)</f>
        <v/>
      </c>
      <c r="T296">
        <f>MID($D296,8,1)</f>
        <v/>
      </c>
      <c r="U296">
        <f>MID($D296,9,1)</f>
        <v/>
      </c>
      <c r="V296">
        <f>MID($D296,10,1)</f>
        <v/>
      </c>
      <c r="W296">
        <f>MID($E296,1,1)</f>
        <v/>
      </c>
      <c r="X296">
        <f>MID($E296,2,1)</f>
        <v/>
      </c>
      <c r="Y296">
        <f>MID($E296,3,1)</f>
        <v/>
      </c>
      <c r="Z296">
        <f>MID($E296,4,1)</f>
        <v/>
      </c>
      <c r="AA296">
        <f>MID($E296,5,1)</f>
        <v/>
      </c>
      <c r="AB296">
        <f>MID($E296,6,1)</f>
        <v/>
      </c>
      <c r="AC296">
        <f>MID($E296,7,1)</f>
        <v/>
      </c>
      <c r="AD296">
        <f>MID($E296,8,1)</f>
        <v/>
      </c>
      <c r="AE296">
        <f>MID($E296,9,1)</f>
        <v/>
      </c>
      <c r="AF296">
        <f>MID($E296,10,1)</f>
        <v/>
      </c>
    </row>
    <row r="297">
      <c r="A297" s="4" t="inlineStr">
        <is>
          <t>DN296</t>
        </is>
      </c>
      <c r="B297" s="4" t="n">
        <v>4</v>
      </c>
      <c r="C297" s="4" t="n">
        <v>7</v>
      </c>
      <c r="D297" s="5" t="inlineStr">
        <is>
          <t>CCATGTACGA</t>
        </is>
      </c>
      <c r="E297" s="5" t="inlineStr">
        <is>
          <t>CGGATTCTGT</t>
        </is>
      </c>
      <c r="F297" s="4">
        <f>LEN(SUBSTITUTE(SUBSTITUTE(D297,"A",""),"T",""))</f>
        <v/>
      </c>
      <c r="G297" s="4">
        <f>LEN(SUBSTITUTE(SUBSTITUTE(E297,"A",""),"T",""))</f>
        <v/>
      </c>
      <c r="H297" s="4" t="n">
        <v>-2.87</v>
      </c>
      <c r="I297" s="4" t="n">
        <v>-1.92</v>
      </c>
      <c r="J297" s="4" t="n">
        <v>-2.62</v>
      </c>
      <c r="K297" s="4" t="n">
        <v>-1.81</v>
      </c>
      <c r="M297">
        <f>MID($D297,1,1)</f>
        <v/>
      </c>
      <c r="N297">
        <f>MID($D297,2,1)</f>
        <v/>
      </c>
      <c r="O297">
        <f>MID($D297,3,1)</f>
        <v/>
      </c>
      <c r="P297">
        <f>MID($D297,4,1)</f>
        <v/>
      </c>
      <c r="Q297">
        <f>MID($D297,5,1)</f>
        <v/>
      </c>
      <c r="R297">
        <f>MID($D297,6,1)</f>
        <v/>
      </c>
      <c r="S297">
        <f>MID($D297,7,1)</f>
        <v/>
      </c>
      <c r="T297">
        <f>MID($D297,8,1)</f>
        <v/>
      </c>
      <c r="U297">
        <f>MID($D297,9,1)</f>
        <v/>
      </c>
      <c r="V297">
        <f>MID($D297,10,1)</f>
        <v/>
      </c>
      <c r="W297">
        <f>MID($E297,1,1)</f>
        <v/>
      </c>
      <c r="X297">
        <f>MID($E297,2,1)</f>
        <v/>
      </c>
      <c r="Y297">
        <f>MID($E297,3,1)</f>
        <v/>
      </c>
      <c r="Z297">
        <f>MID($E297,4,1)</f>
        <v/>
      </c>
      <c r="AA297">
        <f>MID($E297,5,1)</f>
        <v/>
      </c>
      <c r="AB297">
        <f>MID($E297,6,1)</f>
        <v/>
      </c>
      <c r="AC297">
        <f>MID($E297,7,1)</f>
        <v/>
      </c>
      <c r="AD297">
        <f>MID($E297,8,1)</f>
        <v/>
      </c>
      <c r="AE297">
        <f>MID($E297,9,1)</f>
        <v/>
      </c>
      <c r="AF297">
        <f>MID($E297,10,1)</f>
        <v/>
      </c>
    </row>
    <row r="298">
      <c r="A298" s="4" t="inlineStr">
        <is>
          <t>DN297</t>
        </is>
      </c>
      <c r="B298" s="4" t="n">
        <v>4</v>
      </c>
      <c r="C298" s="4" t="n">
        <v>7</v>
      </c>
      <c r="D298" s="5" t="inlineStr">
        <is>
          <t>CGGACATTGG</t>
        </is>
      </c>
      <c r="E298" s="5" t="inlineStr">
        <is>
          <t>CCGGATTGTA</t>
        </is>
      </c>
      <c r="F298" s="4">
        <f>LEN(SUBSTITUTE(SUBSTITUTE(D298,"A",""),"T",""))</f>
        <v/>
      </c>
      <c r="G298" s="4">
        <f>LEN(SUBSTITUTE(SUBSTITUTE(E298,"A",""),"T",""))</f>
        <v/>
      </c>
      <c r="H298" s="4" t="n">
        <v>-2.62</v>
      </c>
      <c r="I298" s="4" t="n">
        <v>-1.81</v>
      </c>
      <c r="J298" s="4" t="n">
        <v>-2.85</v>
      </c>
      <c r="K298" s="4" t="n">
        <v>-2.04</v>
      </c>
      <c r="M298">
        <f>MID($D298,1,1)</f>
        <v/>
      </c>
      <c r="N298">
        <f>MID($D298,2,1)</f>
        <v/>
      </c>
      <c r="O298">
        <f>MID($D298,3,1)</f>
        <v/>
      </c>
      <c r="P298">
        <f>MID($D298,4,1)</f>
        <v/>
      </c>
      <c r="Q298">
        <f>MID($D298,5,1)</f>
        <v/>
      </c>
      <c r="R298">
        <f>MID($D298,6,1)</f>
        <v/>
      </c>
      <c r="S298">
        <f>MID($D298,7,1)</f>
        <v/>
      </c>
      <c r="T298">
        <f>MID($D298,8,1)</f>
        <v/>
      </c>
      <c r="U298">
        <f>MID($D298,9,1)</f>
        <v/>
      </c>
      <c r="V298">
        <f>MID($D298,10,1)</f>
        <v/>
      </c>
      <c r="W298">
        <f>MID($E298,1,1)</f>
        <v/>
      </c>
      <c r="X298">
        <f>MID($E298,2,1)</f>
        <v/>
      </c>
      <c r="Y298">
        <f>MID($E298,3,1)</f>
        <v/>
      </c>
      <c r="Z298">
        <f>MID($E298,4,1)</f>
        <v/>
      </c>
      <c r="AA298">
        <f>MID($E298,5,1)</f>
        <v/>
      </c>
      <c r="AB298">
        <f>MID($E298,6,1)</f>
        <v/>
      </c>
      <c r="AC298">
        <f>MID($E298,7,1)</f>
        <v/>
      </c>
      <c r="AD298">
        <f>MID($E298,8,1)</f>
        <v/>
      </c>
      <c r="AE298">
        <f>MID($E298,9,1)</f>
        <v/>
      </c>
      <c r="AF298">
        <f>MID($E298,10,1)</f>
        <v/>
      </c>
    </row>
    <row r="299">
      <c r="A299" s="4" t="inlineStr">
        <is>
          <t>DN298</t>
        </is>
      </c>
      <c r="B299" s="4" t="n">
        <v>4</v>
      </c>
      <c r="C299" s="4" t="n">
        <v>7</v>
      </c>
      <c r="D299" s="5" t="inlineStr">
        <is>
          <t>TGGACCTCGT</t>
        </is>
      </c>
      <c r="E299" s="5" t="inlineStr">
        <is>
          <t>CCTATGCATC</t>
        </is>
      </c>
      <c r="F299" s="4">
        <f>LEN(SUBSTITUTE(SUBSTITUTE(D299,"A",""),"T",""))</f>
        <v/>
      </c>
      <c r="G299" s="4">
        <f>LEN(SUBSTITUTE(SUBSTITUTE(E299,"A",""),"T",""))</f>
        <v/>
      </c>
      <c r="H299" s="4" t="n">
        <v>-3.82</v>
      </c>
      <c r="I299" s="4" t="n">
        <v>-1.45</v>
      </c>
      <c r="J299" s="4" t="n">
        <v>-2.51</v>
      </c>
      <c r="K299" s="4" t="n">
        <v>-0.6</v>
      </c>
      <c r="M299">
        <f>MID($D299,1,1)</f>
        <v/>
      </c>
      <c r="N299">
        <f>MID($D299,2,1)</f>
        <v/>
      </c>
      <c r="O299">
        <f>MID($D299,3,1)</f>
        <v/>
      </c>
      <c r="P299">
        <f>MID($D299,4,1)</f>
        <v/>
      </c>
      <c r="Q299">
        <f>MID($D299,5,1)</f>
        <v/>
      </c>
      <c r="R299">
        <f>MID($D299,6,1)</f>
        <v/>
      </c>
      <c r="S299">
        <f>MID($D299,7,1)</f>
        <v/>
      </c>
      <c r="T299">
        <f>MID($D299,8,1)</f>
        <v/>
      </c>
      <c r="U299">
        <f>MID($D299,9,1)</f>
        <v/>
      </c>
      <c r="V299">
        <f>MID($D299,10,1)</f>
        <v/>
      </c>
      <c r="W299">
        <f>MID($E299,1,1)</f>
        <v/>
      </c>
      <c r="X299">
        <f>MID($E299,2,1)</f>
        <v/>
      </c>
      <c r="Y299">
        <f>MID($E299,3,1)</f>
        <v/>
      </c>
      <c r="Z299">
        <f>MID($E299,4,1)</f>
        <v/>
      </c>
      <c r="AA299">
        <f>MID($E299,5,1)</f>
        <v/>
      </c>
      <c r="AB299">
        <f>MID($E299,6,1)</f>
        <v/>
      </c>
      <c r="AC299">
        <f>MID($E299,7,1)</f>
        <v/>
      </c>
      <c r="AD299">
        <f>MID($E299,8,1)</f>
        <v/>
      </c>
      <c r="AE299">
        <f>MID($E299,9,1)</f>
        <v/>
      </c>
      <c r="AF299">
        <f>MID($E299,10,1)</f>
        <v/>
      </c>
    </row>
    <row r="300">
      <c r="A300" s="4" t="inlineStr">
        <is>
          <t>DN299</t>
        </is>
      </c>
      <c r="B300" s="4" t="n">
        <v>4</v>
      </c>
      <c r="C300" s="4" t="n">
        <v>7</v>
      </c>
      <c r="D300" s="5" t="inlineStr">
        <is>
          <t>TCATAGCGCG</t>
        </is>
      </c>
      <c r="E300" s="5" t="inlineStr">
        <is>
          <t>CATTGGAGAT</t>
        </is>
      </c>
      <c r="F300" s="4">
        <f>LEN(SUBSTITUTE(SUBSTITUTE(D300,"A",""),"T",""))</f>
        <v/>
      </c>
      <c r="G300" s="4">
        <f>LEN(SUBSTITUTE(SUBSTITUTE(E300,"A",""),"T",""))</f>
        <v/>
      </c>
      <c r="H300" s="4" t="n">
        <v>-4.16</v>
      </c>
      <c r="I300" s="4" t="n">
        <v>-0.61</v>
      </c>
      <c r="J300" s="4" t="n">
        <v>-2.46</v>
      </c>
      <c r="K300" s="4" t="n">
        <v>-2.22</v>
      </c>
      <c r="M300">
        <f>MID($D300,1,1)</f>
        <v/>
      </c>
      <c r="N300">
        <f>MID($D300,2,1)</f>
        <v/>
      </c>
      <c r="O300">
        <f>MID($D300,3,1)</f>
        <v/>
      </c>
      <c r="P300">
        <f>MID($D300,4,1)</f>
        <v/>
      </c>
      <c r="Q300">
        <f>MID($D300,5,1)</f>
        <v/>
      </c>
      <c r="R300">
        <f>MID($D300,6,1)</f>
        <v/>
      </c>
      <c r="S300">
        <f>MID($D300,7,1)</f>
        <v/>
      </c>
      <c r="T300">
        <f>MID($D300,8,1)</f>
        <v/>
      </c>
      <c r="U300">
        <f>MID($D300,9,1)</f>
        <v/>
      </c>
      <c r="V300">
        <f>MID($D300,10,1)</f>
        <v/>
      </c>
      <c r="W300">
        <f>MID($E300,1,1)</f>
        <v/>
      </c>
      <c r="X300">
        <f>MID($E300,2,1)</f>
        <v/>
      </c>
      <c r="Y300">
        <f>MID($E300,3,1)</f>
        <v/>
      </c>
      <c r="Z300">
        <f>MID($E300,4,1)</f>
        <v/>
      </c>
      <c r="AA300">
        <f>MID($E300,5,1)</f>
        <v/>
      </c>
      <c r="AB300">
        <f>MID($E300,6,1)</f>
        <v/>
      </c>
      <c r="AC300">
        <f>MID($E300,7,1)</f>
        <v/>
      </c>
      <c r="AD300">
        <f>MID($E300,8,1)</f>
        <v/>
      </c>
      <c r="AE300">
        <f>MID($E300,9,1)</f>
        <v/>
      </c>
      <c r="AF300">
        <f>MID($E300,10,1)</f>
        <v/>
      </c>
    </row>
    <row r="301">
      <c r="A301" s="4" t="inlineStr">
        <is>
          <t>DN300</t>
        </is>
      </c>
      <c r="B301" s="4" t="n">
        <v>4</v>
      </c>
      <c r="C301" s="4" t="n">
        <v>7</v>
      </c>
      <c r="D301" s="5" t="inlineStr">
        <is>
          <t>ACATCGTAAC</t>
        </is>
      </c>
      <c r="E301" s="5" t="inlineStr">
        <is>
          <t>CTTGTAGCAA</t>
        </is>
      </c>
      <c r="F301" s="4">
        <f>LEN(SUBSTITUTE(SUBSTITUTE(D301,"A",""),"T",""))</f>
        <v/>
      </c>
      <c r="G301" s="4">
        <f>LEN(SUBSTITUTE(SUBSTITUTE(E301,"A",""),"T",""))</f>
        <v/>
      </c>
      <c r="H301" s="4" t="n">
        <v>-2.83</v>
      </c>
      <c r="I301" s="4" t="n">
        <v>-0.16</v>
      </c>
      <c r="J301" s="4" t="n">
        <v>-3.28</v>
      </c>
      <c r="K301" s="4" t="n">
        <v>-3.28</v>
      </c>
      <c r="M301">
        <f>MID($D301,1,1)</f>
        <v/>
      </c>
      <c r="N301">
        <f>MID($D301,2,1)</f>
        <v/>
      </c>
      <c r="O301">
        <f>MID($D301,3,1)</f>
        <v/>
      </c>
      <c r="P301">
        <f>MID($D301,4,1)</f>
        <v/>
      </c>
      <c r="Q301">
        <f>MID($D301,5,1)</f>
        <v/>
      </c>
      <c r="R301">
        <f>MID($D301,6,1)</f>
        <v/>
      </c>
      <c r="S301">
        <f>MID($D301,7,1)</f>
        <v/>
      </c>
      <c r="T301">
        <f>MID($D301,8,1)</f>
        <v/>
      </c>
      <c r="U301">
        <f>MID($D301,9,1)</f>
        <v/>
      </c>
      <c r="V301">
        <f>MID($D301,10,1)</f>
        <v/>
      </c>
      <c r="W301">
        <f>MID($E301,1,1)</f>
        <v/>
      </c>
      <c r="X301">
        <f>MID($E301,2,1)</f>
        <v/>
      </c>
      <c r="Y301">
        <f>MID($E301,3,1)</f>
        <v/>
      </c>
      <c r="Z301">
        <f>MID($E301,4,1)</f>
        <v/>
      </c>
      <c r="AA301">
        <f>MID($E301,5,1)</f>
        <v/>
      </c>
      <c r="AB301">
        <f>MID($E301,6,1)</f>
        <v/>
      </c>
      <c r="AC301">
        <f>MID($E301,7,1)</f>
        <v/>
      </c>
      <c r="AD301">
        <f>MID($E301,8,1)</f>
        <v/>
      </c>
      <c r="AE301">
        <f>MID($E301,9,1)</f>
        <v/>
      </c>
      <c r="AF301">
        <f>MID($E301,10,1)</f>
        <v/>
      </c>
    </row>
    <row r="302">
      <c r="A302" s="4" t="inlineStr">
        <is>
          <t>DN301</t>
        </is>
      </c>
      <c r="B302" s="4" t="n">
        <v>4</v>
      </c>
      <c r="C302" s="4" t="n">
        <v>7</v>
      </c>
      <c r="D302" s="5" t="inlineStr">
        <is>
          <t>AGGTGTACGT</t>
        </is>
      </c>
      <c r="E302" s="5" t="inlineStr">
        <is>
          <t>TACGTAACCA</t>
        </is>
      </c>
      <c r="F302" s="4">
        <f>LEN(SUBSTITUTE(SUBSTITUTE(D302,"A",""),"T",""))</f>
        <v/>
      </c>
      <c r="G302" s="4">
        <f>LEN(SUBSTITUTE(SUBSTITUTE(E302,"A",""),"T",""))</f>
        <v/>
      </c>
      <c r="H302" s="4" t="n">
        <v>-3.27</v>
      </c>
      <c r="I302" s="4" t="n">
        <v>-2.4</v>
      </c>
      <c r="J302" s="4" t="n">
        <v>-3.14</v>
      </c>
      <c r="K302" s="4" t="n">
        <v>-1.79</v>
      </c>
      <c r="M302">
        <f>MID($D302,1,1)</f>
        <v/>
      </c>
      <c r="N302">
        <f>MID($D302,2,1)</f>
        <v/>
      </c>
      <c r="O302">
        <f>MID($D302,3,1)</f>
        <v/>
      </c>
      <c r="P302">
        <f>MID($D302,4,1)</f>
        <v/>
      </c>
      <c r="Q302">
        <f>MID($D302,5,1)</f>
        <v/>
      </c>
      <c r="R302">
        <f>MID($D302,6,1)</f>
        <v/>
      </c>
      <c r="S302">
        <f>MID($D302,7,1)</f>
        <v/>
      </c>
      <c r="T302">
        <f>MID($D302,8,1)</f>
        <v/>
      </c>
      <c r="U302">
        <f>MID($D302,9,1)</f>
        <v/>
      </c>
      <c r="V302">
        <f>MID($D302,10,1)</f>
        <v/>
      </c>
      <c r="W302">
        <f>MID($E302,1,1)</f>
        <v/>
      </c>
      <c r="X302">
        <f>MID($E302,2,1)</f>
        <v/>
      </c>
      <c r="Y302">
        <f>MID($E302,3,1)</f>
        <v/>
      </c>
      <c r="Z302">
        <f>MID($E302,4,1)</f>
        <v/>
      </c>
      <c r="AA302">
        <f>MID($E302,5,1)</f>
        <v/>
      </c>
      <c r="AB302">
        <f>MID($E302,6,1)</f>
        <v/>
      </c>
      <c r="AC302">
        <f>MID($E302,7,1)</f>
        <v/>
      </c>
      <c r="AD302">
        <f>MID($E302,8,1)</f>
        <v/>
      </c>
      <c r="AE302">
        <f>MID($E302,9,1)</f>
        <v/>
      </c>
      <c r="AF302">
        <f>MID($E302,10,1)</f>
        <v/>
      </c>
    </row>
    <row r="303">
      <c r="A303" s="4" t="inlineStr">
        <is>
          <t>DN302</t>
        </is>
      </c>
      <c r="B303" s="4" t="n">
        <v>4</v>
      </c>
      <c r="C303" s="4" t="n">
        <v>7</v>
      </c>
      <c r="D303" s="5" t="inlineStr">
        <is>
          <t>GACGGTTACT</t>
        </is>
      </c>
      <c r="E303" s="5" t="inlineStr">
        <is>
          <t>GCGGACTCAA</t>
        </is>
      </c>
      <c r="F303" s="4">
        <f>LEN(SUBSTITUTE(SUBSTITUTE(D303,"A",""),"T",""))</f>
        <v/>
      </c>
      <c r="G303" s="4">
        <f>LEN(SUBSTITUTE(SUBSTITUTE(E303,"A",""),"T",""))</f>
        <v/>
      </c>
      <c r="H303" s="4" t="n">
        <v>-2.95</v>
      </c>
      <c r="I303" s="4" t="n">
        <v>-1.7</v>
      </c>
      <c r="J303" s="4" t="n">
        <v>-3.51</v>
      </c>
      <c r="K303" s="4" t="n">
        <v>-2.27</v>
      </c>
      <c r="M303">
        <f>MID($D303,1,1)</f>
        <v/>
      </c>
      <c r="N303">
        <f>MID($D303,2,1)</f>
        <v/>
      </c>
      <c r="O303">
        <f>MID($D303,3,1)</f>
        <v/>
      </c>
      <c r="P303">
        <f>MID($D303,4,1)</f>
        <v/>
      </c>
      <c r="Q303">
        <f>MID($D303,5,1)</f>
        <v/>
      </c>
      <c r="R303">
        <f>MID($D303,6,1)</f>
        <v/>
      </c>
      <c r="S303">
        <f>MID($D303,7,1)</f>
        <v/>
      </c>
      <c r="T303">
        <f>MID($D303,8,1)</f>
        <v/>
      </c>
      <c r="U303">
        <f>MID($D303,9,1)</f>
        <v/>
      </c>
      <c r="V303">
        <f>MID($D303,10,1)</f>
        <v/>
      </c>
      <c r="W303">
        <f>MID($E303,1,1)</f>
        <v/>
      </c>
      <c r="X303">
        <f>MID($E303,2,1)</f>
        <v/>
      </c>
      <c r="Y303">
        <f>MID($E303,3,1)</f>
        <v/>
      </c>
      <c r="Z303">
        <f>MID($E303,4,1)</f>
        <v/>
      </c>
      <c r="AA303">
        <f>MID($E303,5,1)</f>
        <v/>
      </c>
      <c r="AB303">
        <f>MID($E303,6,1)</f>
        <v/>
      </c>
      <c r="AC303">
        <f>MID($E303,7,1)</f>
        <v/>
      </c>
      <c r="AD303">
        <f>MID($E303,8,1)</f>
        <v/>
      </c>
      <c r="AE303">
        <f>MID($E303,9,1)</f>
        <v/>
      </c>
      <c r="AF303">
        <f>MID($E303,10,1)</f>
        <v/>
      </c>
    </row>
    <row r="304">
      <c r="A304" s="4" t="inlineStr">
        <is>
          <t>DN303</t>
        </is>
      </c>
      <c r="B304" s="4" t="n">
        <v>4</v>
      </c>
      <c r="C304" s="4" t="n">
        <v>7</v>
      </c>
      <c r="D304" s="5" t="inlineStr">
        <is>
          <t>GATAGTTCGA</t>
        </is>
      </c>
      <c r="E304" s="5" t="inlineStr">
        <is>
          <t>TTAATGCCTC</t>
        </is>
      </c>
      <c r="F304" s="4">
        <f>LEN(SUBSTITUTE(SUBSTITUTE(D304,"A",""),"T",""))</f>
        <v/>
      </c>
      <c r="G304" s="4">
        <f>LEN(SUBSTITUTE(SUBSTITUTE(E304,"A",""),"T",""))</f>
        <v/>
      </c>
      <c r="H304" s="4" t="n">
        <v>-4.13</v>
      </c>
      <c r="I304" s="4" t="n">
        <v>-0.98</v>
      </c>
      <c r="J304" s="4" t="n">
        <v>-2.8</v>
      </c>
      <c r="K304" s="4" t="n">
        <v>-2.6</v>
      </c>
      <c r="M304">
        <f>MID($D304,1,1)</f>
        <v/>
      </c>
      <c r="N304">
        <f>MID($D304,2,1)</f>
        <v/>
      </c>
      <c r="O304">
        <f>MID($D304,3,1)</f>
        <v/>
      </c>
      <c r="P304">
        <f>MID($D304,4,1)</f>
        <v/>
      </c>
      <c r="Q304">
        <f>MID($D304,5,1)</f>
        <v/>
      </c>
      <c r="R304">
        <f>MID($D304,6,1)</f>
        <v/>
      </c>
      <c r="S304">
        <f>MID($D304,7,1)</f>
        <v/>
      </c>
      <c r="T304">
        <f>MID($D304,8,1)</f>
        <v/>
      </c>
      <c r="U304">
        <f>MID($D304,9,1)</f>
        <v/>
      </c>
      <c r="V304">
        <f>MID($D304,10,1)</f>
        <v/>
      </c>
      <c r="W304">
        <f>MID($E304,1,1)</f>
        <v/>
      </c>
      <c r="X304">
        <f>MID($E304,2,1)</f>
        <v/>
      </c>
      <c r="Y304">
        <f>MID($E304,3,1)</f>
        <v/>
      </c>
      <c r="Z304">
        <f>MID($E304,4,1)</f>
        <v/>
      </c>
      <c r="AA304">
        <f>MID($E304,5,1)</f>
        <v/>
      </c>
      <c r="AB304">
        <f>MID($E304,6,1)</f>
        <v/>
      </c>
      <c r="AC304">
        <f>MID($E304,7,1)</f>
        <v/>
      </c>
      <c r="AD304">
        <f>MID($E304,8,1)</f>
        <v/>
      </c>
      <c r="AE304">
        <f>MID($E304,9,1)</f>
        <v/>
      </c>
      <c r="AF304">
        <f>MID($E304,10,1)</f>
        <v/>
      </c>
    </row>
    <row r="305">
      <c r="A305" s="4" t="inlineStr">
        <is>
          <t>DN304</t>
        </is>
      </c>
      <c r="B305" s="4" t="n">
        <v>4</v>
      </c>
      <c r="C305" s="4" t="n">
        <v>7</v>
      </c>
      <c r="D305" s="5" t="inlineStr">
        <is>
          <t>CAACTCATGT</t>
        </is>
      </c>
      <c r="E305" s="5" t="inlineStr">
        <is>
          <t>GAACCGGTGA</t>
        </is>
      </c>
      <c r="F305" s="4">
        <f>LEN(SUBSTITUTE(SUBSTITUTE(D305,"A",""),"T",""))</f>
        <v/>
      </c>
      <c r="G305" s="4">
        <f>LEN(SUBSTITUTE(SUBSTITUTE(E305,"A",""),"T",""))</f>
        <v/>
      </c>
      <c r="H305" s="4" t="n">
        <v>-1.56</v>
      </c>
      <c r="I305" s="4" t="n">
        <v>-0.7</v>
      </c>
      <c r="J305" s="4" t="n">
        <v>-3.34</v>
      </c>
      <c r="K305" s="4" t="n">
        <v>-2.22</v>
      </c>
      <c r="M305">
        <f>MID($D305,1,1)</f>
        <v/>
      </c>
      <c r="N305">
        <f>MID($D305,2,1)</f>
        <v/>
      </c>
      <c r="O305">
        <f>MID($D305,3,1)</f>
        <v/>
      </c>
      <c r="P305">
        <f>MID($D305,4,1)</f>
        <v/>
      </c>
      <c r="Q305">
        <f>MID($D305,5,1)</f>
        <v/>
      </c>
      <c r="R305">
        <f>MID($D305,6,1)</f>
        <v/>
      </c>
      <c r="S305">
        <f>MID($D305,7,1)</f>
        <v/>
      </c>
      <c r="T305">
        <f>MID($D305,8,1)</f>
        <v/>
      </c>
      <c r="U305">
        <f>MID($D305,9,1)</f>
        <v/>
      </c>
      <c r="V305">
        <f>MID($D305,10,1)</f>
        <v/>
      </c>
      <c r="W305">
        <f>MID($E305,1,1)</f>
        <v/>
      </c>
      <c r="X305">
        <f>MID($E305,2,1)</f>
        <v/>
      </c>
      <c r="Y305">
        <f>MID($E305,3,1)</f>
        <v/>
      </c>
      <c r="Z305">
        <f>MID($E305,4,1)</f>
        <v/>
      </c>
      <c r="AA305">
        <f>MID($E305,5,1)</f>
        <v/>
      </c>
      <c r="AB305">
        <f>MID($E305,6,1)</f>
        <v/>
      </c>
      <c r="AC305">
        <f>MID($E305,7,1)</f>
        <v/>
      </c>
      <c r="AD305">
        <f>MID($E305,8,1)</f>
        <v/>
      </c>
      <c r="AE305">
        <f>MID($E305,9,1)</f>
        <v/>
      </c>
      <c r="AF305">
        <f>MID($E305,10,1)</f>
        <v/>
      </c>
    </row>
    <row r="306">
      <c r="A306" s="4" t="inlineStr">
        <is>
          <t>DN305</t>
        </is>
      </c>
      <c r="B306" s="4" t="n">
        <v>4</v>
      </c>
      <c r="C306" s="4" t="n">
        <v>7</v>
      </c>
      <c r="D306" s="5" t="inlineStr">
        <is>
          <t>CGTTACGTTA</t>
        </is>
      </c>
      <c r="E306" s="5" t="inlineStr">
        <is>
          <t>GCAAGACCGT</t>
        </is>
      </c>
      <c r="F306" s="4">
        <f>LEN(SUBSTITUTE(SUBSTITUTE(D306,"A",""),"T",""))</f>
        <v/>
      </c>
      <c r="G306" s="4">
        <f>LEN(SUBSTITUTE(SUBSTITUTE(E306,"A",""),"T",""))</f>
        <v/>
      </c>
      <c r="H306" s="4" t="n">
        <v>-2.46</v>
      </c>
      <c r="I306" s="4" t="n">
        <v>-1.7</v>
      </c>
      <c r="J306" s="4" t="n">
        <v>-2.86</v>
      </c>
      <c r="K306" s="4" t="n">
        <v>-0.64</v>
      </c>
      <c r="M306">
        <f>MID($D306,1,1)</f>
        <v/>
      </c>
      <c r="N306">
        <f>MID($D306,2,1)</f>
        <v/>
      </c>
      <c r="O306">
        <f>MID($D306,3,1)</f>
        <v/>
      </c>
      <c r="P306">
        <f>MID($D306,4,1)</f>
        <v/>
      </c>
      <c r="Q306">
        <f>MID($D306,5,1)</f>
        <v/>
      </c>
      <c r="R306">
        <f>MID($D306,6,1)</f>
        <v/>
      </c>
      <c r="S306">
        <f>MID($D306,7,1)</f>
        <v/>
      </c>
      <c r="T306">
        <f>MID($D306,8,1)</f>
        <v/>
      </c>
      <c r="U306">
        <f>MID($D306,9,1)</f>
        <v/>
      </c>
      <c r="V306">
        <f>MID($D306,10,1)</f>
        <v/>
      </c>
      <c r="W306">
        <f>MID($E306,1,1)</f>
        <v/>
      </c>
      <c r="X306">
        <f>MID($E306,2,1)</f>
        <v/>
      </c>
      <c r="Y306">
        <f>MID($E306,3,1)</f>
        <v/>
      </c>
      <c r="Z306">
        <f>MID($E306,4,1)</f>
        <v/>
      </c>
      <c r="AA306">
        <f>MID($E306,5,1)</f>
        <v/>
      </c>
      <c r="AB306">
        <f>MID($E306,6,1)</f>
        <v/>
      </c>
      <c r="AC306">
        <f>MID($E306,7,1)</f>
        <v/>
      </c>
      <c r="AD306">
        <f>MID($E306,8,1)</f>
        <v/>
      </c>
      <c r="AE306">
        <f>MID($E306,9,1)</f>
        <v/>
      </c>
      <c r="AF306">
        <f>MID($E306,10,1)</f>
        <v/>
      </c>
    </row>
    <row r="307">
      <c r="A307" s="4" t="inlineStr">
        <is>
          <t>DN306</t>
        </is>
      </c>
      <c r="B307" s="4" t="n">
        <v>4</v>
      </c>
      <c r="C307" s="4" t="n">
        <v>7</v>
      </c>
      <c r="D307" s="5" t="inlineStr">
        <is>
          <t>GCTTGGTTCT</t>
        </is>
      </c>
      <c r="E307" s="5" t="inlineStr">
        <is>
          <t>TTGACAGGCC</t>
        </is>
      </c>
      <c r="F307" s="4">
        <f>LEN(SUBSTITUTE(SUBSTITUTE(D307,"A",""),"T",""))</f>
        <v/>
      </c>
      <c r="G307" s="4">
        <f>LEN(SUBSTITUTE(SUBSTITUTE(E307,"A",""),"T",""))</f>
        <v/>
      </c>
      <c r="H307" s="4" t="n">
        <v>-2.31</v>
      </c>
      <c r="I307" s="4" t="n">
        <v>-1.23</v>
      </c>
      <c r="J307" s="4" t="n">
        <v>-3.18</v>
      </c>
      <c r="K307" s="4" t="n">
        <v>-1.88</v>
      </c>
      <c r="M307">
        <f>MID($D307,1,1)</f>
        <v/>
      </c>
      <c r="N307">
        <f>MID($D307,2,1)</f>
        <v/>
      </c>
      <c r="O307">
        <f>MID($D307,3,1)</f>
        <v/>
      </c>
      <c r="P307">
        <f>MID($D307,4,1)</f>
        <v/>
      </c>
      <c r="Q307">
        <f>MID($D307,5,1)</f>
        <v/>
      </c>
      <c r="R307">
        <f>MID($D307,6,1)</f>
        <v/>
      </c>
      <c r="S307">
        <f>MID($D307,7,1)</f>
        <v/>
      </c>
      <c r="T307">
        <f>MID($D307,8,1)</f>
        <v/>
      </c>
      <c r="U307">
        <f>MID($D307,9,1)</f>
        <v/>
      </c>
      <c r="V307">
        <f>MID($D307,10,1)</f>
        <v/>
      </c>
      <c r="W307">
        <f>MID($E307,1,1)</f>
        <v/>
      </c>
      <c r="X307">
        <f>MID($E307,2,1)</f>
        <v/>
      </c>
      <c r="Y307">
        <f>MID($E307,3,1)</f>
        <v/>
      </c>
      <c r="Z307">
        <f>MID($E307,4,1)</f>
        <v/>
      </c>
      <c r="AA307">
        <f>MID($E307,5,1)</f>
        <v/>
      </c>
      <c r="AB307">
        <f>MID($E307,6,1)</f>
        <v/>
      </c>
      <c r="AC307">
        <f>MID($E307,7,1)</f>
        <v/>
      </c>
      <c r="AD307">
        <f>MID($E307,8,1)</f>
        <v/>
      </c>
      <c r="AE307">
        <f>MID($E307,9,1)</f>
        <v/>
      </c>
      <c r="AF307">
        <f>MID($E307,10,1)</f>
        <v/>
      </c>
    </row>
    <row r="308">
      <c r="A308" s="4" t="inlineStr">
        <is>
          <t>DN307</t>
        </is>
      </c>
      <c r="B308" s="4" t="n">
        <v>4</v>
      </c>
      <c r="C308" s="4" t="n">
        <v>7</v>
      </c>
      <c r="D308" s="5" t="inlineStr">
        <is>
          <t>GCTCTGATCG</t>
        </is>
      </c>
      <c r="E308" s="5" t="inlineStr">
        <is>
          <t>AAGGAGTCGG</t>
        </is>
      </c>
      <c r="F308" s="4">
        <f>LEN(SUBSTITUTE(SUBSTITUTE(D308,"A",""),"T",""))</f>
        <v/>
      </c>
      <c r="G308" s="4">
        <f>LEN(SUBSTITUTE(SUBSTITUTE(E308,"A",""),"T",""))</f>
        <v/>
      </c>
      <c r="H308" s="4" t="n">
        <v>-2.65</v>
      </c>
      <c r="I308" s="4" t="n">
        <v>-0.71</v>
      </c>
      <c r="J308" s="4" t="n">
        <v>-5.91</v>
      </c>
      <c r="K308" s="4" t="n">
        <v>-2.1</v>
      </c>
      <c r="M308">
        <f>MID($D308,1,1)</f>
        <v/>
      </c>
      <c r="N308">
        <f>MID($D308,2,1)</f>
        <v/>
      </c>
      <c r="O308">
        <f>MID($D308,3,1)</f>
        <v/>
      </c>
      <c r="P308">
        <f>MID($D308,4,1)</f>
        <v/>
      </c>
      <c r="Q308">
        <f>MID($D308,5,1)</f>
        <v/>
      </c>
      <c r="R308">
        <f>MID($D308,6,1)</f>
        <v/>
      </c>
      <c r="S308">
        <f>MID($D308,7,1)</f>
        <v/>
      </c>
      <c r="T308">
        <f>MID($D308,8,1)</f>
        <v/>
      </c>
      <c r="U308">
        <f>MID($D308,9,1)</f>
        <v/>
      </c>
      <c r="V308">
        <f>MID($D308,10,1)</f>
        <v/>
      </c>
      <c r="W308">
        <f>MID($E308,1,1)</f>
        <v/>
      </c>
      <c r="X308">
        <f>MID($E308,2,1)</f>
        <v/>
      </c>
      <c r="Y308">
        <f>MID($E308,3,1)</f>
        <v/>
      </c>
      <c r="Z308">
        <f>MID($E308,4,1)</f>
        <v/>
      </c>
      <c r="AA308">
        <f>MID($E308,5,1)</f>
        <v/>
      </c>
      <c r="AB308">
        <f>MID($E308,6,1)</f>
        <v/>
      </c>
      <c r="AC308">
        <f>MID($E308,7,1)</f>
        <v/>
      </c>
      <c r="AD308">
        <f>MID($E308,8,1)</f>
        <v/>
      </c>
      <c r="AE308">
        <f>MID($E308,9,1)</f>
        <v/>
      </c>
      <c r="AF308">
        <f>MID($E308,10,1)</f>
        <v/>
      </c>
    </row>
    <row r="309">
      <c r="A309" s="4" t="inlineStr">
        <is>
          <t>DN308</t>
        </is>
      </c>
      <c r="B309" s="4" t="n">
        <v>4</v>
      </c>
      <c r="C309" s="4" t="n">
        <v>7</v>
      </c>
      <c r="D309" s="5" t="inlineStr">
        <is>
          <t>CCAGGAGATG</t>
        </is>
      </c>
      <c r="E309" s="5" t="inlineStr">
        <is>
          <t>CGATCCTACC</t>
        </is>
      </c>
      <c r="F309" s="4">
        <f>LEN(SUBSTITUTE(SUBSTITUTE(D309,"A",""),"T",""))</f>
        <v/>
      </c>
      <c r="G309" s="4">
        <f>LEN(SUBSTITUTE(SUBSTITUTE(E309,"A",""),"T",""))</f>
        <v/>
      </c>
      <c r="H309" s="4" t="n">
        <v>-2.98</v>
      </c>
      <c r="I309" s="4" t="n">
        <v>-2.28</v>
      </c>
      <c r="J309" s="4" t="n">
        <v>-1.93</v>
      </c>
      <c r="K309" s="4" t="n">
        <v>-0.45</v>
      </c>
      <c r="M309">
        <f>MID($D309,1,1)</f>
        <v/>
      </c>
      <c r="N309">
        <f>MID($D309,2,1)</f>
        <v/>
      </c>
      <c r="O309">
        <f>MID($D309,3,1)</f>
        <v/>
      </c>
      <c r="P309">
        <f>MID($D309,4,1)</f>
        <v/>
      </c>
      <c r="Q309">
        <f>MID($D309,5,1)</f>
        <v/>
      </c>
      <c r="R309">
        <f>MID($D309,6,1)</f>
        <v/>
      </c>
      <c r="S309">
        <f>MID($D309,7,1)</f>
        <v/>
      </c>
      <c r="T309">
        <f>MID($D309,8,1)</f>
        <v/>
      </c>
      <c r="U309">
        <f>MID($D309,9,1)</f>
        <v/>
      </c>
      <c r="V309">
        <f>MID($D309,10,1)</f>
        <v/>
      </c>
      <c r="W309">
        <f>MID($E309,1,1)</f>
        <v/>
      </c>
      <c r="X309">
        <f>MID($E309,2,1)</f>
        <v/>
      </c>
      <c r="Y309">
        <f>MID($E309,3,1)</f>
        <v/>
      </c>
      <c r="Z309">
        <f>MID($E309,4,1)</f>
        <v/>
      </c>
      <c r="AA309">
        <f>MID($E309,5,1)</f>
        <v/>
      </c>
      <c r="AB309">
        <f>MID($E309,6,1)</f>
        <v/>
      </c>
      <c r="AC309">
        <f>MID($E309,7,1)</f>
        <v/>
      </c>
      <c r="AD309">
        <f>MID($E309,8,1)</f>
        <v/>
      </c>
      <c r="AE309">
        <f>MID($E309,9,1)</f>
        <v/>
      </c>
      <c r="AF309">
        <f>MID($E309,10,1)</f>
        <v/>
      </c>
    </row>
    <row r="310">
      <c r="A310" s="4" t="inlineStr">
        <is>
          <t>DN309</t>
        </is>
      </c>
      <c r="B310" s="4" t="n">
        <v>4</v>
      </c>
      <c r="C310" s="4" t="n">
        <v>7</v>
      </c>
      <c r="D310" s="5" t="inlineStr">
        <is>
          <t>CCGGTCTTAG</t>
        </is>
      </c>
      <c r="E310" s="5" t="inlineStr">
        <is>
          <t>AACGTGCTAT</t>
        </is>
      </c>
      <c r="F310" s="4">
        <f>LEN(SUBSTITUTE(SUBSTITUTE(D310,"A",""),"T",""))</f>
        <v/>
      </c>
      <c r="G310" s="4">
        <f>LEN(SUBSTITUTE(SUBSTITUTE(E310,"A",""),"T",""))</f>
        <v/>
      </c>
      <c r="H310" s="4" t="n">
        <v>-2.17</v>
      </c>
      <c r="I310" s="4" t="n">
        <v>-1.29</v>
      </c>
      <c r="J310" s="4" t="n">
        <v>-4.4</v>
      </c>
      <c r="K310" s="4" t="n">
        <v>-2.05</v>
      </c>
      <c r="M310">
        <f>MID($D310,1,1)</f>
        <v/>
      </c>
      <c r="N310">
        <f>MID($D310,2,1)</f>
        <v/>
      </c>
      <c r="O310">
        <f>MID($D310,3,1)</f>
        <v/>
      </c>
      <c r="P310">
        <f>MID($D310,4,1)</f>
        <v/>
      </c>
      <c r="Q310">
        <f>MID($D310,5,1)</f>
        <v/>
      </c>
      <c r="R310">
        <f>MID($D310,6,1)</f>
        <v/>
      </c>
      <c r="S310">
        <f>MID($D310,7,1)</f>
        <v/>
      </c>
      <c r="T310">
        <f>MID($D310,8,1)</f>
        <v/>
      </c>
      <c r="U310">
        <f>MID($D310,9,1)</f>
        <v/>
      </c>
      <c r="V310">
        <f>MID($D310,10,1)</f>
        <v/>
      </c>
      <c r="W310">
        <f>MID($E310,1,1)</f>
        <v/>
      </c>
      <c r="X310">
        <f>MID($E310,2,1)</f>
        <v/>
      </c>
      <c r="Y310">
        <f>MID($E310,3,1)</f>
        <v/>
      </c>
      <c r="Z310">
        <f>MID($E310,4,1)</f>
        <v/>
      </c>
      <c r="AA310">
        <f>MID($E310,5,1)</f>
        <v/>
      </c>
      <c r="AB310">
        <f>MID($E310,6,1)</f>
        <v/>
      </c>
      <c r="AC310">
        <f>MID($E310,7,1)</f>
        <v/>
      </c>
      <c r="AD310">
        <f>MID($E310,8,1)</f>
        <v/>
      </c>
      <c r="AE310">
        <f>MID($E310,9,1)</f>
        <v/>
      </c>
      <c r="AF310">
        <f>MID($E310,10,1)</f>
        <v/>
      </c>
    </row>
    <row r="311">
      <c r="A311" s="4" t="inlineStr">
        <is>
          <t>DN310</t>
        </is>
      </c>
      <c r="B311" s="4" t="n">
        <v>4</v>
      </c>
      <c r="C311" s="4" t="n">
        <v>7</v>
      </c>
      <c r="D311" s="5" t="inlineStr">
        <is>
          <t>ACAGTCGGTC</t>
        </is>
      </c>
      <c r="E311" s="5" t="inlineStr">
        <is>
          <t>GACGTTGCAC</t>
        </is>
      </c>
      <c r="F311" s="4">
        <f>LEN(SUBSTITUTE(SUBSTITUTE(D311,"A",""),"T",""))</f>
        <v/>
      </c>
      <c r="G311" s="4">
        <f>LEN(SUBSTITUTE(SUBSTITUTE(E311,"A",""),"T",""))</f>
        <v/>
      </c>
      <c r="H311" s="4" t="n">
        <v>-3.6</v>
      </c>
      <c r="I311" s="4" t="n">
        <v>-1.45</v>
      </c>
      <c r="J311" s="4" t="n">
        <v>-2.65</v>
      </c>
      <c r="K311" s="4" t="n">
        <v>-2</v>
      </c>
      <c r="M311">
        <f>MID($D311,1,1)</f>
        <v/>
      </c>
      <c r="N311">
        <f>MID($D311,2,1)</f>
        <v/>
      </c>
      <c r="O311">
        <f>MID($D311,3,1)</f>
        <v/>
      </c>
      <c r="P311">
        <f>MID($D311,4,1)</f>
        <v/>
      </c>
      <c r="Q311">
        <f>MID($D311,5,1)</f>
        <v/>
      </c>
      <c r="R311">
        <f>MID($D311,6,1)</f>
        <v/>
      </c>
      <c r="S311">
        <f>MID($D311,7,1)</f>
        <v/>
      </c>
      <c r="T311">
        <f>MID($D311,8,1)</f>
        <v/>
      </c>
      <c r="U311">
        <f>MID($D311,9,1)</f>
        <v/>
      </c>
      <c r="V311">
        <f>MID($D311,10,1)</f>
        <v/>
      </c>
      <c r="W311">
        <f>MID($E311,1,1)</f>
        <v/>
      </c>
      <c r="X311">
        <f>MID($E311,2,1)</f>
        <v/>
      </c>
      <c r="Y311">
        <f>MID($E311,3,1)</f>
        <v/>
      </c>
      <c r="Z311">
        <f>MID($E311,4,1)</f>
        <v/>
      </c>
      <c r="AA311">
        <f>MID($E311,5,1)</f>
        <v/>
      </c>
      <c r="AB311">
        <f>MID($E311,6,1)</f>
        <v/>
      </c>
      <c r="AC311">
        <f>MID($E311,7,1)</f>
        <v/>
      </c>
      <c r="AD311">
        <f>MID($E311,8,1)</f>
        <v/>
      </c>
      <c r="AE311">
        <f>MID($E311,9,1)</f>
        <v/>
      </c>
      <c r="AF311">
        <f>MID($E311,10,1)</f>
        <v/>
      </c>
    </row>
    <row r="312">
      <c r="A312" s="4" t="inlineStr">
        <is>
          <t>DN311</t>
        </is>
      </c>
      <c r="B312" s="4" t="n">
        <v>4</v>
      </c>
      <c r="C312" s="4" t="n">
        <v>7</v>
      </c>
      <c r="D312" s="5" t="inlineStr">
        <is>
          <t>TGACCTTCTA</t>
        </is>
      </c>
      <c r="E312" s="5" t="inlineStr">
        <is>
          <t>GTTCATCATC</t>
        </is>
      </c>
      <c r="F312" s="4">
        <f>LEN(SUBSTITUTE(SUBSTITUTE(D312,"A",""),"T",""))</f>
        <v/>
      </c>
      <c r="G312" s="4">
        <f>LEN(SUBSTITUTE(SUBSTITUTE(E312,"A",""),"T",""))</f>
        <v/>
      </c>
      <c r="H312" s="4" t="n">
        <v>-1.67</v>
      </c>
      <c r="I312" s="4" t="n">
        <v>-0.23</v>
      </c>
      <c r="J312" s="4" t="n">
        <v>-2.1</v>
      </c>
      <c r="K312" s="4" t="n">
        <v>0.39</v>
      </c>
      <c r="M312">
        <f>MID($D312,1,1)</f>
        <v/>
      </c>
      <c r="N312">
        <f>MID($D312,2,1)</f>
        <v/>
      </c>
      <c r="O312">
        <f>MID($D312,3,1)</f>
        <v/>
      </c>
      <c r="P312">
        <f>MID($D312,4,1)</f>
        <v/>
      </c>
      <c r="Q312">
        <f>MID($D312,5,1)</f>
        <v/>
      </c>
      <c r="R312">
        <f>MID($D312,6,1)</f>
        <v/>
      </c>
      <c r="S312">
        <f>MID($D312,7,1)</f>
        <v/>
      </c>
      <c r="T312">
        <f>MID($D312,8,1)</f>
        <v/>
      </c>
      <c r="U312">
        <f>MID($D312,9,1)</f>
        <v/>
      </c>
      <c r="V312">
        <f>MID($D312,10,1)</f>
        <v/>
      </c>
      <c r="W312">
        <f>MID($E312,1,1)</f>
        <v/>
      </c>
      <c r="X312">
        <f>MID($E312,2,1)</f>
        <v/>
      </c>
      <c r="Y312">
        <f>MID($E312,3,1)</f>
        <v/>
      </c>
      <c r="Z312">
        <f>MID($E312,4,1)</f>
        <v/>
      </c>
      <c r="AA312">
        <f>MID($E312,5,1)</f>
        <v/>
      </c>
      <c r="AB312">
        <f>MID($E312,6,1)</f>
        <v/>
      </c>
      <c r="AC312">
        <f>MID($E312,7,1)</f>
        <v/>
      </c>
      <c r="AD312">
        <f>MID($E312,8,1)</f>
        <v/>
      </c>
      <c r="AE312">
        <f>MID($E312,9,1)</f>
        <v/>
      </c>
      <c r="AF312">
        <f>MID($E312,10,1)</f>
        <v/>
      </c>
    </row>
    <row r="313">
      <c r="A313" s="4" t="inlineStr">
        <is>
          <t>DN312</t>
        </is>
      </c>
      <c r="B313" s="4" t="n">
        <v>4</v>
      </c>
      <c r="C313" s="4" t="n">
        <v>7</v>
      </c>
      <c r="D313" s="5" t="inlineStr">
        <is>
          <t>CAATCAGCTA</t>
        </is>
      </c>
      <c r="E313" s="5" t="inlineStr">
        <is>
          <t>TTCTAGGTGA</t>
        </is>
      </c>
      <c r="F313" s="4">
        <f>LEN(SUBSTITUTE(SUBSTITUTE(D313,"A",""),"T",""))</f>
        <v/>
      </c>
      <c r="G313" s="4">
        <f>LEN(SUBSTITUTE(SUBSTITUTE(E313,"A",""),"T",""))</f>
        <v/>
      </c>
      <c r="H313" s="4" t="n">
        <v>-3.12</v>
      </c>
      <c r="I313" s="4" t="n">
        <v>-1.57</v>
      </c>
      <c r="J313" s="4" t="n">
        <v>-2.86</v>
      </c>
      <c r="K313" s="4" t="n">
        <v>-2.55</v>
      </c>
      <c r="M313">
        <f>MID($D313,1,1)</f>
        <v/>
      </c>
      <c r="N313">
        <f>MID($D313,2,1)</f>
        <v/>
      </c>
      <c r="O313">
        <f>MID($D313,3,1)</f>
        <v/>
      </c>
      <c r="P313">
        <f>MID($D313,4,1)</f>
        <v/>
      </c>
      <c r="Q313">
        <f>MID($D313,5,1)</f>
        <v/>
      </c>
      <c r="R313">
        <f>MID($D313,6,1)</f>
        <v/>
      </c>
      <c r="S313">
        <f>MID($D313,7,1)</f>
        <v/>
      </c>
      <c r="T313">
        <f>MID($D313,8,1)</f>
        <v/>
      </c>
      <c r="U313">
        <f>MID($D313,9,1)</f>
        <v/>
      </c>
      <c r="V313">
        <f>MID($D313,10,1)</f>
        <v/>
      </c>
      <c r="W313">
        <f>MID($E313,1,1)</f>
        <v/>
      </c>
      <c r="X313">
        <f>MID($E313,2,1)</f>
        <v/>
      </c>
      <c r="Y313">
        <f>MID($E313,3,1)</f>
        <v/>
      </c>
      <c r="Z313">
        <f>MID($E313,4,1)</f>
        <v/>
      </c>
      <c r="AA313">
        <f>MID($E313,5,1)</f>
        <v/>
      </c>
      <c r="AB313">
        <f>MID($E313,6,1)</f>
        <v/>
      </c>
      <c r="AC313">
        <f>MID($E313,7,1)</f>
        <v/>
      </c>
      <c r="AD313">
        <f>MID($E313,8,1)</f>
        <v/>
      </c>
      <c r="AE313">
        <f>MID($E313,9,1)</f>
        <v/>
      </c>
      <c r="AF313">
        <f>MID($E313,10,1)</f>
        <v/>
      </c>
    </row>
    <row r="314">
      <c r="A314" s="4" t="inlineStr">
        <is>
          <t>DN313</t>
        </is>
      </c>
      <c r="B314" s="4" t="n">
        <v>4</v>
      </c>
      <c r="C314" s="4" t="n">
        <v>7</v>
      </c>
      <c r="D314" s="5" t="inlineStr">
        <is>
          <t>CTCCATACCA</t>
        </is>
      </c>
      <c r="E314" s="5" t="inlineStr">
        <is>
          <t>GATGGCCTAT</t>
        </is>
      </c>
      <c r="F314" s="4">
        <f>LEN(SUBSTITUTE(SUBSTITUTE(D314,"A",""),"T",""))</f>
        <v/>
      </c>
      <c r="G314" s="4">
        <f>LEN(SUBSTITUTE(SUBSTITUTE(E314,"A",""),"T",""))</f>
        <v/>
      </c>
      <c r="H314" s="4" t="n">
        <v>-1.98</v>
      </c>
      <c r="I314" s="4" t="n">
        <v>0</v>
      </c>
      <c r="J314" s="4" t="n">
        <v>-4.23</v>
      </c>
      <c r="K314" s="4" t="n">
        <v>-2.46</v>
      </c>
      <c r="M314">
        <f>MID($D314,1,1)</f>
        <v/>
      </c>
      <c r="N314">
        <f>MID($D314,2,1)</f>
        <v/>
      </c>
      <c r="O314">
        <f>MID($D314,3,1)</f>
        <v/>
      </c>
      <c r="P314">
        <f>MID($D314,4,1)</f>
        <v/>
      </c>
      <c r="Q314">
        <f>MID($D314,5,1)</f>
        <v/>
      </c>
      <c r="R314">
        <f>MID($D314,6,1)</f>
        <v/>
      </c>
      <c r="S314">
        <f>MID($D314,7,1)</f>
        <v/>
      </c>
      <c r="T314">
        <f>MID($D314,8,1)</f>
        <v/>
      </c>
      <c r="U314">
        <f>MID($D314,9,1)</f>
        <v/>
      </c>
      <c r="V314">
        <f>MID($D314,10,1)</f>
        <v/>
      </c>
      <c r="W314">
        <f>MID($E314,1,1)</f>
        <v/>
      </c>
      <c r="X314">
        <f>MID($E314,2,1)</f>
        <v/>
      </c>
      <c r="Y314">
        <f>MID($E314,3,1)</f>
        <v/>
      </c>
      <c r="Z314">
        <f>MID($E314,4,1)</f>
        <v/>
      </c>
      <c r="AA314">
        <f>MID($E314,5,1)</f>
        <v/>
      </c>
      <c r="AB314">
        <f>MID($E314,6,1)</f>
        <v/>
      </c>
      <c r="AC314">
        <f>MID($E314,7,1)</f>
        <v/>
      </c>
      <c r="AD314">
        <f>MID($E314,8,1)</f>
        <v/>
      </c>
      <c r="AE314">
        <f>MID($E314,9,1)</f>
        <v/>
      </c>
      <c r="AF314">
        <f>MID($E314,10,1)</f>
        <v/>
      </c>
    </row>
    <row r="315">
      <c r="A315" s="4" t="inlineStr">
        <is>
          <t>DN314</t>
        </is>
      </c>
      <c r="B315" s="4" t="n">
        <v>4</v>
      </c>
      <c r="C315" s="4" t="n">
        <v>7</v>
      </c>
      <c r="D315" s="5" t="inlineStr">
        <is>
          <t>TGATGGCAGG</t>
        </is>
      </c>
      <c r="E315" s="5" t="inlineStr">
        <is>
          <t>AGCGAACACA</t>
        </is>
      </c>
      <c r="F315" s="4">
        <f>LEN(SUBSTITUTE(SUBSTITUTE(D315,"A",""),"T",""))</f>
        <v/>
      </c>
      <c r="G315" s="4">
        <f>LEN(SUBSTITUTE(SUBSTITUTE(E315,"A",""),"T",""))</f>
        <v/>
      </c>
      <c r="H315" s="4" t="n">
        <v>-3.88</v>
      </c>
      <c r="I315" s="4" t="n">
        <v>-2.75</v>
      </c>
      <c r="J315" s="4" t="n">
        <v>-4.71</v>
      </c>
      <c r="K315" s="4" t="n">
        <v>-0.97</v>
      </c>
      <c r="M315">
        <f>MID($D315,1,1)</f>
        <v/>
      </c>
      <c r="N315">
        <f>MID($D315,2,1)</f>
        <v/>
      </c>
      <c r="O315">
        <f>MID($D315,3,1)</f>
        <v/>
      </c>
      <c r="P315">
        <f>MID($D315,4,1)</f>
        <v/>
      </c>
      <c r="Q315">
        <f>MID($D315,5,1)</f>
        <v/>
      </c>
      <c r="R315">
        <f>MID($D315,6,1)</f>
        <v/>
      </c>
      <c r="S315">
        <f>MID($D315,7,1)</f>
        <v/>
      </c>
      <c r="T315">
        <f>MID($D315,8,1)</f>
        <v/>
      </c>
      <c r="U315">
        <f>MID($D315,9,1)</f>
        <v/>
      </c>
      <c r="V315">
        <f>MID($D315,10,1)</f>
        <v/>
      </c>
      <c r="W315">
        <f>MID($E315,1,1)</f>
        <v/>
      </c>
      <c r="X315">
        <f>MID($E315,2,1)</f>
        <v/>
      </c>
      <c r="Y315">
        <f>MID($E315,3,1)</f>
        <v/>
      </c>
      <c r="Z315">
        <f>MID($E315,4,1)</f>
        <v/>
      </c>
      <c r="AA315">
        <f>MID($E315,5,1)</f>
        <v/>
      </c>
      <c r="AB315">
        <f>MID($E315,6,1)</f>
        <v/>
      </c>
      <c r="AC315">
        <f>MID($E315,7,1)</f>
        <v/>
      </c>
      <c r="AD315">
        <f>MID($E315,8,1)</f>
        <v/>
      </c>
      <c r="AE315">
        <f>MID($E315,9,1)</f>
        <v/>
      </c>
      <c r="AF315">
        <f>MID($E315,10,1)</f>
        <v/>
      </c>
    </row>
    <row r="316">
      <c r="A316" s="4" t="inlineStr">
        <is>
          <t>DN315</t>
        </is>
      </c>
      <c r="B316" s="4" t="n">
        <v>4</v>
      </c>
      <c r="C316" s="4" t="n">
        <v>7</v>
      </c>
      <c r="D316" s="5" t="inlineStr">
        <is>
          <t>CTGGAACAGC</t>
        </is>
      </c>
      <c r="E316" s="5" t="inlineStr">
        <is>
          <t>CCACGGTATC</t>
        </is>
      </c>
      <c r="F316" s="4">
        <f>LEN(SUBSTITUTE(SUBSTITUTE(D316,"A",""),"T",""))</f>
        <v/>
      </c>
      <c r="G316" s="4">
        <f>LEN(SUBSTITUTE(SUBSTITUTE(E316,"A",""),"T",""))</f>
        <v/>
      </c>
      <c r="H316" s="4" t="n">
        <v>-2.67</v>
      </c>
      <c r="I316" s="4" t="n">
        <v>-1.59</v>
      </c>
      <c r="J316" s="4" t="n">
        <v>-2.77</v>
      </c>
      <c r="K316" s="4" t="n">
        <v>-1.7</v>
      </c>
      <c r="M316">
        <f>MID($D316,1,1)</f>
        <v/>
      </c>
      <c r="N316">
        <f>MID($D316,2,1)</f>
        <v/>
      </c>
      <c r="O316">
        <f>MID($D316,3,1)</f>
        <v/>
      </c>
      <c r="P316">
        <f>MID($D316,4,1)</f>
        <v/>
      </c>
      <c r="Q316">
        <f>MID($D316,5,1)</f>
        <v/>
      </c>
      <c r="R316">
        <f>MID($D316,6,1)</f>
        <v/>
      </c>
      <c r="S316">
        <f>MID($D316,7,1)</f>
        <v/>
      </c>
      <c r="T316">
        <f>MID($D316,8,1)</f>
        <v/>
      </c>
      <c r="U316">
        <f>MID($D316,9,1)</f>
        <v/>
      </c>
      <c r="V316">
        <f>MID($D316,10,1)</f>
        <v/>
      </c>
      <c r="W316">
        <f>MID($E316,1,1)</f>
        <v/>
      </c>
      <c r="X316">
        <f>MID($E316,2,1)</f>
        <v/>
      </c>
      <c r="Y316">
        <f>MID($E316,3,1)</f>
        <v/>
      </c>
      <c r="Z316">
        <f>MID($E316,4,1)</f>
        <v/>
      </c>
      <c r="AA316">
        <f>MID($E316,5,1)</f>
        <v/>
      </c>
      <c r="AB316">
        <f>MID($E316,6,1)</f>
        <v/>
      </c>
      <c r="AC316">
        <f>MID($E316,7,1)</f>
        <v/>
      </c>
      <c r="AD316">
        <f>MID($E316,8,1)</f>
        <v/>
      </c>
      <c r="AE316">
        <f>MID($E316,9,1)</f>
        <v/>
      </c>
      <c r="AF316">
        <f>MID($E316,10,1)</f>
        <v/>
      </c>
    </row>
    <row r="317">
      <c r="A317" s="4" t="inlineStr">
        <is>
          <t>DN316</t>
        </is>
      </c>
      <c r="B317" s="4" t="n">
        <v>4</v>
      </c>
      <c r="C317" s="4" t="n">
        <v>7</v>
      </c>
      <c r="D317" s="5" t="inlineStr">
        <is>
          <t>GTGAGTCAAG</t>
        </is>
      </c>
      <c r="E317" s="5" t="inlineStr">
        <is>
          <t>ATCGCTGGTA</t>
        </is>
      </c>
      <c r="F317" s="4">
        <f>LEN(SUBSTITUTE(SUBSTITUTE(D317,"A",""),"T",""))</f>
        <v/>
      </c>
      <c r="G317" s="4">
        <f>LEN(SUBSTITUTE(SUBSTITUTE(E317,"A",""),"T",""))</f>
        <v/>
      </c>
      <c r="H317" s="4" t="n">
        <v>-2.63</v>
      </c>
      <c r="I317" s="4" t="n">
        <v>-0.9399999999999999</v>
      </c>
      <c r="J317" s="4" t="n">
        <v>-2.93</v>
      </c>
      <c r="K317" s="4" t="n">
        <v>-0.72</v>
      </c>
      <c r="M317">
        <f>MID($D317,1,1)</f>
        <v/>
      </c>
      <c r="N317">
        <f>MID($D317,2,1)</f>
        <v/>
      </c>
      <c r="O317">
        <f>MID($D317,3,1)</f>
        <v/>
      </c>
      <c r="P317">
        <f>MID($D317,4,1)</f>
        <v/>
      </c>
      <c r="Q317">
        <f>MID($D317,5,1)</f>
        <v/>
      </c>
      <c r="R317">
        <f>MID($D317,6,1)</f>
        <v/>
      </c>
      <c r="S317">
        <f>MID($D317,7,1)</f>
        <v/>
      </c>
      <c r="T317">
        <f>MID($D317,8,1)</f>
        <v/>
      </c>
      <c r="U317">
        <f>MID($D317,9,1)</f>
        <v/>
      </c>
      <c r="V317">
        <f>MID($D317,10,1)</f>
        <v/>
      </c>
      <c r="W317">
        <f>MID($E317,1,1)</f>
        <v/>
      </c>
      <c r="X317">
        <f>MID($E317,2,1)</f>
        <v/>
      </c>
      <c r="Y317">
        <f>MID($E317,3,1)</f>
        <v/>
      </c>
      <c r="Z317">
        <f>MID($E317,4,1)</f>
        <v/>
      </c>
      <c r="AA317">
        <f>MID($E317,5,1)</f>
        <v/>
      </c>
      <c r="AB317">
        <f>MID($E317,6,1)</f>
        <v/>
      </c>
      <c r="AC317">
        <f>MID($E317,7,1)</f>
        <v/>
      </c>
      <c r="AD317">
        <f>MID($E317,8,1)</f>
        <v/>
      </c>
      <c r="AE317">
        <f>MID($E317,9,1)</f>
        <v/>
      </c>
      <c r="AF317">
        <f>MID($E317,10,1)</f>
        <v/>
      </c>
    </row>
    <row r="318">
      <c r="A318" s="4" t="inlineStr">
        <is>
          <t>DN317</t>
        </is>
      </c>
      <c r="B318" s="4" t="n">
        <v>4</v>
      </c>
      <c r="C318" s="4" t="n">
        <v>7</v>
      </c>
      <c r="D318" s="5" t="inlineStr">
        <is>
          <t>AGCTCTCCTC</t>
        </is>
      </c>
      <c r="E318" s="5" t="inlineStr">
        <is>
          <t>TCTTGCAGGC</t>
        </is>
      </c>
      <c r="F318" s="4">
        <f>LEN(SUBSTITUTE(SUBSTITUTE(D318,"A",""),"T",""))</f>
        <v/>
      </c>
      <c r="G318" s="4">
        <f>LEN(SUBSTITUTE(SUBSTITUTE(E318,"A",""),"T",""))</f>
        <v/>
      </c>
      <c r="H318" s="4" t="n">
        <v>-2.05</v>
      </c>
      <c r="I318" s="4" t="n">
        <v>-1.74</v>
      </c>
      <c r="J318" s="4" t="n">
        <v>-4.27</v>
      </c>
      <c r="K318" s="4" t="n">
        <v>-1.73</v>
      </c>
      <c r="M318">
        <f>MID($D318,1,1)</f>
        <v/>
      </c>
      <c r="N318">
        <f>MID($D318,2,1)</f>
        <v/>
      </c>
      <c r="O318">
        <f>MID($D318,3,1)</f>
        <v/>
      </c>
      <c r="P318">
        <f>MID($D318,4,1)</f>
        <v/>
      </c>
      <c r="Q318">
        <f>MID($D318,5,1)</f>
        <v/>
      </c>
      <c r="R318">
        <f>MID($D318,6,1)</f>
        <v/>
      </c>
      <c r="S318">
        <f>MID($D318,7,1)</f>
        <v/>
      </c>
      <c r="T318">
        <f>MID($D318,8,1)</f>
        <v/>
      </c>
      <c r="U318">
        <f>MID($D318,9,1)</f>
        <v/>
      </c>
      <c r="V318">
        <f>MID($D318,10,1)</f>
        <v/>
      </c>
      <c r="W318">
        <f>MID($E318,1,1)</f>
        <v/>
      </c>
      <c r="X318">
        <f>MID($E318,2,1)</f>
        <v/>
      </c>
      <c r="Y318">
        <f>MID($E318,3,1)</f>
        <v/>
      </c>
      <c r="Z318">
        <f>MID($E318,4,1)</f>
        <v/>
      </c>
      <c r="AA318">
        <f>MID($E318,5,1)</f>
        <v/>
      </c>
      <c r="AB318">
        <f>MID($E318,6,1)</f>
        <v/>
      </c>
      <c r="AC318">
        <f>MID($E318,7,1)</f>
        <v/>
      </c>
      <c r="AD318">
        <f>MID($E318,8,1)</f>
        <v/>
      </c>
      <c r="AE318">
        <f>MID($E318,9,1)</f>
        <v/>
      </c>
      <c r="AF318">
        <f>MID($E318,10,1)</f>
        <v/>
      </c>
    </row>
    <row r="319">
      <c r="A319" s="4" t="inlineStr">
        <is>
          <t>DN318</t>
        </is>
      </c>
      <c r="B319" s="4" t="n">
        <v>4</v>
      </c>
      <c r="C319" s="4" t="n">
        <v>7</v>
      </c>
      <c r="D319" s="5" t="inlineStr">
        <is>
          <t>AGACCTACAT</t>
        </is>
      </c>
      <c r="E319" s="5" t="inlineStr">
        <is>
          <t>TCAGACGTTA</t>
        </is>
      </c>
      <c r="F319" s="4">
        <f>LEN(SUBSTITUTE(SUBSTITUTE(D319,"A",""),"T",""))</f>
        <v/>
      </c>
      <c r="G319" s="4">
        <f>LEN(SUBSTITUTE(SUBSTITUTE(E319,"A",""),"T",""))</f>
        <v/>
      </c>
      <c r="H319" s="4" t="n">
        <v>-1.76</v>
      </c>
      <c r="I319" s="4" t="n">
        <v>-0.64</v>
      </c>
      <c r="J319" s="4" t="n">
        <v>-2.77</v>
      </c>
      <c r="K319" s="4" t="n">
        <v>-2</v>
      </c>
      <c r="M319">
        <f>MID($D319,1,1)</f>
        <v/>
      </c>
      <c r="N319">
        <f>MID($D319,2,1)</f>
        <v/>
      </c>
      <c r="O319">
        <f>MID($D319,3,1)</f>
        <v/>
      </c>
      <c r="P319">
        <f>MID($D319,4,1)</f>
        <v/>
      </c>
      <c r="Q319">
        <f>MID($D319,5,1)</f>
        <v/>
      </c>
      <c r="R319">
        <f>MID($D319,6,1)</f>
        <v/>
      </c>
      <c r="S319">
        <f>MID($D319,7,1)</f>
        <v/>
      </c>
      <c r="T319">
        <f>MID($D319,8,1)</f>
        <v/>
      </c>
      <c r="U319">
        <f>MID($D319,9,1)</f>
        <v/>
      </c>
      <c r="V319">
        <f>MID($D319,10,1)</f>
        <v/>
      </c>
      <c r="W319">
        <f>MID($E319,1,1)</f>
        <v/>
      </c>
      <c r="X319">
        <f>MID($E319,2,1)</f>
        <v/>
      </c>
      <c r="Y319">
        <f>MID($E319,3,1)</f>
        <v/>
      </c>
      <c r="Z319">
        <f>MID($E319,4,1)</f>
        <v/>
      </c>
      <c r="AA319">
        <f>MID($E319,5,1)</f>
        <v/>
      </c>
      <c r="AB319">
        <f>MID($E319,6,1)</f>
        <v/>
      </c>
      <c r="AC319">
        <f>MID($E319,7,1)</f>
        <v/>
      </c>
      <c r="AD319">
        <f>MID($E319,8,1)</f>
        <v/>
      </c>
      <c r="AE319">
        <f>MID($E319,9,1)</f>
        <v/>
      </c>
      <c r="AF319">
        <f>MID($E319,10,1)</f>
        <v/>
      </c>
    </row>
    <row r="320">
      <c r="A320" s="4" t="inlineStr">
        <is>
          <t>DN319</t>
        </is>
      </c>
      <c r="B320" s="4" t="n">
        <v>4</v>
      </c>
      <c r="C320" s="4" t="n">
        <v>7</v>
      </c>
      <c r="D320" s="5" t="inlineStr">
        <is>
          <t>GTGCACCACT</t>
        </is>
      </c>
      <c r="E320" s="5" t="inlineStr">
        <is>
          <t>CGTTCATGCG</t>
        </is>
      </c>
      <c r="F320" s="4">
        <f>LEN(SUBSTITUTE(SUBSTITUTE(D320,"A",""),"T",""))</f>
        <v/>
      </c>
      <c r="G320" s="4">
        <f>LEN(SUBSTITUTE(SUBSTITUTE(E320,"A",""),"T",""))</f>
        <v/>
      </c>
      <c r="H320" s="4" t="n">
        <v>-2.19</v>
      </c>
      <c r="I320" s="4" t="n">
        <v>-0.6</v>
      </c>
      <c r="J320" s="4" t="n">
        <v>-2.32</v>
      </c>
      <c r="K320" s="4" t="n">
        <v>-0.17</v>
      </c>
      <c r="M320">
        <f>MID($D320,1,1)</f>
        <v/>
      </c>
      <c r="N320">
        <f>MID($D320,2,1)</f>
        <v/>
      </c>
      <c r="O320">
        <f>MID($D320,3,1)</f>
        <v/>
      </c>
      <c r="P320">
        <f>MID($D320,4,1)</f>
        <v/>
      </c>
      <c r="Q320">
        <f>MID($D320,5,1)</f>
        <v/>
      </c>
      <c r="R320">
        <f>MID($D320,6,1)</f>
        <v/>
      </c>
      <c r="S320">
        <f>MID($D320,7,1)</f>
        <v/>
      </c>
      <c r="T320">
        <f>MID($D320,8,1)</f>
        <v/>
      </c>
      <c r="U320">
        <f>MID($D320,9,1)</f>
        <v/>
      </c>
      <c r="V320">
        <f>MID($D320,10,1)</f>
        <v/>
      </c>
      <c r="W320">
        <f>MID($E320,1,1)</f>
        <v/>
      </c>
      <c r="X320">
        <f>MID($E320,2,1)</f>
        <v/>
      </c>
      <c r="Y320">
        <f>MID($E320,3,1)</f>
        <v/>
      </c>
      <c r="Z320">
        <f>MID($E320,4,1)</f>
        <v/>
      </c>
      <c r="AA320">
        <f>MID($E320,5,1)</f>
        <v/>
      </c>
      <c r="AB320">
        <f>MID($E320,6,1)</f>
        <v/>
      </c>
      <c r="AC320">
        <f>MID($E320,7,1)</f>
        <v/>
      </c>
      <c r="AD320">
        <f>MID($E320,8,1)</f>
        <v/>
      </c>
      <c r="AE320">
        <f>MID($E320,9,1)</f>
        <v/>
      </c>
      <c r="AF320">
        <f>MID($E320,10,1)</f>
        <v/>
      </c>
    </row>
    <row r="321">
      <c r="A321" s="4" t="inlineStr">
        <is>
          <t>DN320</t>
        </is>
      </c>
      <c r="B321" s="4" t="n">
        <v>4</v>
      </c>
      <c r="C321" s="4" t="n">
        <v>7</v>
      </c>
      <c r="D321" s="5" t="inlineStr">
        <is>
          <t>CTTAAGCTAG</t>
        </is>
      </c>
      <c r="E321" s="5" t="inlineStr">
        <is>
          <t>TCTGACACGG</t>
        </is>
      </c>
      <c r="F321" s="4">
        <f>LEN(SUBSTITUTE(SUBSTITUTE(D321,"A",""),"T",""))</f>
        <v/>
      </c>
      <c r="G321" s="4">
        <f>LEN(SUBSTITUTE(SUBSTITUTE(E321,"A",""),"T",""))</f>
        <v/>
      </c>
      <c r="H321" s="4" t="n">
        <v>-2.46</v>
      </c>
      <c r="I321" s="4" t="n">
        <v>-2.09</v>
      </c>
      <c r="J321" s="4" t="n">
        <v>-3.18</v>
      </c>
      <c r="K321" s="4" t="n">
        <v>-1.64</v>
      </c>
      <c r="M321">
        <f>MID($D321,1,1)</f>
        <v/>
      </c>
      <c r="N321">
        <f>MID($D321,2,1)</f>
        <v/>
      </c>
      <c r="O321">
        <f>MID($D321,3,1)</f>
        <v/>
      </c>
      <c r="P321">
        <f>MID($D321,4,1)</f>
        <v/>
      </c>
      <c r="Q321">
        <f>MID($D321,5,1)</f>
        <v/>
      </c>
      <c r="R321">
        <f>MID($D321,6,1)</f>
        <v/>
      </c>
      <c r="S321">
        <f>MID($D321,7,1)</f>
        <v/>
      </c>
      <c r="T321">
        <f>MID($D321,8,1)</f>
        <v/>
      </c>
      <c r="U321">
        <f>MID($D321,9,1)</f>
        <v/>
      </c>
      <c r="V321">
        <f>MID($D321,10,1)</f>
        <v/>
      </c>
      <c r="W321">
        <f>MID($E321,1,1)</f>
        <v/>
      </c>
      <c r="X321">
        <f>MID($E321,2,1)</f>
        <v/>
      </c>
      <c r="Y321">
        <f>MID($E321,3,1)</f>
        <v/>
      </c>
      <c r="Z321">
        <f>MID($E321,4,1)</f>
        <v/>
      </c>
      <c r="AA321">
        <f>MID($E321,5,1)</f>
        <v/>
      </c>
      <c r="AB321">
        <f>MID($E321,6,1)</f>
        <v/>
      </c>
      <c r="AC321">
        <f>MID($E321,7,1)</f>
        <v/>
      </c>
      <c r="AD321">
        <f>MID($E321,8,1)</f>
        <v/>
      </c>
      <c r="AE321">
        <f>MID($E321,9,1)</f>
        <v/>
      </c>
      <c r="AF321">
        <f>MID($E321,10,1)</f>
        <v/>
      </c>
    </row>
    <row r="322">
      <c r="A322" s="4" t="inlineStr">
        <is>
          <t>DN321</t>
        </is>
      </c>
      <c r="B322" s="4" t="n">
        <v>4</v>
      </c>
      <c r="C322" s="4" t="n">
        <v>7</v>
      </c>
      <c r="D322" s="5" t="inlineStr">
        <is>
          <t>AGTCTTGCTA</t>
        </is>
      </c>
      <c r="E322" s="5" t="inlineStr">
        <is>
          <t>TTCATCTCTG</t>
        </is>
      </c>
      <c r="F322" s="4">
        <f>LEN(SUBSTITUTE(SUBSTITUTE(D322,"A",""),"T",""))</f>
        <v/>
      </c>
      <c r="G322" s="4">
        <f>LEN(SUBSTITUTE(SUBSTITUTE(E322,"A",""),"T",""))</f>
        <v/>
      </c>
      <c r="H322" s="4" t="n">
        <v>-1.75</v>
      </c>
      <c r="I322" s="4" t="n">
        <v>-0.97</v>
      </c>
      <c r="J322" s="4" t="n">
        <v>-1.94</v>
      </c>
      <c r="K322" s="4" t="n">
        <v>-0.14</v>
      </c>
      <c r="M322">
        <f>MID($D322,1,1)</f>
        <v/>
      </c>
      <c r="N322">
        <f>MID($D322,2,1)</f>
        <v/>
      </c>
      <c r="O322">
        <f>MID($D322,3,1)</f>
        <v/>
      </c>
      <c r="P322">
        <f>MID($D322,4,1)</f>
        <v/>
      </c>
      <c r="Q322">
        <f>MID($D322,5,1)</f>
        <v/>
      </c>
      <c r="R322">
        <f>MID($D322,6,1)</f>
        <v/>
      </c>
      <c r="S322">
        <f>MID($D322,7,1)</f>
        <v/>
      </c>
      <c r="T322">
        <f>MID($D322,8,1)</f>
        <v/>
      </c>
      <c r="U322">
        <f>MID($D322,9,1)</f>
        <v/>
      </c>
      <c r="V322">
        <f>MID($D322,10,1)</f>
        <v/>
      </c>
      <c r="W322">
        <f>MID($E322,1,1)</f>
        <v/>
      </c>
      <c r="X322">
        <f>MID($E322,2,1)</f>
        <v/>
      </c>
      <c r="Y322">
        <f>MID($E322,3,1)</f>
        <v/>
      </c>
      <c r="Z322">
        <f>MID($E322,4,1)</f>
        <v/>
      </c>
      <c r="AA322">
        <f>MID($E322,5,1)</f>
        <v/>
      </c>
      <c r="AB322">
        <f>MID($E322,6,1)</f>
        <v/>
      </c>
      <c r="AC322">
        <f>MID($E322,7,1)</f>
        <v/>
      </c>
      <c r="AD322">
        <f>MID($E322,8,1)</f>
        <v/>
      </c>
      <c r="AE322">
        <f>MID($E322,9,1)</f>
        <v/>
      </c>
      <c r="AF322">
        <f>MID($E322,10,1)</f>
        <v/>
      </c>
    </row>
    <row r="323">
      <c r="A323" s="4" t="inlineStr">
        <is>
          <t>DN322</t>
        </is>
      </c>
      <c r="B323" s="4" t="n">
        <v>4</v>
      </c>
      <c r="C323" s="4" t="n">
        <v>7</v>
      </c>
      <c r="D323" s="5" t="inlineStr">
        <is>
          <t>GAAGAAGGCG</t>
        </is>
      </c>
      <c r="E323" s="5" t="inlineStr">
        <is>
          <t>GATCTTCGTT</t>
        </is>
      </c>
      <c r="F323" s="4">
        <f>LEN(SUBSTITUTE(SUBSTITUTE(D323,"A",""),"T",""))</f>
        <v/>
      </c>
      <c r="G323" s="4">
        <f>LEN(SUBSTITUTE(SUBSTITUTE(E323,"A",""),"T",""))</f>
        <v/>
      </c>
      <c r="H323" s="4" t="n">
        <v>-4.04</v>
      </c>
      <c r="I323" s="4" t="n">
        <v>-1.49</v>
      </c>
      <c r="J323" s="4" t="n">
        <v>-3.43</v>
      </c>
      <c r="K323" s="4" t="n">
        <v>-0.16</v>
      </c>
      <c r="M323">
        <f>MID($D323,1,1)</f>
        <v/>
      </c>
      <c r="N323">
        <f>MID($D323,2,1)</f>
        <v/>
      </c>
      <c r="O323">
        <f>MID($D323,3,1)</f>
        <v/>
      </c>
      <c r="P323">
        <f>MID($D323,4,1)</f>
        <v/>
      </c>
      <c r="Q323">
        <f>MID($D323,5,1)</f>
        <v/>
      </c>
      <c r="R323">
        <f>MID($D323,6,1)</f>
        <v/>
      </c>
      <c r="S323">
        <f>MID($D323,7,1)</f>
        <v/>
      </c>
      <c r="T323">
        <f>MID($D323,8,1)</f>
        <v/>
      </c>
      <c r="U323">
        <f>MID($D323,9,1)</f>
        <v/>
      </c>
      <c r="V323">
        <f>MID($D323,10,1)</f>
        <v/>
      </c>
      <c r="W323">
        <f>MID($E323,1,1)</f>
        <v/>
      </c>
      <c r="X323">
        <f>MID($E323,2,1)</f>
        <v/>
      </c>
      <c r="Y323">
        <f>MID($E323,3,1)</f>
        <v/>
      </c>
      <c r="Z323">
        <f>MID($E323,4,1)</f>
        <v/>
      </c>
      <c r="AA323">
        <f>MID($E323,5,1)</f>
        <v/>
      </c>
      <c r="AB323">
        <f>MID($E323,6,1)</f>
        <v/>
      </c>
      <c r="AC323">
        <f>MID($E323,7,1)</f>
        <v/>
      </c>
      <c r="AD323">
        <f>MID($E323,8,1)</f>
        <v/>
      </c>
      <c r="AE323">
        <f>MID($E323,9,1)</f>
        <v/>
      </c>
      <c r="AF323">
        <f>MID($E323,10,1)</f>
        <v/>
      </c>
    </row>
    <row r="324">
      <c r="A324" s="4" t="inlineStr">
        <is>
          <t>DN323</t>
        </is>
      </c>
      <c r="B324" s="4" t="n">
        <v>4</v>
      </c>
      <c r="C324" s="4" t="n">
        <v>7</v>
      </c>
      <c r="D324" s="5" t="inlineStr">
        <is>
          <t>TTGGCGTGCA</t>
        </is>
      </c>
      <c r="E324" s="5" t="inlineStr">
        <is>
          <t>ACCTGCAGAG</t>
        </is>
      </c>
      <c r="F324" s="4">
        <f>LEN(SUBSTITUTE(SUBSTITUTE(D324,"A",""),"T",""))</f>
        <v/>
      </c>
      <c r="G324" s="4">
        <f>LEN(SUBSTITUTE(SUBSTITUTE(E324,"A",""),"T",""))</f>
        <v/>
      </c>
      <c r="H324" s="4" t="n">
        <v>-5.02</v>
      </c>
      <c r="I324" s="4" t="n">
        <v>-1.25</v>
      </c>
      <c r="J324" s="4" t="n">
        <v>-3.04</v>
      </c>
      <c r="K324" s="4" t="n">
        <v>-1.1</v>
      </c>
      <c r="M324">
        <f>MID($D324,1,1)</f>
        <v/>
      </c>
      <c r="N324">
        <f>MID($D324,2,1)</f>
        <v/>
      </c>
      <c r="O324">
        <f>MID($D324,3,1)</f>
        <v/>
      </c>
      <c r="P324">
        <f>MID($D324,4,1)</f>
        <v/>
      </c>
      <c r="Q324">
        <f>MID($D324,5,1)</f>
        <v/>
      </c>
      <c r="R324">
        <f>MID($D324,6,1)</f>
        <v/>
      </c>
      <c r="S324">
        <f>MID($D324,7,1)</f>
        <v/>
      </c>
      <c r="T324">
        <f>MID($D324,8,1)</f>
        <v/>
      </c>
      <c r="U324">
        <f>MID($D324,9,1)</f>
        <v/>
      </c>
      <c r="V324">
        <f>MID($D324,10,1)</f>
        <v/>
      </c>
      <c r="W324">
        <f>MID($E324,1,1)</f>
        <v/>
      </c>
      <c r="X324">
        <f>MID($E324,2,1)</f>
        <v/>
      </c>
      <c r="Y324">
        <f>MID($E324,3,1)</f>
        <v/>
      </c>
      <c r="Z324">
        <f>MID($E324,4,1)</f>
        <v/>
      </c>
      <c r="AA324">
        <f>MID($E324,5,1)</f>
        <v/>
      </c>
      <c r="AB324">
        <f>MID($E324,6,1)</f>
        <v/>
      </c>
      <c r="AC324">
        <f>MID($E324,7,1)</f>
        <v/>
      </c>
      <c r="AD324">
        <f>MID($E324,8,1)</f>
        <v/>
      </c>
      <c r="AE324">
        <f>MID($E324,9,1)</f>
        <v/>
      </c>
      <c r="AF324">
        <f>MID($E324,10,1)</f>
        <v/>
      </c>
    </row>
    <row r="325">
      <c r="A325" s="4" t="inlineStr">
        <is>
          <t>DN324</t>
        </is>
      </c>
      <c r="B325" s="4" t="n">
        <v>4</v>
      </c>
      <c r="C325" s="4" t="n">
        <v>7</v>
      </c>
      <c r="D325" s="5" t="inlineStr">
        <is>
          <t>CTTGGCTTAA</t>
        </is>
      </c>
      <c r="E325" s="5" t="inlineStr">
        <is>
          <t>GTTGAGGCTG</t>
        </is>
      </c>
      <c r="F325" s="4">
        <f>LEN(SUBSTITUTE(SUBSTITUTE(D325,"A",""),"T",""))</f>
        <v/>
      </c>
      <c r="G325" s="4">
        <f>LEN(SUBSTITUTE(SUBSTITUTE(E325,"A",""),"T",""))</f>
        <v/>
      </c>
      <c r="H325" s="4" t="n">
        <v>-3.1</v>
      </c>
      <c r="I325" s="4" t="n">
        <v>-3.1</v>
      </c>
      <c r="J325" s="4" t="n">
        <v>-3.72</v>
      </c>
      <c r="K325" s="4" t="n">
        <v>-2.54</v>
      </c>
      <c r="M325">
        <f>MID($D325,1,1)</f>
        <v/>
      </c>
      <c r="N325">
        <f>MID($D325,2,1)</f>
        <v/>
      </c>
      <c r="O325">
        <f>MID($D325,3,1)</f>
        <v/>
      </c>
      <c r="P325">
        <f>MID($D325,4,1)</f>
        <v/>
      </c>
      <c r="Q325">
        <f>MID($D325,5,1)</f>
        <v/>
      </c>
      <c r="R325">
        <f>MID($D325,6,1)</f>
        <v/>
      </c>
      <c r="S325">
        <f>MID($D325,7,1)</f>
        <v/>
      </c>
      <c r="T325">
        <f>MID($D325,8,1)</f>
        <v/>
      </c>
      <c r="U325">
        <f>MID($D325,9,1)</f>
        <v/>
      </c>
      <c r="V325">
        <f>MID($D325,10,1)</f>
        <v/>
      </c>
      <c r="W325">
        <f>MID($E325,1,1)</f>
        <v/>
      </c>
      <c r="X325">
        <f>MID($E325,2,1)</f>
        <v/>
      </c>
      <c r="Y325">
        <f>MID($E325,3,1)</f>
        <v/>
      </c>
      <c r="Z325">
        <f>MID($E325,4,1)</f>
        <v/>
      </c>
      <c r="AA325">
        <f>MID($E325,5,1)</f>
        <v/>
      </c>
      <c r="AB325">
        <f>MID($E325,6,1)</f>
        <v/>
      </c>
      <c r="AC325">
        <f>MID($E325,7,1)</f>
        <v/>
      </c>
      <c r="AD325">
        <f>MID($E325,8,1)</f>
        <v/>
      </c>
      <c r="AE325">
        <f>MID($E325,9,1)</f>
        <v/>
      </c>
      <c r="AF325">
        <f>MID($E325,10,1)</f>
        <v/>
      </c>
    </row>
    <row r="326">
      <c r="A326" s="4" t="inlineStr">
        <is>
          <t>DN325</t>
        </is>
      </c>
      <c r="B326" s="4" t="n">
        <v>4</v>
      </c>
      <c r="C326" s="4" t="n">
        <v>7</v>
      </c>
      <c r="D326" s="5" t="inlineStr">
        <is>
          <t>GCGATACAGG</t>
        </is>
      </c>
      <c r="E326" s="5" t="inlineStr">
        <is>
          <t>GCGATTAGCC</t>
        </is>
      </c>
      <c r="F326" s="4">
        <f>LEN(SUBSTITUTE(SUBSTITUTE(D326,"A",""),"T",""))</f>
        <v/>
      </c>
      <c r="G326" s="4">
        <f>LEN(SUBSTITUTE(SUBSTITUTE(E326,"A",""),"T",""))</f>
        <v/>
      </c>
      <c r="H326" s="4" t="n">
        <v>-2.79</v>
      </c>
      <c r="I326" s="4" t="n">
        <v>-0.91</v>
      </c>
      <c r="J326" s="4" t="n">
        <v>-2.55</v>
      </c>
      <c r="K326" s="4" t="n">
        <v>-1.44</v>
      </c>
      <c r="M326">
        <f>MID($D326,1,1)</f>
        <v/>
      </c>
      <c r="N326">
        <f>MID($D326,2,1)</f>
        <v/>
      </c>
      <c r="O326">
        <f>MID($D326,3,1)</f>
        <v/>
      </c>
      <c r="P326">
        <f>MID($D326,4,1)</f>
        <v/>
      </c>
      <c r="Q326">
        <f>MID($D326,5,1)</f>
        <v/>
      </c>
      <c r="R326">
        <f>MID($D326,6,1)</f>
        <v/>
      </c>
      <c r="S326">
        <f>MID($D326,7,1)</f>
        <v/>
      </c>
      <c r="T326">
        <f>MID($D326,8,1)</f>
        <v/>
      </c>
      <c r="U326">
        <f>MID($D326,9,1)</f>
        <v/>
      </c>
      <c r="V326">
        <f>MID($D326,10,1)</f>
        <v/>
      </c>
      <c r="W326">
        <f>MID($E326,1,1)</f>
        <v/>
      </c>
      <c r="X326">
        <f>MID($E326,2,1)</f>
        <v/>
      </c>
      <c r="Y326">
        <f>MID($E326,3,1)</f>
        <v/>
      </c>
      <c r="Z326">
        <f>MID($E326,4,1)</f>
        <v/>
      </c>
      <c r="AA326">
        <f>MID($E326,5,1)</f>
        <v/>
      </c>
      <c r="AB326">
        <f>MID($E326,6,1)</f>
        <v/>
      </c>
      <c r="AC326">
        <f>MID($E326,7,1)</f>
        <v/>
      </c>
      <c r="AD326">
        <f>MID($E326,8,1)</f>
        <v/>
      </c>
      <c r="AE326">
        <f>MID($E326,9,1)</f>
        <v/>
      </c>
      <c r="AF326">
        <f>MID($E326,10,1)</f>
        <v/>
      </c>
    </row>
    <row r="327">
      <c r="A327" s="4" t="inlineStr">
        <is>
          <t>DN326</t>
        </is>
      </c>
      <c r="B327" s="4" t="n">
        <v>4</v>
      </c>
      <c r="C327" s="4" t="n">
        <v>7</v>
      </c>
      <c r="D327" s="5" t="inlineStr">
        <is>
          <t>CGACTGCCTA</t>
        </is>
      </c>
      <c r="E327" s="5" t="inlineStr">
        <is>
          <t>GTCGGTAATA</t>
        </is>
      </c>
      <c r="F327" s="4">
        <f>LEN(SUBSTITUTE(SUBSTITUTE(D327,"A",""),"T",""))</f>
        <v/>
      </c>
      <c r="G327" s="4">
        <f>LEN(SUBSTITUTE(SUBSTITUTE(E327,"A",""),"T",""))</f>
        <v/>
      </c>
      <c r="H327" s="4" t="n">
        <v>-2.28</v>
      </c>
      <c r="I327" s="4" t="n">
        <v>-2.18</v>
      </c>
      <c r="J327" s="4" t="n">
        <v>-2.95</v>
      </c>
      <c r="K327" s="4" t="n">
        <v>-1.45</v>
      </c>
      <c r="M327">
        <f>MID($D327,1,1)</f>
        <v/>
      </c>
      <c r="N327">
        <f>MID($D327,2,1)</f>
        <v/>
      </c>
      <c r="O327">
        <f>MID($D327,3,1)</f>
        <v/>
      </c>
      <c r="P327">
        <f>MID($D327,4,1)</f>
        <v/>
      </c>
      <c r="Q327">
        <f>MID($D327,5,1)</f>
        <v/>
      </c>
      <c r="R327">
        <f>MID($D327,6,1)</f>
        <v/>
      </c>
      <c r="S327">
        <f>MID($D327,7,1)</f>
        <v/>
      </c>
      <c r="T327">
        <f>MID($D327,8,1)</f>
        <v/>
      </c>
      <c r="U327">
        <f>MID($D327,9,1)</f>
        <v/>
      </c>
      <c r="V327">
        <f>MID($D327,10,1)</f>
        <v/>
      </c>
      <c r="W327">
        <f>MID($E327,1,1)</f>
        <v/>
      </c>
      <c r="X327">
        <f>MID($E327,2,1)</f>
        <v/>
      </c>
      <c r="Y327">
        <f>MID($E327,3,1)</f>
        <v/>
      </c>
      <c r="Z327">
        <f>MID($E327,4,1)</f>
        <v/>
      </c>
      <c r="AA327">
        <f>MID($E327,5,1)</f>
        <v/>
      </c>
      <c r="AB327">
        <f>MID($E327,6,1)</f>
        <v/>
      </c>
      <c r="AC327">
        <f>MID($E327,7,1)</f>
        <v/>
      </c>
      <c r="AD327">
        <f>MID($E327,8,1)</f>
        <v/>
      </c>
      <c r="AE327">
        <f>MID($E327,9,1)</f>
        <v/>
      </c>
      <c r="AF327">
        <f>MID($E327,10,1)</f>
        <v/>
      </c>
    </row>
    <row r="328">
      <c r="A328" s="4" t="inlineStr">
        <is>
          <t>DN327</t>
        </is>
      </c>
      <c r="B328" s="4" t="n">
        <v>4</v>
      </c>
      <c r="C328" s="4" t="n">
        <v>7</v>
      </c>
      <c r="D328" s="5" t="inlineStr">
        <is>
          <t>GCTAGAGGCA</t>
        </is>
      </c>
      <c r="E328" s="5" t="inlineStr">
        <is>
          <t>AAGAATTGCC</t>
        </is>
      </c>
      <c r="F328" s="4">
        <f>LEN(SUBSTITUTE(SUBSTITUTE(D328,"A",""),"T",""))</f>
        <v/>
      </c>
      <c r="G328" s="4">
        <f>LEN(SUBSTITUTE(SUBSTITUTE(E328,"A",""),"T",""))</f>
        <v/>
      </c>
      <c r="H328" s="4" t="n">
        <v>-3.53</v>
      </c>
      <c r="I328" s="4" t="n">
        <v>-2.65</v>
      </c>
      <c r="J328" s="4" t="n">
        <v>-2.21</v>
      </c>
      <c r="K328" s="4" t="n">
        <v>-1.38</v>
      </c>
      <c r="M328">
        <f>MID($D328,1,1)</f>
        <v/>
      </c>
      <c r="N328">
        <f>MID($D328,2,1)</f>
        <v/>
      </c>
      <c r="O328">
        <f>MID($D328,3,1)</f>
        <v/>
      </c>
      <c r="P328">
        <f>MID($D328,4,1)</f>
        <v/>
      </c>
      <c r="Q328">
        <f>MID($D328,5,1)</f>
        <v/>
      </c>
      <c r="R328">
        <f>MID($D328,6,1)</f>
        <v/>
      </c>
      <c r="S328">
        <f>MID($D328,7,1)</f>
        <v/>
      </c>
      <c r="T328">
        <f>MID($D328,8,1)</f>
        <v/>
      </c>
      <c r="U328">
        <f>MID($D328,9,1)</f>
        <v/>
      </c>
      <c r="V328">
        <f>MID($D328,10,1)</f>
        <v/>
      </c>
      <c r="W328">
        <f>MID($E328,1,1)</f>
        <v/>
      </c>
      <c r="X328">
        <f>MID($E328,2,1)</f>
        <v/>
      </c>
      <c r="Y328">
        <f>MID($E328,3,1)</f>
        <v/>
      </c>
      <c r="Z328">
        <f>MID($E328,4,1)</f>
        <v/>
      </c>
      <c r="AA328">
        <f>MID($E328,5,1)</f>
        <v/>
      </c>
      <c r="AB328">
        <f>MID($E328,6,1)</f>
        <v/>
      </c>
      <c r="AC328">
        <f>MID($E328,7,1)</f>
        <v/>
      </c>
      <c r="AD328">
        <f>MID($E328,8,1)</f>
        <v/>
      </c>
      <c r="AE328">
        <f>MID($E328,9,1)</f>
        <v/>
      </c>
      <c r="AF328">
        <f>MID($E328,10,1)</f>
        <v/>
      </c>
    </row>
    <row r="329">
      <c r="A329" s="4" t="inlineStr">
        <is>
          <t>DN328</t>
        </is>
      </c>
      <c r="B329" s="4" t="n">
        <v>4</v>
      </c>
      <c r="C329" s="4" t="n">
        <v>7</v>
      </c>
      <c r="D329" s="5" t="inlineStr">
        <is>
          <t>TTCGACCGTG</t>
        </is>
      </c>
      <c r="E329" s="5" t="inlineStr">
        <is>
          <t>CATGCACTAC</t>
        </is>
      </c>
      <c r="F329" s="4">
        <f>LEN(SUBSTITUTE(SUBSTITUTE(D329,"A",""),"T",""))</f>
        <v/>
      </c>
      <c r="G329" s="4">
        <f>LEN(SUBSTITUTE(SUBSTITUTE(E329,"A",""),"T",""))</f>
        <v/>
      </c>
      <c r="H329" s="4" t="n">
        <v>-4.03</v>
      </c>
      <c r="I329" s="4" t="n">
        <v>-1.37</v>
      </c>
      <c r="J329" s="4" t="n">
        <v>-2.82</v>
      </c>
      <c r="K329" s="4" t="n">
        <v>-0.6</v>
      </c>
      <c r="M329">
        <f>MID($D329,1,1)</f>
        <v/>
      </c>
      <c r="N329">
        <f>MID($D329,2,1)</f>
        <v/>
      </c>
      <c r="O329">
        <f>MID($D329,3,1)</f>
        <v/>
      </c>
      <c r="P329">
        <f>MID($D329,4,1)</f>
        <v/>
      </c>
      <c r="Q329">
        <f>MID($D329,5,1)</f>
        <v/>
      </c>
      <c r="R329">
        <f>MID($D329,6,1)</f>
        <v/>
      </c>
      <c r="S329">
        <f>MID($D329,7,1)</f>
        <v/>
      </c>
      <c r="T329">
        <f>MID($D329,8,1)</f>
        <v/>
      </c>
      <c r="U329">
        <f>MID($D329,9,1)</f>
        <v/>
      </c>
      <c r="V329">
        <f>MID($D329,10,1)</f>
        <v/>
      </c>
      <c r="W329">
        <f>MID($E329,1,1)</f>
        <v/>
      </c>
      <c r="X329">
        <f>MID($E329,2,1)</f>
        <v/>
      </c>
      <c r="Y329">
        <f>MID($E329,3,1)</f>
        <v/>
      </c>
      <c r="Z329">
        <f>MID($E329,4,1)</f>
        <v/>
      </c>
      <c r="AA329">
        <f>MID($E329,5,1)</f>
        <v/>
      </c>
      <c r="AB329">
        <f>MID($E329,6,1)</f>
        <v/>
      </c>
      <c r="AC329">
        <f>MID($E329,7,1)</f>
        <v/>
      </c>
      <c r="AD329">
        <f>MID($E329,8,1)</f>
        <v/>
      </c>
      <c r="AE329">
        <f>MID($E329,9,1)</f>
        <v/>
      </c>
      <c r="AF329">
        <f>MID($E329,10,1)</f>
        <v/>
      </c>
    </row>
    <row r="330">
      <c r="A330" s="4" t="inlineStr">
        <is>
          <t>DN329</t>
        </is>
      </c>
      <c r="B330" s="4" t="n">
        <v>4</v>
      </c>
      <c r="C330" s="4" t="n">
        <v>7</v>
      </c>
      <c r="D330" s="5" t="inlineStr">
        <is>
          <t>ATCGTGTTCG</t>
        </is>
      </c>
      <c r="E330" s="5" t="inlineStr">
        <is>
          <t>CTCCACTTGG</t>
        </is>
      </c>
      <c r="F330" s="4">
        <f>LEN(SUBSTITUTE(SUBSTITUTE(D330,"A",""),"T",""))</f>
        <v/>
      </c>
      <c r="G330" s="4">
        <f>LEN(SUBSTITUTE(SUBSTITUTE(E330,"A",""),"T",""))</f>
        <v/>
      </c>
      <c r="H330" s="4" t="n">
        <v>-3.86</v>
      </c>
      <c r="I330" s="4" t="n">
        <v>-1.61</v>
      </c>
      <c r="J330" s="4" t="n">
        <v>-1.98</v>
      </c>
      <c r="K330" s="4" t="n">
        <v>-0.48</v>
      </c>
      <c r="M330">
        <f>MID($D330,1,1)</f>
        <v/>
      </c>
      <c r="N330">
        <f>MID($D330,2,1)</f>
        <v/>
      </c>
      <c r="O330">
        <f>MID($D330,3,1)</f>
        <v/>
      </c>
      <c r="P330">
        <f>MID($D330,4,1)</f>
        <v/>
      </c>
      <c r="Q330">
        <f>MID($D330,5,1)</f>
        <v/>
      </c>
      <c r="R330">
        <f>MID($D330,6,1)</f>
        <v/>
      </c>
      <c r="S330">
        <f>MID($D330,7,1)</f>
        <v/>
      </c>
      <c r="T330">
        <f>MID($D330,8,1)</f>
        <v/>
      </c>
      <c r="U330">
        <f>MID($D330,9,1)</f>
        <v/>
      </c>
      <c r="V330">
        <f>MID($D330,10,1)</f>
        <v/>
      </c>
      <c r="W330">
        <f>MID($E330,1,1)</f>
        <v/>
      </c>
      <c r="X330">
        <f>MID($E330,2,1)</f>
        <v/>
      </c>
      <c r="Y330">
        <f>MID($E330,3,1)</f>
        <v/>
      </c>
      <c r="Z330">
        <f>MID($E330,4,1)</f>
        <v/>
      </c>
      <c r="AA330">
        <f>MID($E330,5,1)</f>
        <v/>
      </c>
      <c r="AB330">
        <f>MID($E330,6,1)</f>
        <v/>
      </c>
      <c r="AC330">
        <f>MID($E330,7,1)</f>
        <v/>
      </c>
      <c r="AD330">
        <f>MID($E330,8,1)</f>
        <v/>
      </c>
      <c r="AE330">
        <f>MID($E330,9,1)</f>
        <v/>
      </c>
      <c r="AF330">
        <f>MID($E330,10,1)</f>
        <v/>
      </c>
    </row>
    <row r="331">
      <c r="A331" s="4" t="inlineStr">
        <is>
          <t>DN330</t>
        </is>
      </c>
      <c r="B331" s="4" t="n">
        <v>4</v>
      </c>
      <c r="C331" s="4" t="n">
        <v>7</v>
      </c>
      <c r="D331" s="5" t="inlineStr">
        <is>
          <t>TGCACAAGTA</t>
        </is>
      </c>
      <c r="E331" s="5" t="inlineStr">
        <is>
          <t>GAGAACGCCA</t>
        </is>
      </c>
      <c r="F331" s="4">
        <f>LEN(SUBSTITUTE(SUBSTITUTE(D331,"A",""),"T",""))</f>
        <v/>
      </c>
      <c r="G331" s="4">
        <f>LEN(SUBSTITUTE(SUBSTITUTE(E331,"A",""),"T",""))</f>
        <v/>
      </c>
      <c r="H331" s="4" t="n">
        <v>-2.49</v>
      </c>
      <c r="I331" s="4" t="n">
        <v>-0.6</v>
      </c>
      <c r="J331" s="4" t="n">
        <v>-3.95</v>
      </c>
      <c r="K331" s="4" t="n">
        <v>-1.55</v>
      </c>
      <c r="M331">
        <f>MID($D331,1,1)</f>
        <v/>
      </c>
      <c r="N331">
        <f>MID($D331,2,1)</f>
        <v/>
      </c>
      <c r="O331">
        <f>MID($D331,3,1)</f>
        <v/>
      </c>
      <c r="P331">
        <f>MID($D331,4,1)</f>
        <v/>
      </c>
      <c r="Q331">
        <f>MID($D331,5,1)</f>
        <v/>
      </c>
      <c r="R331">
        <f>MID($D331,6,1)</f>
        <v/>
      </c>
      <c r="S331">
        <f>MID($D331,7,1)</f>
        <v/>
      </c>
      <c r="T331">
        <f>MID($D331,8,1)</f>
        <v/>
      </c>
      <c r="U331">
        <f>MID($D331,9,1)</f>
        <v/>
      </c>
      <c r="V331">
        <f>MID($D331,10,1)</f>
        <v/>
      </c>
      <c r="W331">
        <f>MID($E331,1,1)</f>
        <v/>
      </c>
      <c r="X331">
        <f>MID($E331,2,1)</f>
        <v/>
      </c>
      <c r="Y331">
        <f>MID($E331,3,1)</f>
        <v/>
      </c>
      <c r="Z331">
        <f>MID($E331,4,1)</f>
        <v/>
      </c>
      <c r="AA331">
        <f>MID($E331,5,1)</f>
        <v/>
      </c>
      <c r="AB331">
        <f>MID($E331,6,1)</f>
        <v/>
      </c>
      <c r="AC331">
        <f>MID($E331,7,1)</f>
        <v/>
      </c>
      <c r="AD331">
        <f>MID($E331,8,1)</f>
        <v/>
      </c>
      <c r="AE331">
        <f>MID($E331,9,1)</f>
        <v/>
      </c>
      <c r="AF331">
        <f>MID($E331,10,1)</f>
        <v/>
      </c>
    </row>
    <row r="332">
      <c r="A332" s="4" t="inlineStr">
        <is>
          <t>DN331</t>
        </is>
      </c>
      <c r="B332" s="4" t="n">
        <v>4</v>
      </c>
      <c r="C332" s="4" t="n">
        <v>7</v>
      </c>
      <c r="D332" s="5" t="inlineStr">
        <is>
          <t>AGAACGCGGT</t>
        </is>
      </c>
      <c r="E332" s="5" t="inlineStr">
        <is>
          <t>GTGAACCTGG</t>
        </is>
      </c>
      <c r="F332" s="4">
        <f>LEN(SUBSTITUTE(SUBSTITUTE(D332,"A",""),"T",""))</f>
        <v/>
      </c>
      <c r="G332" s="4">
        <f>LEN(SUBSTITUTE(SUBSTITUTE(E332,"A",""),"T",""))</f>
        <v/>
      </c>
      <c r="H332" s="4" t="n">
        <v>-4.82</v>
      </c>
      <c r="I332" s="4" t="n">
        <v>-1.88</v>
      </c>
      <c r="J332" s="4" t="n">
        <v>-2.3</v>
      </c>
      <c r="K332" s="4" t="n">
        <v>-0.27</v>
      </c>
      <c r="M332">
        <f>MID($D332,1,1)</f>
        <v/>
      </c>
      <c r="N332">
        <f>MID($D332,2,1)</f>
        <v/>
      </c>
      <c r="O332">
        <f>MID($D332,3,1)</f>
        <v/>
      </c>
      <c r="P332">
        <f>MID($D332,4,1)</f>
        <v/>
      </c>
      <c r="Q332">
        <f>MID($D332,5,1)</f>
        <v/>
      </c>
      <c r="R332">
        <f>MID($D332,6,1)</f>
        <v/>
      </c>
      <c r="S332">
        <f>MID($D332,7,1)</f>
        <v/>
      </c>
      <c r="T332">
        <f>MID($D332,8,1)</f>
        <v/>
      </c>
      <c r="U332">
        <f>MID($D332,9,1)</f>
        <v/>
      </c>
      <c r="V332">
        <f>MID($D332,10,1)</f>
        <v/>
      </c>
      <c r="W332">
        <f>MID($E332,1,1)</f>
        <v/>
      </c>
      <c r="X332">
        <f>MID($E332,2,1)</f>
        <v/>
      </c>
      <c r="Y332">
        <f>MID($E332,3,1)</f>
        <v/>
      </c>
      <c r="Z332">
        <f>MID($E332,4,1)</f>
        <v/>
      </c>
      <c r="AA332">
        <f>MID($E332,5,1)</f>
        <v/>
      </c>
      <c r="AB332">
        <f>MID($E332,6,1)</f>
        <v/>
      </c>
      <c r="AC332">
        <f>MID($E332,7,1)</f>
        <v/>
      </c>
      <c r="AD332">
        <f>MID($E332,8,1)</f>
        <v/>
      </c>
      <c r="AE332">
        <f>MID($E332,9,1)</f>
        <v/>
      </c>
      <c r="AF332">
        <f>MID($E332,10,1)</f>
        <v/>
      </c>
    </row>
    <row r="333">
      <c r="A333" s="4" t="inlineStr">
        <is>
          <t>DN332</t>
        </is>
      </c>
      <c r="B333" s="4" t="n">
        <v>4</v>
      </c>
      <c r="C333" s="4" t="n">
        <v>7</v>
      </c>
      <c r="D333" s="5" t="inlineStr">
        <is>
          <t>GACTAGGTCC</t>
        </is>
      </c>
      <c r="E333" s="5" t="inlineStr">
        <is>
          <t>AATTACCAGG</t>
        </is>
      </c>
      <c r="F333" s="4">
        <f>LEN(SUBSTITUTE(SUBSTITUTE(D333,"A",""),"T",""))</f>
        <v/>
      </c>
      <c r="G333" s="4">
        <f>LEN(SUBSTITUTE(SUBSTITUTE(E333,"A",""),"T",""))</f>
        <v/>
      </c>
      <c r="H333" s="4" t="n">
        <v>-2.52</v>
      </c>
      <c r="I333" s="4" t="n">
        <v>-1.84</v>
      </c>
      <c r="J333" s="4" t="n">
        <v>-3</v>
      </c>
      <c r="K333" s="4" t="n">
        <v>-0.51</v>
      </c>
      <c r="M333">
        <f>MID($D333,1,1)</f>
        <v/>
      </c>
      <c r="N333">
        <f>MID($D333,2,1)</f>
        <v/>
      </c>
      <c r="O333">
        <f>MID($D333,3,1)</f>
        <v/>
      </c>
      <c r="P333">
        <f>MID($D333,4,1)</f>
        <v/>
      </c>
      <c r="Q333">
        <f>MID($D333,5,1)</f>
        <v/>
      </c>
      <c r="R333">
        <f>MID($D333,6,1)</f>
        <v/>
      </c>
      <c r="S333">
        <f>MID($D333,7,1)</f>
        <v/>
      </c>
      <c r="T333">
        <f>MID($D333,8,1)</f>
        <v/>
      </c>
      <c r="U333">
        <f>MID($D333,9,1)</f>
        <v/>
      </c>
      <c r="V333">
        <f>MID($D333,10,1)</f>
        <v/>
      </c>
      <c r="W333">
        <f>MID($E333,1,1)</f>
        <v/>
      </c>
      <c r="X333">
        <f>MID($E333,2,1)</f>
        <v/>
      </c>
      <c r="Y333">
        <f>MID($E333,3,1)</f>
        <v/>
      </c>
      <c r="Z333">
        <f>MID($E333,4,1)</f>
        <v/>
      </c>
      <c r="AA333">
        <f>MID($E333,5,1)</f>
        <v/>
      </c>
      <c r="AB333">
        <f>MID($E333,6,1)</f>
        <v/>
      </c>
      <c r="AC333">
        <f>MID($E333,7,1)</f>
        <v/>
      </c>
      <c r="AD333">
        <f>MID($E333,8,1)</f>
        <v/>
      </c>
      <c r="AE333">
        <f>MID($E333,9,1)</f>
        <v/>
      </c>
      <c r="AF333">
        <f>MID($E333,10,1)</f>
        <v/>
      </c>
    </row>
    <row r="334">
      <c r="A334" s="4" t="inlineStr">
        <is>
          <t>DN333</t>
        </is>
      </c>
      <c r="B334" s="4" t="n">
        <v>4</v>
      </c>
      <c r="C334" s="4" t="n">
        <v>7</v>
      </c>
      <c r="D334" s="5" t="inlineStr">
        <is>
          <t>GAGACCGAAC</t>
        </is>
      </c>
      <c r="E334" s="5" t="inlineStr">
        <is>
          <t>AGGCCAGTCT</t>
        </is>
      </c>
      <c r="F334" s="4">
        <f>LEN(SUBSTITUTE(SUBSTITUTE(D334,"A",""),"T",""))</f>
        <v/>
      </c>
      <c r="G334" s="4">
        <f>LEN(SUBSTITUTE(SUBSTITUTE(E334,"A",""),"T",""))</f>
        <v/>
      </c>
      <c r="H334" s="4" t="n">
        <v>-3.43</v>
      </c>
      <c r="I334" s="4" t="n">
        <v>-1.21</v>
      </c>
      <c r="J334" s="4" t="n">
        <v>-3.43</v>
      </c>
      <c r="K334" s="4" t="n">
        <v>-1.88</v>
      </c>
      <c r="M334">
        <f>MID($D334,1,1)</f>
        <v/>
      </c>
      <c r="N334">
        <f>MID($D334,2,1)</f>
        <v/>
      </c>
      <c r="O334">
        <f>MID($D334,3,1)</f>
        <v/>
      </c>
      <c r="P334">
        <f>MID($D334,4,1)</f>
        <v/>
      </c>
      <c r="Q334">
        <f>MID($D334,5,1)</f>
        <v/>
      </c>
      <c r="R334">
        <f>MID($D334,6,1)</f>
        <v/>
      </c>
      <c r="S334">
        <f>MID($D334,7,1)</f>
        <v/>
      </c>
      <c r="T334">
        <f>MID($D334,8,1)</f>
        <v/>
      </c>
      <c r="U334">
        <f>MID($D334,9,1)</f>
        <v/>
      </c>
      <c r="V334">
        <f>MID($D334,10,1)</f>
        <v/>
      </c>
      <c r="W334">
        <f>MID($E334,1,1)</f>
        <v/>
      </c>
      <c r="X334">
        <f>MID($E334,2,1)</f>
        <v/>
      </c>
      <c r="Y334">
        <f>MID($E334,3,1)</f>
        <v/>
      </c>
      <c r="Z334">
        <f>MID($E334,4,1)</f>
        <v/>
      </c>
      <c r="AA334">
        <f>MID($E334,5,1)</f>
        <v/>
      </c>
      <c r="AB334">
        <f>MID($E334,6,1)</f>
        <v/>
      </c>
      <c r="AC334">
        <f>MID($E334,7,1)</f>
        <v/>
      </c>
      <c r="AD334">
        <f>MID($E334,8,1)</f>
        <v/>
      </c>
      <c r="AE334">
        <f>MID($E334,9,1)</f>
        <v/>
      </c>
      <c r="AF334">
        <f>MID($E334,10,1)</f>
        <v/>
      </c>
    </row>
    <row r="335">
      <c r="A335" s="4" t="inlineStr">
        <is>
          <t>DN334</t>
        </is>
      </c>
      <c r="B335" s="4" t="n">
        <v>4</v>
      </c>
      <c r="C335" s="4" t="n">
        <v>7</v>
      </c>
      <c r="D335" s="5" t="inlineStr">
        <is>
          <t>AACACCGCAT</t>
        </is>
      </c>
      <c r="E335" s="5" t="inlineStr">
        <is>
          <t>CGAACCAGTT</t>
        </is>
      </c>
      <c r="F335" s="4">
        <f>LEN(SUBSTITUTE(SUBSTITUTE(D335,"A",""),"T",""))</f>
        <v/>
      </c>
      <c r="G335" s="4">
        <f>LEN(SUBSTITUTE(SUBSTITUTE(E335,"A",""),"T",""))</f>
        <v/>
      </c>
      <c r="H335" s="4" t="n">
        <v>-3.79</v>
      </c>
      <c r="I335" s="4" t="n">
        <v>-0.33</v>
      </c>
      <c r="J335" s="4" t="n">
        <v>-3.88</v>
      </c>
      <c r="K335" s="4" t="n">
        <v>-0.5</v>
      </c>
      <c r="M335">
        <f>MID($D335,1,1)</f>
        <v/>
      </c>
      <c r="N335">
        <f>MID($D335,2,1)</f>
        <v/>
      </c>
      <c r="O335">
        <f>MID($D335,3,1)</f>
        <v/>
      </c>
      <c r="P335">
        <f>MID($D335,4,1)</f>
        <v/>
      </c>
      <c r="Q335">
        <f>MID($D335,5,1)</f>
        <v/>
      </c>
      <c r="R335">
        <f>MID($D335,6,1)</f>
        <v/>
      </c>
      <c r="S335">
        <f>MID($D335,7,1)</f>
        <v/>
      </c>
      <c r="T335">
        <f>MID($D335,8,1)</f>
        <v/>
      </c>
      <c r="U335">
        <f>MID($D335,9,1)</f>
        <v/>
      </c>
      <c r="V335">
        <f>MID($D335,10,1)</f>
        <v/>
      </c>
      <c r="W335">
        <f>MID($E335,1,1)</f>
        <v/>
      </c>
      <c r="X335">
        <f>MID($E335,2,1)</f>
        <v/>
      </c>
      <c r="Y335">
        <f>MID($E335,3,1)</f>
        <v/>
      </c>
      <c r="Z335">
        <f>MID($E335,4,1)</f>
        <v/>
      </c>
      <c r="AA335">
        <f>MID($E335,5,1)</f>
        <v/>
      </c>
      <c r="AB335">
        <f>MID($E335,6,1)</f>
        <v/>
      </c>
      <c r="AC335">
        <f>MID($E335,7,1)</f>
        <v/>
      </c>
      <c r="AD335">
        <f>MID($E335,8,1)</f>
        <v/>
      </c>
      <c r="AE335">
        <f>MID($E335,9,1)</f>
        <v/>
      </c>
      <c r="AF335">
        <f>MID($E335,10,1)</f>
        <v/>
      </c>
    </row>
    <row r="336">
      <c r="A336" s="4" t="inlineStr">
        <is>
          <t>DN335</t>
        </is>
      </c>
      <c r="B336" s="4" t="n">
        <v>4</v>
      </c>
      <c r="C336" s="4" t="n">
        <v>7</v>
      </c>
      <c r="D336" s="5" t="inlineStr">
        <is>
          <t>CGCTCAACTG</t>
        </is>
      </c>
      <c r="E336" s="5" t="inlineStr">
        <is>
          <t>GTGGCAAGAG</t>
        </is>
      </c>
      <c r="F336" s="4">
        <f>LEN(SUBSTITUTE(SUBSTITUTE(D336,"A",""),"T",""))</f>
        <v/>
      </c>
      <c r="G336" s="4">
        <f>LEN(SUBSTITUTE(SUBSTITUTE(E336,"A",""),"T",""))</f>
        <v/>
      </c>
      <c r="H336" s="4" t="n">
        <v>-2.46</v>
      </c>
      <c r="I336" s="4" t="n">
        <v>-0.63</v>
      </c>
      <c r="J336" s="4" t="n">
        <v>-3.41</v>
      </c>
      <c r="K336" s="4" t="n">
        <v>-2.37</v>
      </c>
      <c r="M336">
        <f>MID($D336,1,1)</f>
        <v/>
      </c>
      <c r="N336">
        <f>MID($D336,2,1)</f>
        <v/>
      </c>
      <c r="O336">
        <f>MID($D336,3,1)</f>
        <v/>
      </c>
      <c r="P336">
        <f>MID($D336,4,1)</f>
        <v/>
      </c>
      <c r="Q336">
        <f>MID($D336,5,1)</f>
        <v/>
      </c>
      <c r="R336">
        <f>MID($D336,6,1)</f>
        <v/>
      </c>
      <c r="S336">
        <f>MID($D336,7,1)</f>
        <v/>
      </c>
      <c r="T336">
        <f>MID($D336,8,1)</f>
        <v/>
      </c>
      <c r="U336">
        <f>MID($D336,9,1)</f>
        <v/>
      </c>
      <c r="V336">
        <f>MID($D336,10,1)</f>
        <v/>
      </c>
      <c r="W336">
        <f>MID($E336,1,1)</f>
        <v/>
      </c>
      <c r="X336">
        <f>MID($E336,2,1)</f>
        <v/>
      </c>
      <c r="Y336">
        <f>MID($E336,3,1)</f>
        <v/>
      </c>
      <c r="Z336">
        <f>MID($E336,4,1)</f>
        <v/>
      </c>
      <c r="AA336">
        <f>MID($E336,5,1)</f>
        <v/>
      </c>
      <c r="AB336">
        <f>MID($E336,6,1)</f>
        <v/>
      </c>
      <c r="AC336">
        <f>MID($E336,7,1)</f>
        <v/>
      </c>
      <c r="AD336">
        <f>MID($E336,8,1)</f>
        <v/>
      </c>
      <c r="AE336">
        <f>MID($E336,9,1)</f>
        <v/>
      </c>
      <c r="AF336">
        <f>MID($E336,10,1)</f>
        <v/>
      </c>
    </row>
    <row r="337">
      <c r="A337" s="4" t="inlineStr">
        <is>
          <t>DN336</t>
        </is>
      </c>
      <c r="B337" s="4" t="n">
        <v>4</v>
      </c>
      <c r="C337" s="4" t="n">
        <v>7</v>
      </c>
      <c r="D337" s="5" t="inlineStr">
        <is>
          <t>CGAAGTTCCT</t>
        </is>
      </c>
      <c r="E337" s="5" t="inlineStr">
        <is>
          <t>TTAGGTCCTT</t>
        </is>
      </c>
      <c r="F337" s="4">
        <f>LEN(SUBSTITUTE(SUBSTITUTE(D337,"A",""),"T",""))</f>
        <v/>
      </c>
      <c r="G337" s="4">
        <f>LEN(SUBSTITUTE(SUBSTITUTE(E337,"A",""),"T",""))</f>
        <v/>
      </c>
      <c r="H337" s="4" t="n">
        <v>-2.79</v>
      </c>
      <c r="I337" s="4" t="n">
        <v>-0.7</v>
      </c>
      <c r="J337" s="4" t="n">
        <v>-2.75</v>
      </c>
      <c r="K337" s="4" t="n">
        <v>-1.84</v>
      </c>
      <c r="M337">
        <f>MID($D337,1,1)</f>
        <v/>
      </c>
      <c r="N337">
        <f>MID($D337,2,1)</f>
        <v/>
      </c>
      <c r="O337">
        <f>MID($D337,3,1)</f>
        <v/>
      </c>
      <c r="P337">
        <f>MID($D337,4,1)</f>
        <v/>
      </c>
      <c r="Q337">
        <f>MID($D337,5,1)</f>
        <v/>
      </c>
      <c r="R337">
        <f>MID($D337,6,1)</f>
        <v/>
      </c>
      <c r="S337">
        <f>MID($D337,7,1)</f>
        <v/>
      </c>
      <c r="T337">
        <f>MID($D337,8,1)</f>
        <v/>
      </c>
      <c r="U337">
        <f>MID($D337,9,1)</f>
        <v/>
      </c>
      <c r="V337">
        <f>MID($D337,10,1)</f>
        <v/>
      </c>
      <c r="W337">
        <f>MID($E337,1,1)</f>
        <v/>
      </c>
      <c r="X337">
        <f>MID($E337,2,1)</f>
        <v/>
      </c>
      <c r="Y337">
        <f>MID($E337,3,1)</f>
        <v/>
      </c>
      <c r="Z337">
        <f>MID($E337,4,1)</f>
        <v/>
      </c>
      <c r="AA337">
        <f>MID($E337,5,1)</f>
        <v/>
      </c>
      <c r="AB337">
        <f>MID($E337,6,1)</f>
        <v/>
      </c>
      <c r="AC337">
        <f>MID($E337,7,1)</f>
        <v/>
      </c>
      <c r="AD337">
        <f>MID($E337,8,1)</f>
        <v/>
      </c>
      <c r="AE337">
        <f>MID($E337,9,1)</f>
        <v/>
      </c>
      <c r="AF337">
        <f>MID($E337,10,1)</f>
        <v/>
      </c>
    </row>
    <row r="338">
      <c r="A338" s="4" t="inlineStr">
        <is>
          <t>DN337</t>
        </is>
      </c>
      <c r="B338" s="4" t="n">
        <v>4</v>
      </c>
      <c r="C338" s="4" t="n">
        <v>8</v>
      </c>
      <c r="D338" s="5" t="inlineStr">
        <is>
          <t>GCTCCATAAG</t>
        </is>
      </c>
      <c r="E338" s="5" t="inlineStr">
        <is>
          <t>TACAGAGTAG</t>
        </is>
      </c>
      <c r="F338" s="4">
        <f>LEN(SUBSTITUTE(SUBSTITUTE(D338,"A",""),"T",""))</f>
        <v/>
      </c>
      <c r="G338" s="4">
        <f>LEN(SUBSTITUTE(SUBSTITUTE(E338,"A",""),"T",""))</f>
        <v/>
      </c>
      <c r="H338" s="4" t="n">
        <v>-2.45</v>
      </c>
      <c r="I338" s="4" t="n">
        <v>-0.57</v>
      </c>
      <c r="J338" s="4" t="n">
        <v>-2.25</v>
      </c>
      <c r="K338" s="4" t="n">
        <v>-1.27</v>
      </c>
      <c r="M338">
        <f>MID($D338,1,1)</f>
        <v/>
      </c>
      <c r="N338">
        <f>MID($D338,2,1)</f>
        <v/>
      </c>
      <c r="O338">
        <f>MID($D338,3,1)</f>
        <v/>
      </c>
      <c r="P338">
        <f>MID($D338,4,1)</f>
        <v/>
      </c>
      <c r="Q338">
        <f>MID($D338,5,1)</f>
        <v/>
      </c>
      <c r="R338">
        <f>MID($D338,6,1)</f>
        <v/>
      </c>
      <c r="S338">
        <f>MID($D338,7,1)</f>
        <v/>
      </c>
      <c r="T338">
        <f>MID($D338,8,1)</f>
        <v/>
      </c>
      <c r="U338">
        <f>MID($D338,9,1)</f>
        <v/>
      </c>
      <c r="V338">
        <f>MID($D338,10,1)</f>
        <v/>
      </c>
      <c r="W338">
        <f>MID($E338,1,1)</f>
        <v/>
      </c>
      <c r="X338">
        <f>MID($E338,2,1)</f>
        <v/>
      </c>
      <c r="Y338">
        <f>MID($E338,3,1)</f>
        <v/>
      </c>
      <c r="Z338">
        <f>MID($E338,4,1)</f>
        <v/>
      </c>
      <c r="AA338">
        <f>MID($E338,5,1)</f>
        <v/>
      </c>
      <c r="AB338">
        <f>MID($E338,6,1)</f>
        <v/>
      </c>
      <c r="AC338">
        <f>MID($E338,7,1)</f>
        <v/>
      </c>
      <c r="AD338">
        <f>MID($E338,8,1)</f>
        <v/>
      </c>
      <c r="AE338">
        <f>MID($E338,9,1)</f>
        <v/>
      </c>
      <c r="AF338">
        <f>MID($E338,10,1)</f>
        <v/>
      </c>
    </row>
    <row r="339">
      <c r="A339" s="4" t="inlineStr">
        <is>
          <t>DN338</t>
        </is>
      </c>
      <c r="B339" s="4" t="n">
        <v>4</v>
      </c>
      <c r="C339" s="4" t="n">
        <v>8</v>
      </c>
      <c r="D339" s="5" t="inlineStr">
        <is>
          <t>GTTATGTGGA</t>
        </is>
      </c>
      <c r="E339" s="5" t="inlineStr">
        <is>
          <t>GCGTGGATTG</t>
        </is>
      </c>
      <c r="F339" s="4">
        <f>LEN(SUBSTITUTE(SUBSTITUTE(D339,"A",""),"T",""))</f>
        <v/>
      </c>
      <c r="G339" s="4">
        <f>LEN(SUBSTITUTE(SUBSTITUTE(E339,"A",""),"T",""))</f>
        <v/>
      </c>
      <c r="H339" s="4" t="n">
        <v>-3.41</v>
      </c>
      <c r="I339" s="4" t="n">
        <v>-1.28</v>
      </c>
      <c r="J339" s="4" t="n">
        <v>-3.41</v>
      </c>
      <c r="K339" s="4" t="n">
        <v>-1.28</v>
      </c>
      <c r="M339">
        <f>MID($D339,1,1)</f>
        <v/>
      </c>
      <c r="N339">
        <f>MID($D339,2,1)</f>
        <v/>
      </c>
      <c r="O339">
        <f>MID($D339,3,1)</f>
        <v/>
      </c>
      <c r="P339">
        <f>MID($D339,4,1)</f>
        <v/>
      </c>
      <c r="Q339">
        <f>MID($D339,5,1)</f>
        <v/>
      </c>
      <c r="R339">
        <f>MID($D339,6,1)</f>
        <v/>
      </c>
      <c r="S339">
        <f>MID($D339,7,1)</f>
        <v/>
      </c>
      <c r="T339">
        <f>MID($D339,8,1)</f>
        <v/>
      </c>
      <c r="U339">
        <f>MID($D339,9,1)</f>
        <v/>
      </c>
      <c r="V339">
        <f>MID($D339,10,1)</f>
        <v/>
      </c>
      <c r="W339">
        <f>MID($E339,1,1)</f>
        <v/>
      </c>
      <c r="X339">
        <f>MID($E339,2,1)</f>
        <v/>
      </c>
      <c r="Y339">
        <f>MID($E339,3,1)</f>
        <v/>
      </c>
      <c r="Z339">
        <f>MID($E339,4,1)</f>
        <v/>
      </c>
      <c r="AA339">
        <f>MID($E339,5,1)</f>
        <v/>
      </c>
      <c r="AB339">
        <f>MID($E339,6,1)</f>
        <v/>
      </c>
      <c r="AC339">
        <f>MID($E339,7,1)</f>
        <v/>
      </c>
      <c r="AD339">
        <f>MID($E339,8,1)</f>
        <v/>
      </c>
      <c r="AE339">
        <f>MID($E339,9,1)</f>
        <v/>
      </c>
      <c r="AF339">
        <f>MID($E339,10,1)</f>
        <v/>
      </c>
    </row>
    <row r="340">
      <c r="A340" s="4" t="inlineStr">
        <is>
          <t>DN339</t>
        </is>
      </c>
      <c r="B340" s="4" t="n">
        <v>4</v>
      </c>
      <c r="C340" s="4" t="n">
        <v>8</v>
      </c>
      <c r="D340" s="5" t="inlineStr">
        <is>
          <t>ATCCATCCGG</t>
        </is>
      </c>
      <c r="E340" s="5" t="inlineStr">
        <is>
          <t>CACGGAGTTC</t>
        </is>
      </c>
      <c r="F340" s="4">
        <f>LEN(SUBSTITUTE(SUBSTITUTE(D340,"A",""),"T",""))</f>
        <v/>
      </c>
      <c r="G340" s="4">
        <f>LEN(SUBSTITUTE(SUBSTITUTE(E340,"A",""),"T",""))</f>
        <v/>
      </c>
      <c r="H340" s="4" t="n">
        <v>-2.63</v>
      </c>
      <c r="I340" s="4" t="n">
        <v>-1.23</v>
      </c>
      <c r="J340" s="4" t="n">
        <v>-3.25</v>
      </c>
      <c r="K340" s="4" t="n">
        <v>-2.55</v>
      </c>
      <c r="M340">
        <f>MID($D340,1,1)</f>
        <v/>
      </c>
      <c r="N340">
        <f>MID($D340,2,1)</f>
        <v/>
      </c>
      <c r="O340">
        <f>MID($D340,3,1)</f>
        <v/>
      </c>
      <c r="P340">
        <f>MID($D340,4,1)</f>
        <v/>
      </c>
      <c r="Q340">
        <f>MID($D340,5,1)</f>
        <v/>
      </c>
      <c r="R340">
        <f>MID($D340,6,1)</f>
        <v/>
      </c>
      <c r="S340">
        <f>MID($D340,7,1)</f>
        <v/>
      </c>
      <c r="T340">
        <f>MID($D340,8,1)</f>
        <v/>
      </c>
      <c r="U340">
        <f>MID($D340,9,1)</f>
        <v/>
      </c>
      <c r="V340">
        <f>MID($D340,10,1)</f>
        <v/>
      </c>
      <c r="W340">
        <f>MID($E340,1,1)</f>
        <v/>
      </c>
      <c r="X340">
        <f>MID($E340,2,1)</f>
        <v/>
      </c>
      <c r="Y340">
        <f>MID($E340,3,1)</f>
        <v/>
      </c>
      <c r="Z340">
        <f>MID($E340,4,1)</f>
        <v/>
      </c>
      <c r="AA340">
        <f>MID($E340,5,1)</f>
        <v/>
      </c>
      <c r="AB340">
        <f>MID($E340,6,1)</f>
        <v/>
      </c>
      <c r="AC340">
        <f>MID($E340,7,1)</f>
        <v/>
      </c>
      <c r="AD340">
        <f>MID($E340,8,1)</f>
        <v/>
      </c>
      <c r="AE340">
        <f>MID($E340,9,1)</f>
        <v/>
      </c>
      <c r="AF340">
        <f>MID($E340,10,1)</f>
        <v/>
      </c>
    </row>
    <row r="341">
      <c r="A341" s="4" t="inlineStr">
        <is>
          <t>DN340</t>
        </is>
      </c>
      <c r="B341" s="4" t="n">
        <v>4</v>
      </c>
      <c r="C341" s="4" t="n">
        <v>8</v>
      </c>
      <c r="D341" s="5" t="inlineStr">
        <is>
          <t>GATTGCTAAC</t>
        </is>
      </c>
      <c r="E341" s="5" t="inlineStr">
        <is>
          <t>AGTGTGGATC</t>
        </is>
      </c>
      <c r="F341" s="4">
        <f>LEN(SUBSTITUTE(SUBSTITUTE(D341,"A",""),"T",""))</f>
        <v/>
      </c>
      <c r="G341" s="4">
        <f>LEN(SUBSTITUTE(SUBSTITUTE(E341,"A",""),"T",""))</f>
        <v/>
      </c>
      <c r="H341" s="4" t="n">
        <v>-2.08</v>
      </c>
      <c r="I341" s="4" t="n">
        <v>-0.93</v>
      </c>
      <c r="J341" s="4" t="n">
        <v>-4.4</v>
      </c>
      <c r="K341" s="4" t="n">
        <v>-1.28</v>
      </c>
      <c r="M341">
        <f>MID($D341,1,1)</f>
        <v/>
      </c>
      <c r="N341">
        <f>MID($D341,2,1)</f>
        <v/>
      </c>
      <c r="O341">
        <f>MID($D341,3,1)</f>
        <v/>
      </c>
      <c r="P341">
        <f>MID($D341,4,1)</f>
        <v/>
      </c>
      <c r="Q341">
        <f>MID($D341,5,1)</f>
        <v/>
      </c>
      <c r="R341">
        <f>MID($D341,6,1)</f>
        <v/>
      </c>
      <c r="S341">
        <f>MID($D341,7,1)</f>
        <v/>
      </c>
      <c r="T341">
        <f>MID($D341,8,1)</f>
        <v/>
      </c>
      <c r="U341">
        <f>MID($D341,9,1)</f>
        <v/>
      </c>
      <c r="V341">
        <f>MID($D341,10,1)</f>
        <v/>
      </c>
      <c r="W341">
        <f>MID($E341,1,1)</f>
        <v/>
      </c>
      <c r="X341">
        <f>MID($E341,2,1)</f>
        <v/>
      </c>
      <c r="Y341">
        <f>MID($E341,3,1)</f>
        <v/>
      </c>
      <c r="Z341">
        <f>MID($E341,4,1)</f>
        <v/>
      </c>
      <c r="AA341">
        <f>MID($E341,5,1)</f>
        <v/>
      </c>
      <c r="AB341">
        <f>MID($E341,6,1)</f>
        <v/>
      </c>
      <c r="AC341">
        <f>MID($E341,7,1)</f>
        <v/>
      </c>
      <c r="AD341">
        <f>MID($E341,8,1)</f>
        <v/>
      </c>
      <c r="AE341">
        <f>MID($E341,9,1)</f>
        <v/>
      </c>
      <c r="AF341">
        <f>MID($E341,10,1)</f>
        <v/>
      </c>
    </row>
    <row r="342">
      <c r="A342" s="4" t="inlineStr">
        <is>
          <t>DN341</t>
        </is>
      </c>
      <c r="B342" s="4" t="n">
        <v>4</v>
      </c>
      <c r="C342" s="4" t="n">
        <v>8</v>
      </c>
      <c r="D342" s="5" t="inlineStr">
        <is>
          <t>CTTGGTGTTG</t>
        </is>
      </c>
      <c r="E342" s="5" t="inlineStr">
        <is>
          <t>CTGAGAACCA</t>
        </is>
      </c>
      <c r="F342" s="4">
        <f>LEN(SUBSTITUTE(SUBSTITUTE(D342,"A",""),"T",""))</f>
        <v/>
      </c>
      <c r="G342" s="4">
        <f>LEN(SUBSTITUTE(SUBSTITUTE(E342,"A",""),"T",""))</f>
        <v/>
      </c>
      <c r="H342" s="4" t="n">
        <v>-2.98</v>
      </c>
      <c r="I342" s="4" t="n">
        <v>-2.97</v>
      </c>
      <c r="J342" s="4" t="n">
        <v>-1.95</v>
      </c>
      <c r="K342" s="4" t="n">
        <v>-1.95</v>
      </c>
      <c r="M342">
        <f>MID($D342,1,1)</f>
        <v/>
      </c>
      <c r="N342">
        <f>MID($D342,2,1)</f>
        <v/>
      </c>
      <c r="O342">
        <f>MID($D342,3,1)</f>
        <v/>
      </c>
      <c r="P342">
        <f>MID($D342,4,1)</f>
        <v/>
      </c>
      <c r="Q342">
        <f>MID($D342,5,1)</f>
        <v/>
      </c>
      <c r="R342">
        <f>MID($D342,6,1)</f>
        <v/>
      </c>
      <c r="S342">
        <f>MID($D342,7,1)</f>
        <v/>
      </c>
      <c r="T342">
        <f>MID($D342,8,1)</f>
        <v/>
      </c>
      <c r="U342">
        <f>MID($D342,9,1)</f>
        <v/>
      </c>
      <c r="V342">
        <f>MID($D342,10,1)</f>
        <v/>
      </c>
      <c r="W342">
        <f>MID($E342,1,1)</f>
        <v/>
      </c>
      <c r="X342">
        <f>MID($E342,2,1)</f>
        <v/>
      </c>
      <c r="Y342">
        <f>MID($E342,3,1)</f>
        <v/>
      </c>
      <c r="Z342">
        <f>MID($E342,4,1)</f>
        <v/>
      </c>
      <c r="AA342">
        <f>MID($E342,5,1)</f>
        <v/>
      </c>
      <c r="AB342">
        <f>MID($E342,6,1)</f>
        <v/>
      </c>
      <c r="AC342">
        <f>MID($E342,7,1)</f>
        <v/>
      </c>
      <c r="AD342">
        <f>MID($E342,8,1)</f>
        <v/>
      </c>
      <c r="AE342">
        <f>MID($E342,9,1)</f>
        <v/>
      </c>
      <c r="AF342">
        <f>MID($E342,10,1)</f>
        <v/>
      </c>
    </row>
    <row r="343">
      <c r="A343" s="4" t="inlineStr">
        <is>
          <t>DN342</t>
        </is>
      </c>
      <c r="B343" s="4" t="n">
        <v>4</v>
      </c>
      <c r="C343" s="4" t="n">
        <v>8</v>
      </c>
      <c r="D343" s="5" t="inlineStr">
        <is>
          <t>CTCATGTCCT</t>
        </is>
      </c>
      <c r="E343" s="5" t="inlineStr">
        <is>
          <t>GCACGATACA</t>
        </is>
      </c>
      <c r="F343" s="4">
        <f>LEN(SUBSTITUTE(SUBSTITUTE(D343,"A",""),"T",""))</f>
        <v/>
      </c>
      <c r="G343" s="4">
        <f>LEN(SUBSTITUTE(SUBSTITUTE(E343,"A",""),"T",""))</f>
        <v/>
      </c>
      <c r="H343" s="4" t="n">
        <v>-2.45</v>
      </c>
      <c r="I343" s="4" t="n">
        <v>-1.04</v>
      </c>
      <c r="J343" s="4" t="n">
        <v>-4.11</v>
      </c>
      <c r="K343" s="4" t="n">
        <v>-1.64</v>
      </c>
      <c r="M343">
        <f>MID($D343,1,1)</f>
        <v/>
      </c>
      <c r="N343">
        <f>MID($D343,2,1)</f>
        <v/>
      </c>
      <c r="O343">
        <f>MID($D343,3,1)</f>
        <v/>
      </c>
      <c r="P343">
        <f>MID($D343,4,1)</f>
        <v/>
      </c>
      <c r="Q343">
        <f>MID($D343,5,1)</f>
        <v/>
      </c>
      <c r="R343">
        <f>MID($D343,6,1)</f>
        <v/>
      </c>
      <c r="S343">
        <f>MID($D343,7,1)</f>
        <v/>
      </c>
      <c r="T343">
        <f>MID($D343,8,1)</f>
        <v/>
      </c>
      <c r="U343">
        <f>MID($D343,9,1)</f>
        <v/>
      </c>
      <c r="V343">
        <f>MID($D343,10,1)</f>
        <v/>
      </c>
      <c r="W343">
        <f>MID($E343,1,1)</f>
        <v/>
      </c>
      <c r="X343">
        <f>MID($E343,2,1)</f>
        <v/>
      </c>
      <c r="Y343">
        <f>MID($E343,3,1)</f>
        <v/>
      </c>
      <c r="Z343">
        <f>MID($E343,4,1)</f>
        <v/>
      </c>
      <c r="AA343">
        <f>MID($E343,5,1)</f>
        <v/>
      </c>
      <c r="AB343">
        <f>MID($E343,6,1)</f>
        <v/>
      </c>
      <c r="AC343">
        <f>MID($E343,7,1)</f>
        <v/>
      </c>
      <c r="AD343">
        <f>MID($E343,8,1)</f>
        <v/>
      </c>
      <c r="AE343">
        <f>MID($E343,9,1)</f>
        <v/>
      </c>
      <c r="AF343">
        <f>MID($E343,10,1)</f>
        <v/>
      </c>
    </row>
    <row r="344">
      <c r="A344" s="4" t="inlineStr">
        <is>
          <t>DN343</t>
        </is>
      </c>
      <c r="B344" s="4" t="n">
        <v>4</v>
      </c>
      <c r="C344" s="4" t="n">
        <v>8</v>
      </c>
      <c r="D344" s="5" t="inlineStr">
        <is>
          <t>TGGCTTGGTG</t>
        </is>
      </c>
      <c r="E344" s="5" t="inlineStr">
        <is>
          <t>GTTAAGAACC</t>
        </is>
      </c>
      <c r="F344" s="4">
        <f>LEN(SUBSTITUTE(SUBSTITUTE(D344,"A",""),"T",""))</f>
        <v/>
      </c>
      <c r="G344" s="4">
        <f>LEN(SUBSTITUTE(SUBSTITUTE(E344,"A",""),"T",""))</f>
        <v/>
      </c>
      <c r="H344" s="4" t="n">
        <v>-3.1</v>
      </c>
      <c r="I344" s="4" t="n">
        <v>-3.1</v>
      </c>
      <c r="J344" s="4" t="n">
        <v>-1.92</v>
      </c>
      <c r="K344" s="4" t="n">
        <v>-0.26</v>
      </c>
      <c r="M344">
        <f>MID($D344,1,1)</f>
        <v/>
      </c>
      <c r="N344">
        <f>MID($D344,2,1)</f>
        <v/>
      </c>
      <c r="O344">
        <f>MID($D344,3,1)</f>
        <v/>
      </c>
      <c r="P344">
        <f>MID($D344,4,1)</f>
        <v/>
      </c>
      <c r="Q344">
        <f>MID($D344,5,1)</f>
        <v/>
      </c>
      <c r="R344">
        <f>MID($D344,6,1)</f>
        <v/>
      </c>
      <c r="S344">
        <f>MID($D344,7,1)</f>
        <v/>
      </c>
      <c r="T344">
        <f>MID($D344,8,1)</f>
        <v/>
      </c>
      <c r="U344">
        <f>MID($D344,9,1)</f>
        <v/>
      </c>
      <c r="V344">
        <f>MID($D344,10,1)</f>
        <v/>
      </c>
      <c r="W344">
        <f>MID($E344,1,1)</f>
        <v/>
      </c>
      <c r="X344">
        <f>MID($E344,2,1)</f>
        <v/>
      </c>
      <c r="Y344">
        <f>MID($E344,3,1)</f>
        <v/>
      </c>
      <c r="Z344">
        <f>MID($E344,4,1)</f>
        <v/>
      </c>
      <c r="AA344">
        <f>MID($E344,5,1)</f>
        <v/>
      </c>
      <c r="AB344">
        <f>MID($E344,6,1)</f>
        <v/>
      </c>
      <c r="AC344">
        <f>MID($E344,7,1)</f>
        <v/>
      </c>
      <c r="AD344">
        <f>MID($E344,8,1)</f>
        <v/>
      </c>
      <c r="AE344">
        <f>MID($E344,9,1)</f>
        <v/>
      </c>
      <c r="AF344">
        <f>MID($E344,10,1)</f>
        <v/>
      </c>
    </row>
    <row r="345">
      <c r="A345" s="4" t="inlineStr">
        <is>
          <t>DN344</t>
        </is>
      </c>
      <c r="B345" s="4" t="n">
        <v>4</v>
      </c>
      <c r="C345" s="4" t="n">
        <v>8</v>
      </c>
      <c r="D345" s="5" t="inlineStr">
        <is>
          <t>CTCGATCACG</t>
        </is>
      </c>
      <c r="E345" s="5" t="inlineStr">
        <is>
          <t>CGCTTCTCGA</t>
        </is>
      </c>
      <c r="F345" s="4">
        <f>LEN(SUBSTITUTE(SUBSTITUTE(D345,"A",""),"T",""))</f>
        <v/>
      </c>
      <c r="G345" s="4">
        <f>LEN(SUBSTITUTE(SUBSTITUTE(E345,"A",""),"T",""))</f>
        <v/>
      </c>
      <c r="H345" s="4" t="n">
        <v>-2.98</v>
      </c>
      <c r="I345" s="4" t="n">
        <v>-0.84</v>
      </c>
      <c r="J345" s="4" t="n">
        <v>-2.49</v>
      </c>
      <c r="K345" s="4" t="n">
        <v>-2.37</v>
      </c>
      <c r="M345">
        <f>MID($D345,1,1)</f>
        <v/>
      </c>
      <c r="N345">
        <f>MID($D345,2,1)</f>
        <v/>
      </c>
      <c r="O345">
        <f>MID($D345,3,1)</f>
        <v/>
      </c>
      <c r="P345">
        <f>MID($D345,4,1)</f>
        <v/>
      </c>
      <c r="Q345">
        <f>MID($D345,5,1)</f>
        <v/>
      </c>
      <c r="R345">
        <f>MID($D345,6,1)</f>
        <v/>
      </c>
      <c r="S345">
        <f>MID($D345,7,1)</f>
        <v/>
      </c>
      <c r="T345">
        <f>MID($D345,8,1)</f>
        <v/>
      </c>
      <c r="U345">
        <f>MID($D345,9,1)</f>
        <v/>
      </c>
      <c r="V345">
        <f>MID($D345,10,1)</f>
        <v/>
      </c>
      <c r="W345">
        <f>MID($E345,1,1)</f>
        <v/>
      </c>
      <c r="X345">
        <f>MID($E345,2,1)</f>
        <v/>
      </c>
      <c r="Y345">
        <f>MID($E345,3,1)</f>
        <v/>
      </c>
      <c r="Z345">
        <f>MID($E345,4,1)</f>
        <v/>
      </c>
      <c r="AA345">
        <f>MID($E345,5,1)</f>
        <v/>
      </c>
      <c r="AB345">
        <f>MID($E345,6,1)</f>
        <v/>
      </c>
      <c r="AC345">
        <f>MID($E345,7,1)</f>
        <v/>
      </c>
      <c r="AD345">
        <f>MID($E345,8,1)</f>
        <v/>
      </c>
      <c r="AE345">
        <f>MID($E345,9,1)</f>
        <v/>
      </c>
      <c r="AF345">
        <f>MID($E345,10,1)</f>
        <v/>
      </c>
    </row>
    <row r="346">
      <c r="A346" s="4" t="inlineStr">
        <is>
          <t>DN345</t>
        </is>
      </c>
      <c r="B346" s="4" t="n">
        <v>4</v>
      </c>
      <c r="C346" s="4" t="n">
        <v>8</v>
      </c>
      <c r="D346" s="5" t="inlineStr">
        <is>
          <t>GCGGAGGATA</t>
        </is>
      </c>
      <c r="E346" s="5" t="inlineStr">
        <is>
          <t>CAGCCGTTCT</t>
        </is>
      </c>
      <c r="F346" s="4">
        <f>LEN(SUBSTITUTE(SUBSTITUTE(D346,"A",""),"T",""))</f>
        <v/>
      </c>
      <c r="G346" s="4">
        <f>LEN(SUBSTITUTE(SUBSTITUTE(E346,"A",""),"T",""))</f>
        <v/>
      </c>
      <c r="H346" s="4" t="n">
        <v>-3.77</v>
      </c>
      <c r="I346" s="4" t="n">
        <v>-2.27</v>
      </c>
      <c r="J346" s="4" t="n">
        <v>-2.99</v>
      </c>
      <c r="K346" s="4" t="n">
        <v>-1.2</v>
      </c>
      <c r="M346">
        <f>MID($D346,1,1)</f>
        <v/>
      </c>
      <c r="N346">
        <f>MID($D346,2,1)</f>
        <v/>
      </c>
      <c r="O346">
        <f>MID($D346,3,1)</f>
        <v/>
      </c>
      <c r="P346">
        <f>MID($D346,4,1)</f>
        <v/>
      </c>
      <c r="Q346">
        <f>MID($D346,5,1)</f>
        <v/>
      </c>
      <c r="R346">
        <f>MID($D346,6,1)</f>
        <v/>
      </c>
      <c r="S346">
        <f>MID($D346,7,1)</f>
        <v/>
      </c>
      <c r="T346">
        <f>MID($D346,8,1)</f>
        <v/>
      </c>
      <c r="U346">
        <f>MID($D346,9,1)</f>
        <v/>
      </c>
      <c r="V346">
        <f>MID($D346,10,1)</f>
        <v/>
      </c>
      <c r="W346">
        <f>MID($E346,1,1)</f>
        <v/>
      </c>
      <c r="X346">
        <f>MID($E346,2,1)</f>
        <v/>
      </c>
      <c r="Y346">
        <f>MID($E346,3,1)</f>
        <v/>
      </c>
      <c r="Z346">
        <f>MID($E346,4,1)</f>
        <v/>
      </c>
      <c r="AA346">
        <f>MID($E346,5,1)</f>
        <v/>
      </c>
      <c r="AB346">
        <f>MID($E346,6,1)</f>
        <v/>
      </c>
      <c r="AC346">
        <f>MID($E346,7,1)</f>
        <v/>
      </c>
      <c r="AD346">
        <f>MID($E346,8,1)</f>
        <v/>
      </c>
      <c r="AE346">
        <f>MID($E346,9,1)</f>
        <v/>
      </c>
      <c r="AF346">
        <f>MID($E346,10,1)</f>
        <v/>
      </c>
    </row>
    <row r="347">
      <c r="A347" s="4" t="inlineStr">
        <is>
          <t>DN346</t>
        </is>
      </c>
      <c r="B347" s="4" t="n">
        <v>4</v>
      </c>
      <c r="C347" s="4" t="n">
        <v>8</v>
      </c>
      <c r="D347" s="5" t="inlineStr">
        <is>
          <t>AAGGCGCGAA</t>
        </is>
      </c>
      <c r="E347" s="5" t="inlineStr">
        <is>
          <t>CTCTTGTAAG</t>
        </is>
      </c>
      <c r="F347" s="4">
        <f>LEN(SUBSTITUTE(SUBSTITUTE(D347,"A",""),"T",""))</f>
        <v/>
      </c>
      <c r="G347" s="4">
        <f>LEN(SUBSTITUTE(SUBSTITUTE(E347,"A",""),"T",""))</f>
        <v/>
      </c>
      <c r="H347" s="4" t="n">
        <v>-4.97</v>
      </c>
      <c r="I347" s="4" t="n">
        <v>-1.66</v>
      </c>
      <c r="J347" s="4" t="n">
        <v>-1.6</v>
      </c>
      <c r="K347" s="4" t="n">
        <v>-0.3</v>
      </c>
      <c r="M347">
        <f>MID($D347,1,1)</f>
        <v/>
      </c>
      <c r="N347">
        <f>MID($D347,2,1)</f>
        <v/>
      </c>
      <c r="O347">
        <f>MID($D347,3,1)</f>
        <v/>
      </c>
      <c r="P347">
        <f>MID($D347,4,1)</f>
        <v/>
      </c>
      <c r="Q347">
        <f>MID($D347,5,1)</f>
        <v/>
      </c>
      <c r="R347">
        <f>MID($D347,6,1)</f>
        <v/>
      </c>
      <c r="S347">
        <f>MID($D347,7,1)</f>
        <v/>
      </c>
      <c r="T347">
        <f>MID($D347,8,1)</f>
        <v/>
      </c>
      <c r="U347">
        <f>MID($D347,9,1)</f>
        <v/>
      </c>
      <c r="V347">
        <f>MID($D347,10,1)</f>
        <v/>
      </c>
      <c r="W347">
        <f>MID($E347,1,1)</f>
        <v/>
      </c>
      <c r="X347">
        <f>MID($E347,2,1)</f>
        <v/>
      </c>
      <c r="Y347">
        <f>MID($E347,3,1)</f>
        <v/>
      </c>
      <c r="Z347">
        <f>MID($E347,4,1)</f>
        <v/>
      </c>
      <c r="AA347">
        <f>MID($E347,5,1)</f>
        <v/>
      </c>
      <c r="AB347">
        <f>MID($E347,6,1)</f>
        <v/>
      </c>
      <c r="AC347">
        <f>MID($E347,7,1)</f>
        <v/>
      </c>
      <c r="AD347">
        <f>MID($E347,8,1)</f>
        <v/>
      </c>
      <c r="AE347">
        <f>MID($E347,9,1)</f>
        <v/>
      </c>
      <c r="AF347">
        <f>MID($E347,10,1)</f>
        <v/>
      </c>
    </row>
    <row r="348">
      <c r="A348" s="4" t="inlineStr">
        <is>
          <t>DN347</t>
        </is>
      </c>
      <c r="B348" s="4" t="n">
        <v>4</v>
      </c>
      <c r="C348" s="4" t="n">
        <v>8</v>
      </c>
      <c r="D348" s="5" t="inlineStr">
        <is>
          <t>TAGCGCTCGA</t>
        </is>
      </c>
      <c r="E348" s="5" t="inlineStr">
        <is>
          <t>TGTAACAGTG</t>
        </is>
      </c>
      <c r="F348" s="4">
        <f>LEN(SUBSTITUTE(SUBSTITUTE(D348,"A",""),"T",""))</f>
        <v/>
      </c>
      <c r="G348" s="4">
        <f>LEN(SUBSTITUTE(SUBSTITUTE(E348,"A",""),"T",""))</f>
        <v/>
      </c>
      <c r="H348" s="4" t="n">
        <v>-2.83</v>
      </c>
      <c r="I348" s="4" t="n">
        <v>-0.74</v>
      </c>
      <c r="J348" s="4" t="n">
        <v>-2.37</v>
      </c>
      <c r="K348" s="4" t="n">
        <v>-0.75</v>
      </c>
      <c r="M348">
        <f>MID($D348,1,1)</f>
        <v/>
      </c>
      <c r="N348">
        <f>MID($D348,2,1)</f>
        <v/>
      </c>
      <c r="O348">
        <f>MID($D348,3,1)</f>
        <v/>
      </c>
      <c r="P348">
        <f>MID($D348,4,1)</f>
        <v/>
      </c>
      <c r="Q348">
        <f>MID($D348,5,1)</f>
        <v/>
      </c>
      <c r="R348">
        <f>MID($D348,6,1)</f>
        <v/>
      </c>
      <c r="S348">
        <f>MID($D348,7,1)</f>
        <v/>
      </c>
      <c r="T348">
        <f>MID($D348,8,1)</f>
        <v/>
      </c>
      <c r="U348">
        <f>MID($D348,9,1)</f>
        <v/>
      </c>
      <c r="V348">
        <f>MID($D348,10,1)</f>
        <v/>
      </c>
      <c r="W348">
        <f>MID($E348,1,1)</f>
        <v/>
      </c>
      <c r="X348">
        <f>MID($E348,2,1)</f>
        <v/>
      </c>
      <c r="Y348">
        <f>MID($E348,3,1)</f>
        <v/>
      </c>
      <c r="Z348">
        <f>MID($E348,4,1)</f>
        <v/>
      </c>
      <c r="AA348">
        <f>MID($E348,5,1)</f>
        <v/>
      </c>
      <c r="AB348">
        <f>MID($E348,6,1)</f>
        <v/>
      </c>
      <c r="AC348">
        <f>MID($E348,7,1)</f>
        <v/>
      </c>
      <c r="AD348">
        <f>MID($E348,8,1)</f>
        <v/>
      </c>
      <c r="AE348">
        <f>MID($E348,9,1)</f>
        <v/>
      </c>
      <c r="AF348">
        <f>MID($E348,10,1)</f>
        <v/>
      </c>
    </row>
    <row r="349">
      <c r="A349" s="4" t="inlineStr">
        <is>
          <t>DN348</t>
        </is>
      </c>
      <c r="B349" s="4" t="n">
        <v>4</v>
      </c>
      <c r="C349" s="4" t="n">
        <v>8</v>
      </c>
      <c r="D349" s="5" t="inlineStr">
        <is>
          <t>GCAGTGACCA</t>
        </is>
      </c>
      <c r="E349" s="5" t="inlineStr">
        <is>
          <t>TCCACCTACA</t>
        </is>
      </c>
      <c r="F349" s="4">
        <f>LEN(SUBSTITUTE(SUBSTITUTE(D349,"A",""),"T",""))</f>
        <v/>
      </c>
      <c r="G349" s="4">
        <f>LEN(SUBSTITUTE(SUBSTITUTE(E349,"A",""),"T",""))</f>
        <v/>
      </c>
      <c r="H349" s="4" t="n">
        <v>-2.6</v>
      </c>
      <c r="I349" s="4" t="n">
        <v>-1.33</v>
      </c>
      <c r="J349" s="4" t="n">
        <v>-1.76</v>
      </c>
      <c r="K349" s="4" t="n">
        <v>0</v>
      </c>
      <c r="M349">
        <f>MID($D349,1,1)</f>
        <v/>
      </c>
      <c r="N349">
        <f>MID($D349,2,1)</f>
        <v/>
      </c>
      <c r="O349">
        <f>MID($D349,3,1)</f>
        <v/>
      </c>
      <c r="P349">
        <f>MID($D349,4,1)</f>
        <v/>
      </c>
      <c r="Q349">
        <f>MID($D349,5,1)</f>
        <v/>
      </c>
      <c r="R349">
        <f>MID($D349,6,1)</f>
        <v/>
      </c>
      <c r="S349">
        <f>MID($D349,7,1)</f>
        <v/>
      </c>
      <c r="T349">
        <f>MID($D349,8,1)</f>
        <v/>
      </c>
      <c r="U349">
        <f>MID($D349,9,1)</f>
        <v/>
      </c>
      <c r="V349">
        <f>MID($D349,10,1)</f>
        <v/>
      </c>
      <c r="W349">
        <f>MID($E349,1,1)</f>
        <v/>
      </c>
      <c r="X349">
        <f>MID($E349,2,1)</f>
        <v/>
      </c>
      <c r="Y349">
        <f>MID($E349,3,1)</f>
        <v/>
      </c>
      <c r="Z349">
        <f>MID($E349,4,1)</f>
        <v/>
      </c>
      <c r="AA349">
        <f>MID($E349,5,1)</f>
        <v/>
      </c>
      <c r="AB349">
        <f>MID($E349,6,1)</f>
        <v/>
      </c>
      <c r="AC349">
        <f>MID($E349,7,1)</f>
        <v/>
      </c>
      <c r="AD349">
        <f>MID($E349,8,1)</f>
        <v/>
      </c>
      <c r="AE349">
        <f>MID($E349,9,1)</f>
        <v/>
      </c>
      <c r="AF349">
        <f>MID($E349,10,1)</f>
        <v/>
      </c>
    </row>
    <row r="350">
      <c r="A350" s="4" t="inlineStr">
        <is>
          <t>DN349</t>
        </is>
      </c>
      <c r="B350" s="4" t="n">
        <v>4</v>
      </c>
      <c r="C350" s="4" t="n">
        <v>8</v>
      </c>
      <c r="D350" s="5" t="inlineStr">
        <is>
          <t>TGAAGCCTAA</t>
        </is>
      </c>
      <c r="E350" s="5" t="inlineStr">
        <is>
          <t>TGAGCGATTC</t>
        </is>
      </c>
      <c r="F350" s="4">
        <f>LEN(SUBSTITUTE(SUBSTITUTE(D350,"A",""),"T",""))</f>
        <v/>
      </c>
      <c r="G350" s="4">
        <f>LEN(SUBSTITUTE(SUBSTITUTE(E350,"A",""),"T",""))</f>
        <v/>
      </c>
      <c r="H350" s="4" t="n">
        <v>-3.74</v>
      </c>
      <c r="I350" s="4" t="n">
        <v>-2.24</v>
      </c>
      <c r="J350" s="4" t="n">
        <v>-3.63</v>
      </c>
      <c r="K350" s="4" t="n">
        <v>-0.91</v>
      </c>
      <c r="M350">
        <f>MID($D350,1,1)</f>
        <v/>
      </c>
      <c r="N350">
        <f>MID($D350,2,1)</f>
        <v/>
      </c>
      <c r="O350">
        <f>MID($D350,3,1)</f>
        <v/>
      </c>
      <c r="P350">
        <f>MID($D350,4,1)</f>
        <v/>
      </c>
      <c r="Q350">
        <f>MID($D350,5,1)</f>
        <v/>
      </c>
      <c r="R350">
        <f>MID($D350,6,1)</f>
        <v/>
      </c>
      <c r="S350">
        <f>MID($D350,7,1)</f>
        <v/>
      </c>
      <c r="T350">
        <f>MID($D350,8,1)</f>
        <v/>
      </c>
      <c r="U350">
        <f>MID($D350,9,1)</f>
        <v/>
      </c>
      <c r="V350">
        <f>MID($D350,10,1)</f>
        <v/>
      </c>
      <c r="W350">
        <f>MID($E350,1,1)</f>
        <v/>
      </c>
      <c r="X350">
        <f>MID($E350,2,1)</f>
        <v/>
      </c>
      <c r="Y350">
        <f>MID($E350,3,1)</f>
        <v/>
      </c>
      <c r="Z350">
        <f>MID($E350,4,1)</f>
        <v/>
      </c>
      <c r="AA350">
        <f>MID($E350,5,1)</f>
        <v/>
      </c>
      <c r="AB350">
        <f>MID($E350,6,1)</f>
        <v/>
      </c>
      <c r="AC350">
        <f>MID($E350,7,1)</f>
        <v/>
      </c>
      <c r="AD350">
        <f>MID($E350,8,1)</f>
        <v/>
      </c>
      <c r="AE350">
        <f>MID($E350,9,1)</f>
        <v/>
      </c>
      <c r="AF350">
        <f>MID($E350,10,1)</f>
        <v/>
      </c>
    </row>
    <row r="351">
      <c r="A351" s="4" t="inlineStr">
        <is>
          <t>DN350</t>
        </is>
      </c>
      <c r="B351" s="4" t="n">
        <v>4</v>
      </c>
      <c r="C351" s="4" t="n">
        <v>8</v>
      </c>
      <c r="D351" s="5" t="inlineStr">
        <is>
          <t>CCTGCATATT</t>
        </is>
      </c>
      <c r="E351" s="5" t="inlineStr">
        <is>
          <t>CGGTGCAAGA</t>
        </is>
      </c>
      <c r="F351" s="4">
        <f>LEN(SUBSTITUTE(SUBSTITUTE(D351,"A",""),"T",""))</f>
        <v/>
      </c>
      <c r="G351" s="4">
        <f>LEN(SUBSTITUTE(SUBSTITUTE(E351,"A",""),"T",""))</f>
        <v/>
      </c>
      <c r="H351" s="4" t="n">
        <v>-2.11</v>
      </c>
      <c r="I351" s="4" t="n">
        <v>-0.6</v>
      </c>
      <c r="J351" s="4" t="n">
        <v>-3.8</v>
      </c>
      <c r="K351" s="4" t="n">
        <v>-1.33</v>
      </c>
      <c r="M351">
        <f>MID($D351,1,1)</f>
        <v/>
      </c>
      <c r="N351">
        <f>MID($D351,2,1)</f>
        <v/>
      </c>
      <c r="O351">
        <f>MID($D351,3,1)</f>
        <v/>
      </c>
      <c r="P351">
        <f>MID($D351,4,1)</f>
        <v/>
      </c>
      <c r="Q351">
        <f>MID($D351,5,1)</f>
        <v/>
      </c>
      <c r="R351">
        <f>MID($D351,6,1)</f>
        <v/>
      </c>
      <c r="S351">
        <f>MID($D351,7,1)</f>
        <v/>
      </c>
      <c r="T351">
        <f>MID($D351,8,1)</f>
        <v/>
      </c>
      <c r="U351">
        <f>MID($D351,9,1)</f>
        <v/>
      </c>
      <c r="V351">
        <f>MID($D351,10,1)</f>
        <v/>
      </c>
      <c r="W351">
        <f>MID($E351,1,1)</f>
        <v/>
      </c>
      <c r="X351">
        <f>MID($E351,2,1)</f>
        <v/>
      </c>
      <c r="Y351">
        <f>MID($E351,3,1)</f>
        <v/>
      </c>
      <c r="Z351">
        <f>MID($E351,4,1)</f>
        <v/>
      </c>
      <c r="AA351">
        <f>MID($E351,5,1)</f>
        <v/>
      </c>
      <c r="AB351">
        <f>MID($E351,6,1)</f>
        <v/>
      </c>
      <c r="AC351">
        <f>MID($E351,7,1)</f>
        <v/>
      </c>
      <c r="AD351">
        <f>MID($E351,8,1)</f>
        <v/>
      </c>
      <c r="AE351">
        <f>MID($E351,9,1)</f>
        <v/>
      </c>
      <c r="AF351">
        <f>MID($E351,10,1)</f>
        <v/>
      </c>
    </row>
    <row r="352">
      <c r="A352" s="4" t="inlineStr">
        <is>
          <t>DN351</t>
        </is>
      </c>
      <c r="B352" s="4" t="n">
        <v>4</v>
      </c>
      <c r="C352" s="4" t="n">
        <v>8</v>
      </c>
      <c r="D352" s="5" t="inlineStr">
        <is>
          <t>ATTCTGTCGT</t>
        </is>
      </c>
      <c r="E352" s="5" t="inlineStr">
        <is>
          <t>CAGTCTGTGG</t>
        </is>
      </c>
      <c r="F352" s="4">
        <f>LEN(SUBSTITUTE(SUBSTITUTE(D352,"A",""),"T",""))</f>
        <v/>
      </c>
      <c r="G352" s="4">
        <f>LEN(SUBSTITUTE(SUBSTITUTE(E352,"A",""),"T",""))</f>
        <v/>
      </c>
      <c r="H352" s="4" t="n">
        <v>-2.48</v>
      </c>
      <c r="I352" s="4" t="n">
        <v>-0.2</v>
      </c>
      <c r="J352" s="4" t="n">
        <v>-2.37</v>
      </c>
      <c r="K352" s="4" t="n">
        <v>-1.47</v>
      </c>
      <c r="M352">
        <f>MID($D352,1,1)</f>
        <v/>
      </c>
      <c r="N352">
        <f>MID($D352,2,1)</f>
        <v/>
      </c>
      <c r="O352">
        <f>MID($D352,3,1)</f>
        <v/>
      </c>
      <c r="P352">
        <f>MID($D352,4,1)</f>
        <v/>
      </c>
      <c r="Q352">
        <f>MID($D352,5,1)</f>
        <v/>
      </c>
      <c r="R352">
        <f>MID($D352,6,1)</f>
        <v/>
      </c>
      <c r="S352">
        <f>MID($D352,7,1)</f>
        <v/>
      </c>
      <c r="T352">
        <f>MID($D352,8,1)</f>
        <v/>
      </c>
      <c r="U352">
        <f>MID($D352,9,1)</f>
        <v/>
      </c>
      <c r="V352">
        <f>MID($D352,10,1)</f>
        <v/>
      </c>
      <c r="W352">
        <f>MID($E352,1,1)</f>
        <v/>
      </c>
      <c r="X352">
        <f>MID($E352,2,1)</f>
        <v/>
      </c>
      <c r="Y352">
        <f>MID($E352,3,1)</f>
        <v/>
      </c>
      <c r="Z352">
        <f>MID($E352,4,1)</f>
        <v/>
      </c>
      <c r="AA352">
        <f>MID($E352,5,1)</f>
        <v/>
      </c>
      <c r="AB352">
        <f>MID($E352,6,1)</f>
        <v/>
      </c>
      <c r="AC352">
        <f>MID($E352,7,1)</f>
        <v/>
      </c>
      <c r="AD352">
        <f>MID($E352,8,1)</f>
        <v/>
      </c>
      <c r="AE352">
        <f>MID($E352,9,1)</f>
        <v/>
      </c>
      <c r="AF352">
        <f>MID($E352,10,1)</f>
        <v/>
      </c>
    </row>
    <row r="353">
      <c r="A353" s="4" t="inlineStr">
        <is>
          <t>DN352</t>
        </is>
      </c>
      <c r="B353" s="4" t="n">
        <v>4</v>
      </c>
      <c r="C353" s="4" t="n">
        <v>8</v>
      </c>
      <c r="D353" s="5" t="inlineStr">
        <is>
          <t>ACTATCGCCA</t>
        </is>
      </c>
      <c r="E353" s="5" t="inlineStr">
        <is>
          <t>TATGTACGCG</t>
        </is>
      </c>
      <c r="F353" s="4">
        <f>LEN(SUBSTITUTE(SUBSTITUTE(D353,"A",""),"T",""))</f>
        <v/>
      </c>
      <c r="G353" s="4">
        <f>LEN(SUBSTITUTE(SUBSTITUTE(E353,"A",""),"T",""))</f>
        <v/>
      </c>
      <c r="H353" s="4" t="n">
        <v>-3.79</v>
      </c>
      <c r="I353" s="4" t="n">
        <v>-1.55</v>
      </c>
      <c r="J353" s="4" t="n">
        <v>-4.33</v>
      </c>
      <c r="K353" s="4" t="n">
        <v>-1.27</v>
      </c>
      <c r="M353">
        <f>MID($D353,1,1)</f>
        <v/>
      </c>
      <c r="N353">
        <f>MID($D353,2,1)</f>
        <v/>
      </c>
      <c r="O353">
        <f>MID($D353,3,1)</f>
        <v/>
      </c>
      <c r="P353">
        <f>MID($D353,4,1)</f>
        <v/>
      </c>
      <c r="Q353">
        <f>MID($D353,5,1)</f>
        <v/>
      </c>
      <c r="R353">
        <f>MID($D353,6,1)</f>
        <v/>
      </c>
      <c r="S353">
        <f>MID($D353,7,1)</f>
        <v/>
      </c>
      <c r="T353">
        <f>MID($D353,8,1)</f>
        <v/>
      </c>
      <c r="U353">
        <f>MID($D353,9,1)</f>
        <v/>
      </c>
      <c r="V353">
        <f>MID($D353,10,1)</f>
        <v/>
      </c>
      <c r="W353">
        <f>MID($E353,1,1)</f>
        <v/>
      </c>
      <c r="X353">
        <f>MID($E353,2,1)</f>
        <v/>
      </c>
      <c r="Y353">
        <f>MID($E353,3,1)</f>
        <v/>
      </c>
      <c r="Z353">
        <f>MID($E353,4,1)</f>
        <v/>
      </c>
      <c r="AA353">
        <f>MID($E353,5,1)</f>
        <v/>
      </c>
      <c r="AB353">
        <f>MID($E353,6,1)</f>
        <v/>
      </c>
      <c r="AC353">
        <f>MID($E353,7,1)</f>
        <v/>
      </c>
      <c r="AD353">
        <f>MID($E353,8,1)</f>
        <v/>
      </c>
      <c r="AE353">
        <f>MID($E353,9,1)</f>
        <v/>
      </c>
      <c r="AF353">
        <f>MID($E353,10,1)</f>
        <v/>
      </c>
    </row>
    <row r="354">
      <c r="A354" s="4" t="inlineStr">
        <is>
          <t>DN353</t>
        </is>
      </c>
      <c r="B354" s="4" t="n">
        <v>4</v>
      </c>
      <c r="C354" s="4" t="n">
        <v>8</v>
      </c>
      <c r="D354" s="5" t="inlineStr">
        <is>
          <t>GCCTGAACTC</t>
        </is>
      </c>
      <c r="E354" s="5" t="inlineStr">
        <is>
          <t>ATAGCCGAAG</t>
        </is>
      </c>
      <c r="F354" s="4">
        <f>LEN(SUBSTITUTE(SUBSTITUTE(D354,"A",""),"T",""))</f>
        <v/>
      </c>
      <c r="G354" s="4">
        <f>LEN(SUBSTITUTE(SUBSTITUTE(E354,"A",""),"T",""))</f>
        <v/>
      </c>
      <c r="H354" s="4" t="n">
        <v>-2.38</v>
      </c>
      <c r="I354" s="4" t="n">
        <v>-2.38</v>
      </c>
      <c r="J354" s="4" t="n">
        <v>-3.25</v>
      </c>
      <c r="K354" s="4" t="n">
        <v>-1.2</v>
      </c>
      <c r="M354">
        <f>MID($D354,1,1)</f>
        <v/>
      </c>
      <c r="N354">
        <f>MID($D354,2,1)</f>
        <v/>
      </c>
      <c r="O354">
        <f>MID($D354,3,1)</f>
        <v/>
      </c>
      <c r="P354">
        <f>MID($D354,4,1)</f>
        <v/>
      </c>
      <c r="Q354">
        <f>MID($D354,5,1)</f>
        <v/>
      </c>
      <c r="R354">
        <f>MID($D354,6,1)</f>
        <v/>
      </c>
      <c r="S354">
        <f>MID($D354,7,1)</f>
        <v/>
      </c>
      <c r="T354">
        <f>MID($D354,8,1)</f>
        <v/>
      </c>
      <c r="U354">
        <f>MID($D354,9,1)</f>
        <v/>
      </c>
      <c r="V354">
        <f>MID($D354,10,1)</f>
        <v/>
      </c>
      <c r="W354">
        <f>MID($E354,1,1)</f>
        <v/>
      </c>
      <c r="X354">
        <f>MID($E354,2,1)</f>
        <v/>
      </c>
      <c r="Y354">
        <f>MID($E354,3,1)</f>
        <v/>
      </c>
      <c r="Z354">
        <f>MID($E354,4,1)</f>
        <v/>
      </c>
      <c r="AA354">
        <f>MID($E354,5,1)</f>
        <v/>
      </c>
      <c r="AB354">
        <f>MID($E354,6,1)</f>
        <v/>
      </c>
      <c r="AC354">
        <f>MID($E354,7,1)</f>
        <v/>
      </c>
      <c r="AD354">
        <f>MID($E354,8,1)</f>
        <v/>
      </c>
      <c r="AE354">
        <f>MID($E354,9,1)</f>
        <v/>
      </c>
      <c r="AF354">
        <f>MID($E354,10,1)</f>
        <v/>
      </c>
    </row>
    <row r="355">
      <c r="A355" s="4" t="inlineStr">
        <is>
          <t>DN354</t>
        </is>
      </c>
      <c r="B355" s="4" t="n">
        <v>4</v>
      </c>
      <c r="C355" s="4" t="n">
        <v>8</v>
      </c>
      <c r="D355" s="5" t="inlineStr">
        <is>
          <t>CCTAGAGCTT</t>
        </is>
      </c>
      <c r="E355" s="5" t="inlineStr">
        <is>
          <t>GAACCTCTCC</t>
        </is>
      </c>
      <c r="F355" s="4">
        <f>LEN(SUBSTITUTE(SUBSTITUTE(D355,"A",""),"T",""))</f>
        <v/>
      </c>
      <c r="G355" s="4">
        <f>LEN(SUBSTITUTE(SUBSTITUTE(E355,"A",""),"T",""))</f>
        <v/>
      </c>
      <c r="H355" s="4" t="n">
        <v>-2.32</v>
      </c>
      <c r="I355" s="4" t="n">
        <v>-2.32</v>
      </c>
      <c r="J355" s="4" t="n">
        <v>-2.19</v>
      </c>
      <c r="K355" s="4" t="n">
        <v>-0.26</v>
      </c>
      <c r="M355">
        <f>MID($D355,1,1)</f>
        <v/>
      </c>
      <c r="N355">
        <f>MID($D355,2,1)</f>
        <v/>
      </c>
      <c r="O355">
        <f>MID($D355,3,1)</f>
        <v/>
      </c>
      <c r="P355">
        <f>MID($D355,4,1)</f>
        <v/>
      </c>
      <c r="Q355">
        <f>MID($D355,5,1)</f>
        <v/>
      </c>
      <c r="R355">
        <f>MID($D355,6,1)</f>
        <v/>
      </c>
      <c r="S355">
        <f>MID($D355,7,1)</f>
        <v/>
      </c>
      <c r="T355">
        <f>MID($D355,8,1)</f>
        <v/>
      </c>
      <c r="U355">
        <f>MID($D355,9,1)</f>
        <v/>
      </c>
      <c r="V355">
        <f>MID($D355,10,1)</f>
        <v/>
      </c>
      <c r="W355">
        <f>MID($E355,1,1)</f>
        <v/>
      </c>
      <c r="X355">
        <f>MID($E355,2,1)</f>
        <v/>
      </c>
      <c r="Y355">
        <f>MID($E355,3,1)</f>
        <v/>
      </c>
      <c r="Z355">
        <f>MID($E355,4,1)</f>
        <v/>
      </c>
      <c r="AA355">
        <f>MID($E355,5,1)</f>
        <v/>
      </c>
      <c r="AB355">
        <f>MID($E355,6,1)</f>
        <v/>
      </c>
      <c r="AC355">
        <f>MID($E355,7,1)</f>
        <v/>
      </c>
      <c r="AD355">
        <f>MID($E355,8,1)</f>
        <v/>
      </c>
      <c r="AE355">
        <f>MID($E355,9,1)</f>
        <v/>
      </c>
      <c r="AF355">
        <f>MID($E355,10,1)</f>
        <v/>
      </c>
    </row>
    <row r="356">
      <c r="A356" s="4" t="inlineStr">
        <is>
          <t>DN355</t>
        </is>
      </c>
      <c r="B356" s="4" t="n">
        <v>4</v>
      </c>
      <c r="C356" s="4" t="n">
        <v>8</v>
      </c>
      <c r="D356" s="5" t="inlineStr">
        <is>
          <t>ATCCGTTGCA</t>
        </is>
      </c>
      <c r="E356" s="5" t="inlineStr">
        <is>
          <t>CTAGTGTACC</t>
        </is>
      </c>
      <c r="F356" s="4">
        <f>LEN(SUBSTITUTE(SUBSTITUTE(D356,"A",""),"T",""))</f>
        <v/>
      </c>
      <c r="G356" s="4">
        <f>LEN(SUBSTITUTE(SUBSTITUTE(E356,"A",""),"T",""))</f>
        <v/>
      </c>
      <c r="H356" s="4" t="n">
        <v>-2.82</v>
      </c>
      <c r="I356" s="4" t="n">
        <v>-0.6</v>
      </c>
      <c r="J356" s="4" t="n">
        <v>-1.85</v>
      </c>
      <c r="K356" s="4" t="n">
        <v>-1.18</v>
      </c>
      <c r="M356">
        <f>MID($D356,1,1)</f>
        <v/>
      </c>
      <c r="N356">
        <f>MID($D356,2,1)</f>
        <v/>
      </c>
      <c r="O356">
        <f>MID($D356,3,1)</f>
        <v/>
      </c>
      <c r="P356">
        <f>MID($D356,4,1)</f>
        <v/>
      </c>
      <c r="Q356">
        <f>MID($D356,5,1)</f>
        <v/>
      </c>
      <c r="R356">
        <f>MID($D356,6,1)</f>
        <v/>
      </c>
      <c r="S356">
        <f>MID($D356,7,1)</f>
        <v/>
      </c>
      <c r="T356">
        <f>MID($D356,8,1)</f>
        <v/>
      </c>
      <c r="U356">
        <f>MID($D356,9,1)</f>
        <v/>
      </c>
      <c r="V356">
        <f>MID($D356,10,1)</f>
        <v/>
      </c>
      <c r="W356">
        <f>MID($E356,1,1)</f>
        <v/>
      </c>
      <c r="X356">
        <f>MID($E356,2,1)</f>
        <v/>
      </c>
      <c r="Y356">
        <f>MID($E356,3,1)</f>
        <v/>
      </c>
      <c r="Z356">
        <f>MID($E356,4,1)</f>
        <v/>
      </c>
      <c r="AA356">
        <f>MID($E356,5,1)</f>
        <v/>
      </c>
      <c r="AB356">
        <f>MID($E356,6,1)</f>
        <v/>
      </c>
      <c r="AC356">
        <f>MID($E356,7,1)</f>
        <v/>
      </c>
      <c r="AD356">
        <f>MID($E356,8,1)</f>
        <v/>
      </c>
      <c r="AE356">
        <f>MID($E356,9,1)</f>
        <v/>
      </c>
      <c r="AF356">
        <f>MID($E356,10,1)</f>
        <v/>
      </c>
    </row>
    <row r="357">
      <c r="A357" s="4" t="inlineStr">
        <is>
          <t>DN356</t>
        </is>
      </c>
      <c r="B357" s="4" t="n">
        <v>4</v>
      </c>
      <c r="C357" s="4" t="n">
        <v>8</v>
      </c>
      <c r="D357" s="5" t="inlineStr">
        <is>
          <t>AACAGAACGT</t>
        </is>
      </c>
      <c r="E357" s="5" t="inlineStr">
        <is>
          <t>GCCGCAATAT</t>
        </is>
      </c>
      <c r="F357" s="4">
        <f>LEN(SUBSTITUTE(SUBSTITUTE(D357,"A",""),"T",""))</f>
        <v/>
      </c>
      <c r="G357" s="4">
        <f>LEN(SUBSTITUTE(SUBSTITUTE(E357,"A",""),"T",""))</f>
        <v/>
      </c>
      <c r="H357" s="4" t="n">
        <v>-2.25</v>
      </c>
      <c r="I357" s="4" t="n">
        <v>-1.64</v>
      </c>
      <c r="J357" s="4" t="n">
        <v>-3.09</v>
      </c>
      <c r="K357" s="4" t="n">
        <v>-1.1</v>
      </c>
      <c r="M357">
        <f>MID($D357,1,1)</f>
        <v/>
      </c>
      <c r="N357">
        <f>MID($D357,2,1)</f>
        <v/>
      </c>
      <c r="O357">
        <f>MID($D357,3,1)</f>
        <v/>
      </c>
      <c r="P357">
        <f>MID($D357,4,1)</f>
        <v/>
      </c>
      <c r="Q357">
        <f>MID($D357,5,1)</f>
        <v/>
      </c>
      <c r="R357">
        <f>MID($D357,6,1)</f>
        <v/>
      </c>
      <c r="S357">
        <f>MID($D357,7,1)</f>
        <v/>
      </c>
      <c r="T357">
        <f>MID($D357,8,1)</f>
        <v/>
      </c>
      <c r="U357">
        <f>MID($D357,9,1)</f>
        <v/>
      </c>
      <c r="V357">
        <f>MID($D357,10,1)</f>
        <v/>
      </c>
      <c r="W357">
        <f>MID($E357,1,1)</f>
        <v/>
      </c>
      <c r="X357">
        <f>MID($E357,2,1)</f>
        <v/>
      </c>
      <c r="Y357">
        <f>MID($E357,3,1)</f>
        <v/>
      </c>
      <c r="Z357">
        <f>MID($E357,4,1)</f>
        <v/>
      </c>
      <c r="AA357">
        <f>MID($E357,5,1)</f>
        <v/>
      </c>
      <c r="AB357">
        <f>MID($E357,6,1)</f>
        <v/>
      </c>
      <c r="AC357">
        <f>MID($E357,7,1)</f>
        <v/>
      </c>
      <c r="AD357">
        <f>MID($E357,8,1)</f>
        <v/>
      </c>
      <c r="AE357">
        <f>MID($E357,9,1)</f>
        <v/>
      </c>
      <c r="AF357">
        <f>MID($E357,10,1)</f>
        <v/>
      </c>
    </row>
    <row r="358">
      <c r="A358" s="4" t="inlineStr">
        <is>
          <t>DN357</t>
        </is>
      </c>
      <c r="B358" s="4" t="n">
        <v>4</v>
      </c>
      <c r="C358" s="4" t="n">
        <v>8</v>
      </c>
      <c r="D358" s="5" t="inlineStr">
        <is>
          <t>TAGTCTCATG</t>
        </is>
      </c>
      <c r="E358" s="5" t="inlineStr">
        <is>
          <t>GAGAGGTCTT</t>
        </is>
      </c>
      <c r="F358" s="4">
        <f>LEN(SUBSTITUTE(SUBSTITUTE(D358,"A",""),"T",""))</f>
        <v/>
      </c>
      <c r="G358" s="4">
        <f>LEN(SUBSTITUTE(SUBSTITUTE(E358,"A",""),"T",""))</f>
        <v/>
      </c>
      <c r="H358" s="4" t="n">
        <v>-2.04</v>
      </c>
      <c r="I358" s="4" t="n">
        <v>-1.79</v>
      </c>
      <c r="J358" s="4" t="n">
        <v>-2.96</v>
      </c>
      <c r="K358" s="4" t="n">
        <v>-2.13</v>
      </c>
      <c r="M358">
        <f>MID($D358,1,1)</f>
        <v/>
      </c>
      <c r="N358">
        <f>MID($D358,2,1)</f>
        <v/>
      </c>
      <c r="O358">
        <f>MID($D358,3,1)</f>
        <v/>
      </c>
      <c r="P358">
        <f>MID($D358,4,1)</f>
        <v/>
      </c>
      <c r="Q358">
        <f>MID($D358,5,1)</f>
        <v/>
      </c>
      <c r="R358">
        <f>MID($D358,6,1)</f>
        <v/>
      </c>
      <c r="S358">
        <f>MID($D358,7,1)</f>
        <v/>
      </c>
      <c r="T358">
        <f>MID($D358,8,1)</f>
        <v/>
      </c>
      <c r="U358">
        <f>MID($D358,9,1)</f>
        <v/>
      </c>
      <c r="V358">
        <f>MID($D358,10,1)</f>
        <v/>
      </c>
      <c r="W358">
        <f>MID($E358,1,1)</f>
        <v/>
      </c>
      <c r="X358">
        <f>MID($E358,2,1)</f>
        <v/>
      </c>
      <c r="Y358">
        <f>MID($E358,3,1)</f>
        <v/>
      </c>
      <c r="Z358">
        <f>MID($E358,4,1)</f>
        <v/>
      </c>
      <c r="AA358">
        <f>MID($E358,5,1)</f>
        <v/>
      </c>
      <c r="AB358">
        <f>MID($E358,6,1)</f>
        <v/>
      </c>
      <c r="AC358">
        <f>MID($E358,7,1)</f>
        <v/>
      </c>
      <c r="AD358">
        <f>MID($E358,8,1)</f>
        <v/>
      </c>
      <c r="AE358">
        <f>MID($E358,9,1)</f>
        <v/>
      </c>
      <c r="AF358">
        <f>MID($E358,10,1)</f>
        <v/>
      </c>
    </row>
    <row r="359">
      <c r="A359" s="4" t="inlineStr">
        <is>
          <t>DN358</t>
        </is>
      </c>
      <c r="B359" s="4" t="n">
        <v>4</v>
      </c>
      <c r="C359" s="4" t="n">
        <v>8</v>
      </c>
      <c r="D359" s="5" t="inlineStr">
        <is>
          <t>AGTCCTCGGA</t>
        </is>
      </c>
      <c r="E359" s="5" t="inlineStr">
        <is>
          <t>CGGAACCAAG</t>
        </is>
      </c>
      <c r="F359" s="4">
        <f>LEN(SUBSTITUTE(SUBSTITUTE(D359,"A",""),"T",""))</f>
        <v/>
      </c>
      <c r="G359" s="4">
        <f>LEN(SUBSTITUTE(SUBSTITUTE(E359,"A",""),"T",""))</f>
        <v/>
      </c>
      <c r="H359" s="4" t="n">
        <v>-3.69</v>
      </c>
      <c r="I359" s="4" t="n">
        <v>-2.2</v>
      </c>
      <c r="J359" s="4" t="n">
        <v>-2.62</v>
      </c>
      <c r="K359" s="4" t="n">
        <v>-1.81</v>
      </c>
      <c r="M359">
        <f>MID($D359,1,1)</f>
        <v/>
      </c>
      <c r="N359">
        <f>MID($D359,2,1)</f>
        <v/>
      </c>
      <c r="O359">
        <f>MID($D359,3,1)</f>
        <v/>
      </c>
      <c r="P359">
        <f>MID($D359,4,1)</f>
        <v/>
      </c>
      <c r="Q359">
        <f>MID($D359,5,1)</f>
        <v/>
      </c>
      <c r="R359">
        <f>MID($D359,6,1)</f>
        <v/>
      </c>
      <c r="S359">
        <f>MID($D359,7,1)</f>
        <v/>
      </c>
      <c r="T359">
        <f>MID($D359,8,1)</f>
        <v/>
      </c>
      <c r="U359">
        <f>MID($D359,9,1)</f>
        <v/>
      </c>
      <c r="V359">
        <f>MID($D359,10,1)</f>
        <v/>
      </c>
      <c r="W359">
        <f>MID($E359,1,1)</f>
        <v/>
      </c>
      <c r="X359">
        <f>MID($E359,2,1)</f>
        <v/>
      </c>
      <c r="Y359">
        <f>MID($E359,3,1)</f>
        <v/>
      </c>
      <c r="Z359">
        <f>MID($E359,4,1)</f>
        <v/>
      </c>
      <c r="AA359">
        <f>MID($E359,5,1)</f>
        <v/>
      </c>
      <c r="AB359">
        <f>MID($E359,6,1)</f>
        <v/>
      </c>
      <c r="AC359">
        <f>MID($E359,7,1)</f>
        <v/>
      </c>
      <c r="AD359">
        <f>MID($E359,8,1)</f>
        <v/>
      </c>
      <c r="AE359">
        <f>MID($E359,9,1)</f>
        <v/>
      </c>
      <c r="AF359">
        <f>MID($E359,10,1)</f>
        <v/>
      </c>
    </row>
    <row r="360">
      <c r="A360" s="4" t="inlineStr">
        <is>
          <t>DN359</t>
        </is>
      </c>
      <c r="B360" s="4" t="n">
        <v>4</v>
      </c>
      <c r="C360" s="4" t="n">
        <v>8</v>
      </c>
      <c r="D360" s="5" t="inlineStr">
        <is>
          <t>GCGCTTGTTC</t>
        </is>
      </c>
      <c r="E360" s="5" t="inlineStr">
        <is>
          <t>ACCGGTCGAT</t>
        </is>
      </c>
      <c r="F360" s="4">
        <f>LEN(SUBSTITUTE(SUBSTITUTE(D360,"A",""),"T",""))</f>
        <v/>
      </c>
      <c r="G360" s="4">
        <f>LEN(SUBSTITUTE(SUBSTITUTE(E360,"A",""),"T",""))</f>
        <v/>
      </c>
      <c r="H360" s="4" t="n">
        <v>-3.05</v>
      </c>
      <c r="I360" s="4" t="n">
        <v>-1.29</v>
      </c>
      <c r="J360" s="4" t="n">
        <v>-3.36</v>
      </c>
      <c r="K360" s="4" t="n">
        <v>-1.29</v>
      </c>
      <c r="M360">
        <f>MID($D360,1,1)</f>
        <v/>
      </c>
      <c r="N360">
        <f>MID($D360,2,1)</f>
        <v/>
      </c>
      <c r="O360">
        <f>MID($D360,3,1)</f>
        <v/>
      </c>
      <c r="P360">
        <f>MID($D360,4,1)</f>
        <v/>
      </c>
      <c r="Q360">
        <f>MID($D360,5,1)</f>
        <v/>
      </c>
      <c r="R360">
        <f>MID($D360,6,1)</f>
        <v/>
      </c>
      <c r="S360">
        <f>MID($D360,7,1)</f>
        <v/>
      </c>
      <c r="T360">
        <f>MID($D360,8,1)</f>
        <v/>
      </c>
      <c r="U360">
        <f>MID($D360,9,1)</f>
        <v/>
      </c>
      <c r="V360">
        <f>MID($D360,10,1)</f>
        <v/>
      </c>
      <c r="W360">
        <f>MID($E360,1,1)</f>
        <v/>
      </c>
      <c r="X360">
        <f>MID($E360,2,1)</f>
        <v/>
      </c>
      <c r="Y360">
        <f>MID($E360,3,1)</f>
        <v/>
      </c>
      <c r="Z360">
        <f>MID($E360,4,1)</f>
        <v/>
      </c>
      <c r="AA360">
        <f>MID($E360,5,1)</f>
        <v/>
      </c>
      <c r="AB360">
        <f>MID($E360,6,1)</f>
        <v/>
      </c>
      <c r="AC360">
        <f>MID($E360,7,1)</f>
        <v/>
      </c>
      <c r="AD360">
        <f>MID($E360,8,1)</f>
        <v/>
      </c>
      <c r="AE360">
        <f>MID($E360,9,1)</f>
        <v/>
      </c>
      <c r="AF360">
        <f>MID($E360,10,1)</f>
        <v/>
      </c>
    </row>
    <row r="361">
      <c r="A361" s="4" t="inlineStr">
        <is>
          <t>DN360</t>
        </is>
      </c>
      <c r="B361" s="4" t="n">
        <v>4</v>
      </c>
      <c r="C361" s="4" t="n">
        <v>8</v>
      </c>
      <c r="D361" s="5" t="inlineStr">
        <is>
          <t>GTCACTACGC</t>
        </is>
      </c>
      <c r="E361" s="5" t="inlineStr">
        <is>
          <t>GTGGTAGGTC</t>
        </is>
      </c>
      <c r="F361" s="4">
        <f>LEN(SUBSTITUTE(SUBSTITUTE(D361,"A",""),"T",""))</f>
        <v/>
      </c>
      <c r="G361" s="4">
        <f>LEN(SUBSTITUTE(SUBSTITUTE(E361,"A",""),"T",""))</f>
        <v/>
      </c>
      <c r="H361" s="4" t="n">
        <v>-3.12</v>
      </c>
      <c r="I361" s="4" t="n">
        <v>-1.27</v>
      </c>
      <c r="J361" s="4" t="n">
        <v>-3.37</v>
      </c>
      <c r="K361" s="4" t="n">
        <v>-1.84</v>
      </c>
      <c r="M361">
        <f>MID($D361,1,1)</f>
        <v/>
      </c>
      <c r="N361">
        <f>MID($D361,2,1)</f>
        <v/>
      </c>
      <c r="O361">
        <f>MID($D361,3,1)</f>
        <v/>
      </c>
      <c r="P361">
        <f>MID($D361,4,1)</f>
        <v/>
      </c>
      <c r="Q361">
        <f>MID($D361,5,1)</f>
        <v/>
      </c>
      <c r="R361">
        <f>MID($D361,6,1)</f>
        <v/>
      </c>
      <c r="S361">
        <f>MID($D361,7,1)</f>
        <v/>
      </c>
      <c r="T361">
        <f>MID($D361,8,1)</f>
        <v/>
      </c>
      <c r="U361">
        <f>MID($D361,9,1)</f>
        <v/>
      </c>
      <c r="V361">
        <f>MID($D361,10,1)</f>
        <v/>
      </c>
      <c r="W361">
        <f>MID($E361,1,1)</f>
        <v/>
      </c>
      <c r="X361">
        <f>MID($E361,2,1)</f>
        <v/>
      </c>
      <c r="Y361">
        <f>MID($E361,3,1)</f>
        <v/>
      </c>
      <c r="Z361">
        <f>MID($E361,4,1)</f>
        <v/>
      </c>
      <c r="AA361">
        <f>MID($E361,5,1)</f>
        <v/>
      </c>
      <c r="AB361">
        <f>MID($E361,6,1)</f>
        <v/>
      </c>
      <c r="AC361">
        <f>MID($E361,7,1)</f>
        <v/>
      </c>
      <c r="AD361">
        <f>MID($E361,8,1)</f>
        <v/>
      </c>
      <c r="AE361">
        <f>MID($E361,9,1)</f>
        <v/>
      </c>
      <c r="AF361">
        <f>MID($E361,10,1)</f>
        <v/>
      </c>
    </row>
    <row r="362">
      <c r="A362" s="4" t="inlineStr">
        <is>
          <t>DN361</t>
        </is>
      </c>
      <c r="B362" s="4" t="n">
        <v>4</v>
      </c>
      <c r="C362" s="4" t="n">
        <v>8</v>
      </c>
      <c r="D362" s="5" t="inlineStr">
        <is>
          <t>GAGTCCATCC</t>
        </is>
      </c>
      <c r="E362" s="5" t="inlineStr">
        <is>
          <t>TGGCCGATGA</t>
        </is>
      </c>
      <c r="F362" s="4">
        <f>LEN(SUBSTITUTE(SUBSTITUTE(D362,"A",""),"T",""))</f>
        <v/>
      </c>
      <c r="G362" s="4">
        <f>LEN(SUBSTITUTE(SUBSTITUTE(E362,"A",""),"T",""))</f>
        <v/>
      </c>
      <c r="H362" s="4" t="n">
        <v>-1.57</v>
      </c>
      <c r="I362" s="4" t="n">
        <v>-0.49</v>
      </c>
      <c r="J362" s="4" t="n">
        <v>-3.33</v>
      </c>
      <c r="K362" s="4" t="n">
        <v>-2.08</v>
      </c>
      <c r="M362">
        <f>MID($D362,1,1)</f>
        <v/>
      </c>
      <c r="N362">
        <f>MID($D362,2,1)</f>
        <v/>
      </c>
      <c r="O362">
        <f>MID($D362,3,1)</f>
        <v/>
      </c>
      <c r="P362">
        <f>MID($D362,4,1)</f>
        <v/>
      </c>
      <c r="Q362">
        <f>MID($D362,5,1)</f>
        <v/>
      </c>
      <c r="R362">
        <f>MID($D362,6,1)</f>
        <v/>
      </c>
      <c r="S362">
        <f>MID($D362,7,1)</f>
        <v/>
      </c>
      <c r="T362">
        <f>MID($D362,8,1)</f>
        <v/>
      </c>
      <c r="U362">
        <f>MID($D362,9,1)</f>
        <v/>
      </c>
      <c r="V362">
        <f>MID($D362,10,1)</f>
        <v/>
      </c>
      <c r="W362">
        <f>MID($E362,1,1)</f>
        <v/>
      </c>
      <c r="X362">
        <f>MID($E362,2,1)</f>
        <v/>
      </c>
      <c r="Y362">
        <f>MID($E362,3,1)</f>
        <v/>
      </c>
      <c r="Z362">
        <f>MID($E362,4,1)</f>
        <v/>
      </c>
      <c r="AA362">
        <f>MID($E362,5,1)</f>
        <v/>
      </c>
      <c r="AB362">
        <f>MID($E362,6,1)</f>
        <v/>
      </c>
      <c r="AC362">
        <f>MID($E362,7,1)</f>
        <v/>
      </c>
      <c r="AD362">
        <f>MID($E362,8,1)</f>
        <v/>
      </c>
      <c r="AE362">
        <f>MID($E362,9,1)</f>
        <v/>
      </c>
      <c r="AF362">
        <f>MID($E362,10,1)</f>
        <v/>
      </c>
    </row>
    <row r="363">
      <c r="A363" s="4" t="inlineStr">
        <is>
          <t>DN362</t>
        </is>
      </c>
      <c r="B363" s="4" t="n">
        <v>4</v>
      </c>
      <c r="C363" s="4" t="n">
        <v>8</v>
      </c>
      <c r="D363" s="5" t="inlineStr">
        <is>
          <t>AGCCGTGTAC</t>
        </is>
      </c>
      <c r="E363" s="5" t="inlineStr">
        <is>
          <t>AGCGATTGGT</t>
        </is>
      </c>
      <c r="F363" s="4">
        <f>LEN(SUBSTITUTE(SUBSTITUTE(D363,"A",""),"T",""))</f>
        <v/>
      </c>
      <c r="G363" s="4">
        <f>LEN(SUBSTITUTE(SUBSTITUTE(E363,"A",""),"T",""))</f>
        <v/>
      </c>
      <c r="H363" s="4" t="n">
        <v>-3.92</v>
      </c>
      <c r="I363" s="4" t="n">
        <v>-1.2</v>
      </c>
      <c r="J363" s="4" t="n">
        <v>-3.01</v>
      </c>
      <c r="K363" s="4" t="n">
        <v>-0.91</v>
      </c>
      <c r="M363">
        <f>MID($D363,1,1)</f>
        <v/>
      </c>
      <c r="N363">
        <f>MID($D363,2,1)</f>
        <v/>
      </c>
      <c r="O363">
        <f>MID($D363,3,1)</f>
        <v/>
      </c>
      <c r="P363">
        <f>MID($D363,4,1)</f>
        <v/>
      </c>
      <c r="Q363">
        <f>MID($D363,5,1)</f>
        <v/>
      </c>
      <c r="R363">
        <f>MID($D363,6,1)</f>
        <v/>
      </c>
      <c r="S363">
        <f>MID($D363,7,1)</f>
        <v/>
      </c>
      <c r="T363">
        <f>MID($D363,8,1)</f>
        <v/>
      </c>
      <c r="U363">
        <f>MID($D363,9,1)</f>
        <v/>
      </c>
      <c r="V363">
        <f>MID($D363,10,1)</f>
        <v/>
      </c>
      <c r="W363">
        <f>MID($E363,1,1)</f>
        <v/>
      </c>
      <c r="X363">
        <f>MID($E363,2,1)</f>
        <v/>
      </c>
      <c r="Y363">
        <f>MID($E363,3,1)</f>
        <v/>
      </c>
      <c r="Z363">
        <f>MID($E363,4,1)</f>
        <v/>
      </c>
      <c r="AA363">
        <f>MID($E363,5,1)</f>
        <v/>
      </c>
      <c r="AB363">
        <f>MID($E363,6,1)</f>
        <v/>
      </c>
      <c r="AC363">
        <f>MID($E363,7,1)</f>
        <v/>
      </c>
      <c r="AD363">
        <f>MID($E363,8,1)</f>
        <v/>
      </c>
      <c r="AE363">
        <f>MID($E363,9,1)</f>
        <v/>
      </c>
      <c r="AF363">
        <f>MID($E363,10,1)</f>
        <v/>
      </c>
    </row>
    <row r="364">
      <c r="A364" s="4" t="inlineStr">
        <is>
          <t>DN363</t>
        </is>
      </c>
      <c r="B364" s="4" t="n">
        <v>4</v>
      </c>
      <c r="C364" s="4" t="n">
        <v>8</v>
      </c>
      <c r="D364" s="5" t="inlineStr">
        <is>
          <t>TGGTCTTACT</t>
        </is>
      </c>
      <c r="E364" s="5" t="inlineStr">
        <is>
          <t>ACAACTAGTG</t>
        </is>
      </c>
      <c r="F364" s="4">
        <f>LEN(SUBSTITUTE(SUBSTITUTE(D364,"A",""),"T",""))</f>
        <v/>
      </c>
      <c r="G364" s="4">
        <f>LEN(SUBSTITUTE(SUBSTITUTE(E364,"A",""),"T",""))</f>
        <v/>
      </c>
      <c r="H364" s="4" t="n">
        <v>-2.16</v>
      </c>
      <c r="I364" s="4" t="n">
        <v>-1.94</v>
      </c>
      <c r="J364" s="4" t="n">
        <v>-2.48</v>
      </c>
      <c r="K364" s="4" t="n">
        <v>-1.78</v>
      </c>
      <c r="M364">
        <f>MID($D364,1,1)</f>
        <v/>
      </c>
      <c r="N364">
        <f>MID($D364,2,1)</f>
        <v/>
      </c>
      <c r="O364">
        <f>MID($D364,3,1)</f>
        <v/>
      </c>
      <c r="P364">
        <f>MID($D364,4,1)</f>
        <v/>
      </c>
      <c r="Q364">
        <f>MID($D364,5,1)</f>
        <v/>
      </c>
      <c r="R364">
        <f>MID($D364,6,1)</f>
        <v/>
      </c>
      <c r="S364">
        <f>MID($D364,7,1)</f>
        <v/>
      </c>
      <c r="T364">
        <f>MID($D364,8,1)</f>
        <v/>
      </c>
      <c r="U364">
        <f>MID($D364,9,1)</f>
        <v/>
      </c>
      <c r="V364">
        <f>MID($D364,10,1)</f>
        <v/>
      </c>
      <c r="W364">
        <f>MID($E364,1,1)</f>
        <v/>
      </c>
      <c r="X364">
        <f>MID($E364,2,1)</f>
        <v/>
      </c>
      <c r="Y364">
        <f>MID($E364,3,1)</f>
        <v/>
      </c>
      <c r="Z364">
        <f>MID($E364,4,1)</f>
        <v/>
      </c>
      <c r="AA364">
        <f>MID($E364,5,1)</f>
        <v/>
      </c>
      <c r="AB364">
        <f>MID($E364,6,1)</f>
        <v/>
      </c>
      <c r="AC364">
        <f>MID($E364,7,1)</f>
        <v/>
      </c>
      <c r="AD364">
        <f>MID($E364,8,1)</f>
        <v/>
      </c>
      <c r="AE364">
        <f>MID($E364,9,1)</f>
        <v/>
      </c>
      <c r="AF364">
        <f>MID($E364,10,1)</f>
        <v/>
      </c>
    </row>
    <row r="365">
      <c r="A365" s="4" t="inlineStr">
        <is>
          <t>DN364</t>
        </is>
      </c>
      <c r="B365" s="4" t="n">
        <v>4</v>
      </c>
      <c r="C365" s="4" t="n">
        <v>8</v>
      </c>
      <c r="D365" s="5" t="inlineStr">
        <is>
          <t>AACCTCATTG</t>
        </is>
      </c>
      <c r="E365" s="5" t="inlineStr">
        <is>
          <t>ATGCAGGACG</t>
        </is>
      </c>
      <c r="F365" s="4">
        <f>LEN(SUBSTITUTE(SUBSTITUTE(D365,"A",""),"T",""))</f>
        <v/>
      </c>
      <c r="G365" s="4">
        <f>LEN(SUBSTITUTE(SUBSTITUTE(E365,"A",""),"T",""))</f>
        <v/>
      </c>
      <c r="H365" s="4" t="n">
        <v>-2.39</v>
      </c>
      <c r="I365" s="4" t="n">
        <v>-0.17</v>
      </c>
      <c r="J365" s="4" t="n">
        <v>-3.95</v>
      </c>
      <c r="K365" s="4" t="n">
        <v>-3.12</v>
      </c>
      <c r="M365">
        <f>MID($D365,1,1)</f>
        <v/>
      </c>
      <c r="N365">
        <f>MID($D365,2,1)</f>
        <v/>
      </c>
      <c r="O365">
        <f>MID($D365,3,1)</f>
        <v/>
      </c>
      <c r="P365">
        <f>MID($D365,4,1)</f>
        <v/>
      </c>
      <c r="Q365">
        <f>MID($D365,5,1)</f>
        <v/>
      </c>
      <c r="R365">
        <f>MID($D365,6,1)</f>
        <v/>
      </c>
      <c r="S365">
        <f>MID($D365,7,1)</f>
        <v/>
      </c>
      <c r="T365">
        <f>MID($D365,8,1)</f>
        <v/>
      </c>
      <c r="U365">
        <f>MID($D365,9,1)</f>
        <v/>
      </c>
      <c r="V365">
        <f>MID($D365,10,1)</f>
        <v/>
      </c>
      <c r="W365">
        <f>MID($E365,1,1)</f>
        <v/>
      </c>
      <c r="X365">
        <f>MID($E365,2,1)</f>
        <v/>
      </c>
      <c r="Y365">
        <f>MID($E365,3,1)</f>
        <v/>
      </c>
      <c r="Z365">
        <f>MID($E365,4,1)</f>
        <v/>
      </c>
      <c r="AA365">
        <f>MID($E365,5,1)</f>
        <v/>
      </c>
      <c r="AB365">
        <f>MID($E365,6,1)</f>
        <v/>
      </c>
      <c r="AC365">
        <f>MID($E365,7,1)</f>
        <v/>
      </c>
      <c r="AD365">
        <f>MID($E365,8,1)</f>
        <v/>
      </c>
      <c r="AE365">
        <f>MID($E365,9,1)</f>
        <v/>
      </c>
      <c r="AF365">
        <f>MID($E365,10,1)</f>
        <v/>
      </c>
    </row>
    <row r="366">
      <c r="A366" s="4" t="inlineStr">
        <is>
          <t>DN365</t>
        </is>
      </c>
      <c r="B366" s="4" t="n">
        <v>4</v>
      </c>
      <c r="C366" s="4" t="n">
        <v>8</v>
      </c>
      <c r="D366" s="5" t="inlineStr">
        <is>
          <t>CGTGGTTGGA</t>
        </is>
      </c>
      <c r="E366" s="5" t="inlineStr">
        <is>
          <t>CTAGATGCGG</t>
        </is>
      </c>
      <c r="F366" s="4">
        <f>LEN(SUBSTITUTE(SUBSTITUTE(D366,"A",""),"T",""))</f>
        <v/>
      </c>
      <c r="G366" s="4">
        <f>LEN(SUBSTITUTE(SUBSTITUTE(E366,"A",""),"T",""))</f>
        <v/>
      </c>
      <c r="H366" s="4" t="n">
        <v>-3.25</v>
      </c>
      <c r="I366" s="4" t="n">
        <v>-1.28</v>
      </c>
      <c r="J366" s="4" t="n">
        <v>-2.77</v>
      </c>
      <c r="K366" s="4" t="n">
        <v>-1.46</v>
      </c>
      <c r="M366">
        <f>MID($D366,1,1)</f>
        <v/>
      </c>
      <c r="N366">
        <f>MID($D366,2,1)</f>
        <v/>
      </c>
      <c r="O366">
        <f>MID($D366,3,1)</f>
        <v/>
      </c>
      <c r="P366">
        <f>MID($D366,4,1)</f>
        <v/>
      </c>
      <c r="Q366">
        <f>MID($D366,5,1)</f>
        <v/>
      </c>
      <c r="R366">
        <f>MID($D366,6,1)</f>
        <v/>
      </c>
      <c r="S366">
        <f>MID($D366,7,1)</f>
        <v/>
      </c>
      <c r="T366">
        <f>MID($D366,8,1)</f>
        <v/>
      </c>
      <c r="U366">
        <f>MID($D366,9,1)</f>
        <v/>
      </c>
      <c r="V366">
        <f>MID($D366,10,1)</f>
        <v/>
      </c>
      <c r="W366">
        <f>MID($E366,1,1)</f>
        <v/>
      </c>
      <c r="X366">
        <f>MID($E366,2,1)</f>
        <v/>
      </c>
      <c r="Y366">
        <f>MID($E366,3,1)</f>
        <v/>
      </c>
      <c r="Z366">
        <f>MID($E366,4,1)</f>
        <v/>
      </c>
      <c r="AA366">
        <f>MID($E366,5,1)</f>
        <v/>
      </c>
      <c r="AB366">
        <f>MID($E366,6,1)</f>
        <v/>
      </c>
      <c r="AC366">
        <f>MID($E366,7,1)</f>
        <v/>
      </c>
      <c r="AD366">
        <f>MID($E366,8,1)</f>
        <v/>
      </c>
      <c r="AE366">
        <f>MID($E366,9,1)</f>
        <v/>
      </c>
      <c r="AF366">
        <f>MID($E366,10,1)</f>
        <v/>
      </c>
    </row>
    <row r="367">
      <c r="A367" s="4" t="inlineStr">
        <is>
          <t>DN366</t>
        </is>
      </c>
      <c r="B367" s="4" t="n">
        <v>4</v>
      </c>
      <c r="C367" s="4" t="n">
        <v>8</v>
      </c>
      <c r="D367" s="5" t="inlineStr">
        <is>
          <t>TGGTGCCTTC</t>
        </is>
      </c>
      <c r="E367" s="5" t="inlineStr">
        <is>
          <t>CGCAGTCCAA</t>
        </is>
      </c>
      <c r="F367" s="4">
        <f>LEN(SUBSTITUTE(SUBSTITUTE(D367,"A",""),"T",""))</f>
        <v/>
      </c>
      <c r="G367" s="4">
        <f>LEN(SUBSTITUTE(SUBSTITUTE(E367,"A",""),"T",""))</f>
        <v/>
      </c>
      <c r="H367" s="4" t="n">
        <v>-3.54</v>
      </c>
      <c r="I367" s="4" t="n">
        <v>-2.09</v>
      </c>
      <c r="J367" s="4" t="n">
        <v>-3.33</v>
      </c>
      <c r="K367" s="4" t="n">
        <v>-0.35</v>
      </c>
      <c r="M367">
        <f>MID($D367,1,1)</f>
        <v/>
      </c>
      <c r="N367">
        <f>MID($D367,2,1)</f>
        <v/>
      </c>
      <c r="O367">
        <f>MID($D367,3,1)</f>
        <v/>
      </c>
      <c r="P367">
        <f>MID($D367,4,1)</f>
        <v/>
      </c>
      <c r="Q367">
        <f>MID($D367,5,1)</f>
        <v/>
      </c>
      <c r="R367">
        <f>MID($D367,6,1)</f>
        <v/>
      </c>
      <c r="S367">
        <f>MID($D367,7,1)</f>
        <v/>
      </c>
      <c r="T367">
        <f>MID($D367,8,1)</f>
        <v/>
      </c>
      <c r="U367">
        <f>MID($D367,9,1)</f>
        <v/>
      </c>
      <c r="V367">
        <f>MID($D367,10,1)</f>
        <v/>
      </c>
      <c r="W367">
        <f>MID($E367,1,1)</f>
        <v/>
      </c>
      <c r="X367">
        <f>MID($E367,2,1)</f>
        <v/>
      </c>
      <c r="Y367">
        <f>MID($E367,3,1)</f>
        <v/>
      </c>
      <c r="Z367">
        <f>MID($E367,4,1)</f>
        <v/>
      </c>
      <c r="AA367">
        <f>MID($E367,5,1)</f>
        <v/>
      </c>
      <c r="AB367">
        <f>MID($E367,6,1)</f>
        <v/>
      </c>
      <c r="AC367">
        <f>MID($E367,7,1)</f>
        <v/>
      </c>
      <c r="AD367">
        <f>MID($E367,8,1)</f>
        <v/>
      </c>
      <c r="AE367">
        <f>MID($E367,9,1)</f>
        <v/>
      </c>
      <c r="AF367">
        <f>MID($E367,10,1)</f>
        <v/>
      </c>
    </row>
    <row r="368">
      <c r="A368" s="4" t="inlineStr">
        <is>
          <t>DN367</t>
        </is>
      </c>
      <c r="B368" s="4" t="n">
        <v>4</v>
      </c>
      <c r="C368" s="4" t="n">
        <v>8</v>
      </c>
      <c r="D368" s="5" t="inlineStr">
        <is>
          <t>CCTAACACAA</t>
        </is>
      </c>
      <c r="E368" s="5" t="inlineStr">
        <is>
          <t>GACCAACACG</t>
        </is>
      </c>
      <c r="F368" s="4">
        <f>LEN(SUBSTITUTE(SUBSTITUTE(D368,"A",""),"T",""))</f>
        <v/>
      </c>
      <c r="G368" s="4">
        <f>LEN(SUBSTITUTE(SUBSTITUTE(E368,"A",""),"T",""))</f>
        <v/>
      </c>
      <c r="H368" s="4" t="n">
        <v>-1.44</v>
      </c>
      <c r="I368" s="4" t="n">
        <v>-0.25</v>
      </c>
      <c r="J368" s="4" t="n">
        <v>-2.98</v>
      </c>
      <c r="K368" s="4" t="n">
        <v>-0.83</v>
      </c>
      <c r="M368">
        <f>MID($D368,1,1)</f>
        <v/>
      </c>
      <c r="N368">
        <f>MID($D368,2,1)</f>
        <v/>
      </c>
      <c r="O368">
        <f>MID($D368,3,1)</f>
        <v/>
      </c>
      <c r="P368">
        <f>MID($D368,4,1)</f>
        <v/>
      </c>
      <c r="Q368">
        <f>MID($D368,5,1)</f>
        <v/>
      </c>
      <c r="R368">
        <f>MID($D368,6,1)</f>
        <v/>
      </c>
      <c r="S368">
        <f>MID($D368,7,1)</f>
        <v/>
      </c>
      <c r="T368">
        <f>MID($D368,8,1)</f>
        <v/>
      </c>
      <c r="U368">
        <f>MID($D368,9,1)</f>
        <v/>
      </c>
      <c r="V368">
        <f>MID($D368,10,1)</f>
        <v/>
      </c>
      <c r="W368">
        <f>MID($E368,1,1)</f>
        <v/>
      </c>
      <c r="X368">
        <f>MID($E368,2,1)</f>
        <v/>
      </c>
      <c r="Y368">
        <f>MID($E368,3,1)</f>
        <v/>
      </c>
      <c r="Z368">
        <f>MID($E368,4,1)</f>
        <v/>
      </c>
      <c r="AA368">
        <f>MID($E368,5,1)</f>
        <v/>
      </c>
      <c r="AB368">
        <f>MID($E368,6,1)</f>
        <v/>
      </c>
      <c r="AC368">
        <f>MID($E368,7,1)</f>
        <v/>
      </c>
      <c r="AD368">
        <f>MID($E368,8,1)</f>
        <v/>
      </c>
      <c r="AE368">
        <f>MID($E368,9,1)</f>
        <v/>
      </c>
      <c r="AF368">
        <f>MID($E368,10,1)</f>
        <v/>
      </c>
    </row>
    <row r="369">
      <c r="A369" s="4" t="inlineStr">
        <is>
          <t>DN368</t>
        </is>
      </c>
      <c r="B369" s="4" t="n">
        <v>4</v>
      </c>
      <c r="C369" s="4" t="n">
        <v>8</v>
      </c>
      <c r="D369" s="5" t="inlineStr">
        <is>
          <t>CGATGAAGTC</t>
        </is>
      </c>
      <c r="E369" s="5" t="inlineStr">
        <is>
          <t>GCGGAACCTT</t>
        </is>
      </c>
      <c r="F369" s="4">
        <f>LEN(SUBSTITUTE(SUBSTITUTE(D369,"A",""),"T",""))</f>
        <v/>
      </c>
      <c r="G369" s="4">
        <f>LEN(SUBSTITUTE(SUBSTITUTE(E369,"A",""),"T",""))</f>
        <v/>
      </c>
      <c r="H369" s="4" t="n">
        <v>-3.1</v>
      </c>
      <c r="I369" s="4" t="n">
        <v>-1.55</v>
      </c>
      <c r="J369" s="4" t="n">
        <v>-3.34</v>
      </c>
      <c r="K369" s="4" t="n">
        <v>-2.27</v>
      </c>
      <c r="M369">
        <f>MID($D369,1,1)</f>
        <v/>
      </c>
      <c r="N369">
        <f>MID($D369,2,1)</f>
        <v/>
      </c>
      <c r="O369">
        <f>MID($D369,3,1)</f>
        <v/>
      </c>
      <c r="P369">
        <f>MID($D369,4,1)</f>
        <v/>
      </c>
      <c r="Q369">
        <f>MID($D369,5,1)</f>
        <v/>
      </c>
      <c r="R369">
        <f>MID($D369,6,1)</f>
        <v/>
      </c>
      <c r="S369">
        <f>MID($D369,7,1)</f>
        <v/>
      </c>
      <c r="T369">
        <f>MID($D369,8,1)</f>
        <v/>
      </c>
      <c r="U369">
        <f>MID($D369,9,1)</f>
        <v/>
      </c>
      <c r="V369">
        <f>MID($D369,10,1)</f>
        <v/>
      </c>
      <c r="W369">
        <f>MID($E369,1,1)</f>
        <v/>
      </c>
      <c r="X369">
        <f>MID($E369,2,1)</f>
        <v/>
      </c>
      <c r="Y369">
        <f>MID($E369,3,1)</f>
        <v/>
      </c>
      <c r="Z369">
        <f>MID($E369,4,1)</f>
        <v/>
      </c>
      <c r="AA369">
        <f>MID($E369,5,1)</f>
        <v/>
      </c>
      <c r="AB369">
        <f>MID($E369,6,1)</f>
        <v/>
      </c>
      <c r="AC369">
        <f>MID($E369,7,1)</f>
        <v/>
      </c>
      <c r="AD369">
        <f>MID($E369,8,1)</f>
        <v/>
      </c>
      <c r="AE369">
        <f>MID($E369,9,1)</f>
        <v/>
      </c>
      <c r="AF369">
        <f>MID($E369,10,1)</f>
        <v/>
      </c>
    </row>
    <row r="370">
      <c r="A370" s="4" t="inlineStr">
        <is>
          <t>DN369</t>
        </is>
      </c>
      <c r="B370" s="4" t="n">
        <v>4</v>
      </c>
      <c r="C370" s="4" t="n">
        <v>8</v>
      </c>
      <c r="D370" s="5" t="inlineStr">
        <is>
          <t>ATGAGGTGGC</t>
        </is>
      </c>
      <c r="E370" s="5" t="inlineStr">
        <is>
          <t>CCATGTTGCC</t>
        </is>
      </c>
      <c r="F370" s="4">
        <f>LEN(SUBSTITUTE(SUBSTITUTE(D370,"A",""),"T",""))</f>
        <v/>
      </c>
      <c r="G370" s="4">
        <f>LEN(SUBSTITUTE(SUBSTITUTE(E370,"A",""),"T",""))</f>
        <v/>
      </c>
      <c r="H370" s="4" t="n">
        <v>-3.77</v>
      </c>
      <c r="I370" s="4" t="n">
        <v>-2.65</v>
      </c>
      <c r="J370" s="4" t="n">
        <v>-2.46</v>
      </c>
      <c r="K370" s="4" t="n">
        <v>-1.38</v>
      </c>
      <c r="M370">
        <f>MID($D370,1,1)</f>
        <v/>
      </c>
      <c r="N370">
        <f>MID($D370,2,1)</f>
        <v/>
      </c>
      <c r="O370">
        <f>MID($D370,3,1)</f>
        <v/>
      </c>
      <c r="P370">
        <f>MID($D370,4,1)</f>
        <v/>
      </c>
      <c r="Q370">
        <f>MID($D370,5,1)</f>
        <v/>
      </c>
      <c r="R370">
        <f>MID($D370,6,1)</f>
        <v/>
      </c>
      <c r="S370">
        <f>MID($D370,7,1)</f>
        <v/>
      </c>
      <c r="T370">
        <f>MID($D370,8,1)</f>
        <v/>
      </c>
      <c r="U370">
        <f>MID($D370,9,1)</f>
        <v/>
      </c>
      <c r="V370">
        <f>MID($D370,10,1)</f>
        <v/>
      </c>
      <c r="W370">
        <f>MID($E370,1,1)</f>
        <v/>
      </c>
      <c r="X370">
        <f>MID($E370,2,1)</f>
        <v/>
      </c>
      <c r="Y370">
        <f>MID($E370,3,1)</f>
        <v/>
      </c>
      <c r="Z370">
        <f>MID($E370,4,1)</f>
        <v/>
      </c>
      <c r="AA370">
        <f>MID($E370,5,1)</f>
        <v/>
      </c>
      <c r="AB370">
        <f>MID($E370,6,1)</f>
        <v/>
      </c>
      <c r="AC370">
        <f>MID($E370,7,1)</f>
        <v/>
      </c>
      <c r="AD370">
        <f>MID($E370,8,1)</f>
        <v/>
      </c>
      <c r="AE370">
        <f>MID($E370,9,1)</f>
        <v/>
      </c>
      <c r="AF370">
        <f>MID($E370,10,1)</f>
        <v/>
      </c>
    </row>
    <row r="371">
      <c r="A371" s="4" t="inlineStr">
        <is>
          <t>DN370</t>
        </is>
      </c>
      <c r="B371" s="4" t="n">
        <v>4</v>
      </c>
      <c r="C371" s="4" t="n">
        <v>8</v>
      </c>
      <c r="D371" s="5" t="inlineStr">
        <is>
          <t>CCAGCGCATA</t>
        </is>
      </c>
      <c r="E371" s="5" t="inlineStr">
        <is>
          <t>TAGCCACTAA</t>
        </is>
      </c>
      <c r="F371" s="4">
        <f>LEN(SUBSTITUTE(SUBSTITUTE(D371,"A",""),"T",""))</f>
        <v/>
      </c>
      <c r="G371" s="4">
        <f>LEN(SUBSTITUTE(SUBSTITUTE(E371,"A",""),"T",""))</f>
        <v/>
      </c>
      <c r="H371" s="4" t="n">
        <v>-2.95</v>
      </c>
      <c r="I371" s="4" t="n">
        <v>-2.95</v>
      </c>
      <c r="J371" s="4" t="n">
        <v>-3.64</v>
      </c>
      <c r="K371" s="4" t="n">
        <v>-1.88</v>
      </c>
      <c r="M371">
        <f>MID($D371,1,1)</f>
        <v/>
      </c>
      <c r="N371">
        <f>MID($D371,2,1)</f>
        <v/>
      </c>
      <c r="O371">
        <f>MID($D371,3,1)</f>
        <v/>
      </c>
      <c r="P371">
        <f>MID($D371,4,1)</f>
        <v/>
      </c>
      <c r="Q371">
        <f>MID($D371,5,1)</f>
        <v/>
      </c>
      <c r="R371">
        <f>MID($D371,6,1)</f>
        <v/>
      </c>
      <c r="S371">
        <f>MID($D371,7,1)</f>
        <v/>
      </c>
      <c r="T371">
        <f>MID($D371,8,1)</f>
        <v/>
      </c>
      <c r="U371">
        <f>MID($D371,9,1)</f>
        <v/>
      </c>
      <c r="V371">
        <f>MID($D371,10,1)</f>
        <v/>
      </c>
      <c r="W371">
        <f>MID($E371,1,1)</f>
        <v/>
      </c>
      <c r="X371">
        <f>MID($E371,2,1)</f>
        <v/>
      </c>
      <c r="Y371">
        <f>MID($E371,3,1)</f>
        <v/>
      </c>
      <c r="Z371">
        <f>MID($E371,4,1)</f>
        <v/>
      </c>
      <c r="AA371">
        <f>MID($E371,5,1)</f>
        <v/>
      </c>
      <c r="AB371">
        <f>MID($E371,6,1)</f>
        <v/>
      </c>
      <c r="AC371">
        <f>MID($E371,7,1)</f>
        <v/>
      </c>
      <c r="AD371">
        <f>MID($E371,8,1)</f>
        <v/>
      </c>
      <c r="AE371">
        <f>MID($E371,9,1)</f>
        <v/>
      </c>
      <c r="AF371">
        <f>MID($E371,10,1)</f>
        <v/>
      </c>
    </row>
    <row r="372">
      <c r="A372" s="4" t="inlineStr">
        <is>
          <t>DN371</t>
        </is>
      </c>
      <c r="B372" s="4" t="n">
        <v>4</v>
      </c>
      <c r="C372" s="4" t="n">
        <v>8</v>
      </c>
      <c r="D372" s="5" t="inlineStr">
        <is>
          <t>GCAATGCGCT</t>
        </is>
      </c>
      <c r="E372" s="5" t="inlineStr">
        <is>
          <t>ATCAGGTCAA</t>
        </is>
      </c>
      <c r="F372" s="4">
        <f>LEN(SUBSTITUTE(SUBSTITUTE(D372,"A",""),"T",""))</f>
        <v/>
      </c>
      <c r="G372" s="4">
        <f>LEN(SUBSTITUTE(SUBSTITUTE(E372,"A",""),"T",""))</f>
        <v/>
      </c>
      <c r="H372" s="4" t="n">
        <v>-3.92</v>
      </c>
      <c r="I372" s="4" t="n">
        <v>-0.24</v>
      </c>
      <c r="J372" s="4" t="n">
        <v>-2.1</v>
      </c>
      <c r="K372" s="4" t="n">
        <v>-1.56</v>
      </c>
      <c r="M372">
        <f>MID($D372,1,1)</f>
        <v/>
      </c>
      <c r="N372">
        <f>MID($D372,2,1)</f>
        <v/>
      </c>
      <c r="O372">
        <f>MID($D372,3,1)</f>
        <v/>
      </c>
      <c r="P372">
        <f>MID($D372,4,1)</f>
        <v/>
      </c>
      <c r="Q372">
        <f>MID($D372,5,1)</f>
        <v/>
      </c>
      <c r="R372">
        <f>MID($D372,6,1)</f>
        <v/>
      </c>
      <c r="S372">
        <f>MID($D372,7,1)</f>
        <v/>
      </c>
      <c r="T372">
        <f>MID($D372,8,1)</f>
        <v/>
      </c>
      <c r="U372">
        <f>MID($D372,9,1)</f>
        <v/>
      </c>
      <c r="V372">
        <f>MID($D372,10,1)</f>
        <v/>
      </c>
      <c r="W372">
        <f>MID($E372,1,1)</f>
        <v/>
      </c>
      <c r="X372">
        <f>MID($E372,2,1)</f>
        <v/>
      </c>
      <c r="Y372">
        <f>MID($E372,3,1)</f>
        <v/>
      </c>
      <c r="Z372">
        <f>MID($E372,4,1)</f>
        <v/>
      </c>
      <c r="AA372">
        <f>MID($E372,5,1)</f>
        <v/>
      </c>
      <c r="AB372">
        <f>MID($E372,6,1)</f>
        <v/>
      </c>
      <c r="AC372">
        <f>MID($E372,7,1)</f>
        <v/>
      </c>
      <c r="AD372">
        <f>MID($E372,8,1)</f>
        <v/>
      </c>
      <c r="AE372">
        <f>MID($E372,9,1)</f>
        <v/>
      </c>
      <c r="AF372">
        <f>MID($E372,10,1)</f>
        <v/>
      </c>
    </row>
    <row r="373">
      <c r="A373" s="4" t="inlineStr">
        <is>
          <t>DN372</t>
        </is>
      </c>
      <c r="B373" s="4" t="n">
        <v>4</v>
      </c>
      <c r="C373" s="4" t="n">
        <v>8</v>
      </c>
      <c r="D373" s="5" t="inlineStr">
        <is>
          <t>GCGCAACAAC</t>
        </is>
      </c>
      <c r="E373" s="5" t="inlineStr">
        <is>
          <t>AATCCGACAA</t>
        </is>
      </c>
      <c r="F373" s="4">
        <f>LEN(SUBSTITUTE(SUBSTITUTE(D373,"A",""),"T",""))</f>
        <v/>
      </c>
      <c r="G373" s="4">
        <f>LEN(SUBSTITUTE(SUBSTITUTE(E373,"A",""),"T",""))</f>
        <v/>
      </c>
      <c r="H373" s="4" t="n">
        <v>-3.81</v>
      </c>
      <c r="I373" s="4" t="n">
        <v>-0.82</v>
      </c>
      <c r="J373" s="4" t="n">
        <v>-3.42</v>
      </c>
      <c r="K373" s="4" t="n">
        <v>-1.82</v>
      </c>
      <c r="M373">
        <f>MID($D373,1,1)</f>
        <v/>
      </c>
      <c r="N373">
        <f>MID($D373,2,1)</f>
        <v/>
      </c>
      <c r="O373">
        <f>MID($D373,3,1)</f>
        <v/>
      </c>
      <c r="P373">
        <f>MID($D373,4,1)</f>
        <v/>
      </c>
      <c r="Q373">
        <f>MID($D373,5,1)</f>
        <v/>
      </c>
      <c r="R373">
        <f>MID($D373,6,1)</f>
        <v/>
      </c>
      <c r="S373">
        <f>MID($D373,7,1)</f>
        <v/>
      </c>
      <c r="T373">
        <f>MID($D373,8,1)</f>
        <v/>
      </c>
      <c r="U373">
        <f>MID($D373,9,1)</f>
        <v/>
      </c>
      <c r="V373">
        <f>MID($D373,10,1)</f>
        <v/>
      </c>
      <c r="W373">
        <f>MID($E373,1,1)</f>
        <v/>
      </c>
      <c r="X373">
        <f>MID($E373,2,1)</f>
        <v/>
      </c>
      <c r="Y373">
        <f>MID($E373,3,1)</f>
        <v/>
      </c>
      <c r="Z373">
        <f>MID($E373,4,1)</f>
        <v/>
      </c>
      <c r="AA373">
        <f>MID($E373,5,1)</f>
        <v/>
      </c>
      <c r="AB373">
        <f>MID($E373,6,1)</f>
        <v/>
      </c>
      <c r="AC373">
        <f>MID($E373,7,1)</f>
        <v/>
      </c>
      <c r="AD373">
        <f>MID($E373,8,1)</f>
        <v/>
      </c>
      <c r="AE373">
        <f>MID($E373,9,1)</f>
        <v/>
      </c>
      <c r="AF373">
        <f>MID($E373,10,1)</f>
        <v/>
      </c>
    </row>
    <row r="374">
      <c r="A374" s="4" t="inlineStr">
        <is>
          <t>DN373</t>
        </is>
      </c>
      <c r="B374" s="4" t="n">
        <v>4</v>
      </c>
      <c r="C374" s="4" t="n">
        <v>8</v>
      </c>
      <c r="D374" s="5" t="inlineStr">
        <is>
          <t>GAGTATCCGG</t>
        </is>
      </c>
      <c r="E374" s="5" t="inlineStr">
        <is>
          <t>TAGTTAGTCC</t>
        </is>
      </c>
      <c r="F374" s="4">
        <f>LEN(SUBSTITUTE(SUBSTITUTE(D374,"A",""),"T",""))</f>
        <v/>
      </c>
      <c r="G374" s="4">
        <f>LEN(SUBSTITUTE(SUBSTITUTE(E374,"A",""),"T",""))</f>
        <v/>
      </c>
      <c r="H374" s="4" t="n">
        <v>-2.63</v>
      </c>
      <c r="I374" s="4" t="n">
        <v>-1.23</v>
      </c>
      <c r="J374" s="4" t="n">
        <v>-1.95</v>
      </c>
      <c r="K374" s="4" t="n">
        <v>-1.95</v>
      </c>
      <c r="M374">
        <f>MID($D374,1,1)</f>
        <v/>
      </c>
      <c r="N374">
        <f>MID($D374,2,1)</f>
        <v/>
      </c>
      <c r="O374">
        <f>MID($D374,3,1)</f>
        <v/>
      </c>
      <c r="P374">
        <f>MID($D374,4,1)</f>
        <v/>
      </c>
      <c r="Q374">
        <f>MID($D374,5,1)</f>
        <v/>
      </c>
      <c r="R374">
        <f>MID($D374,6,1)</f>
        <v/>
      </c>
      <c r="S374">
        <f>MID($D374,7,1)</f>
        <v/>
      </c>
      <c r="T374">
        <f>MID($D374,8,1)</f>
        <v/>
      </c>
      <c r="U374">
        <f>MID($D374,9,1)</f>
        <v/>
      </c>
      <c r="V374">
        <f>MID($D374,10,1)</f>
        <v/>
      </c>
      <c r="W374">
        <f>MID($E374,1,1)</f>
        <v/>
      </c>
      <c r="X374">
        <f>MID($E374,2,1)</f>
        <v/>
      </c>
      <c r="Y374">
        <f>MID($E374,3,1)</f>
        <v/>
      </c>
      <c r="Z374">
        <f>MID($E374,4,1)</f>
        <v/>
      </c>
      <c r="AA374">
        <f>MID($E374,5,1)</f>
        <v/>
      </c>
      <c r="AB374">
        <f>MID($E374,6,1)</f>
        <v/>
      </c>
      <c r="AC374">
        <f>MID($E374,7,1)</f>
        <v/>
      </c>
      <c r="AD374">
        <f>MID($E374,8,1)</f>
        <v/>
      </c>
      <c r="AE374">
        <f>MID($E374,9,1)</f>
        <v/>
      </c>
      <c r="AF374">
        <f>MID($E374,10,1)</f>
        <v/>
      </c>
    </row>
    <row r="375">
      <c r="A375" s="4" t="inlineStr">
        <is>
          <t>DN374</t>
        </is>
      </c>
      <c r="B375" s="4" t="n">
        <v>4</v>
      </c>
      <c r="C375" s="4" t="n">
        <v>8</v>
      </c>
      <c r="D375" s="5" t="inlineStr">
        <is>
          <t>CGAGTGATGG</t>
        </is>
      </c>
      <c r="E375" s="5" t="inlineStr">
        <is>
          <t>CCAATACTCC</t>
        </is>
      </c>
      <c r="F375" s="4">
        <f>LEN(SUBSTITUTE(SUBSTITUTE(D375,"A",""),"T",""))</f>
        <v/>
      </c>
      <c r="G375" s="4">
        <f>LEN(SUBSTITUTE(SUBSTITUTE(E375,"A",""),"T",""))</f>
        <v/>
      </c>
      <c r="H375" s="4" t="n">
        <v>-2.63</v>
      </c>
      <c r="I375" s="4" t="n">
        <v>-1.33</v>
      </c>
      <c r="J375" s="4" t="n">
        <v>-2.21</v>
      </c>
      <c r="K375" s="4" t="n">
        <v>0</v>
      </c>
      <c r="M375">
        <f>MID($D375,1,1)</f>
        <v/>
      </c>
      <c r="N375">
        <f>MID($D375,2,1)</f>
        <v/>
      </c>
      <c r="O375">
        <f>MID($D375,3,1)</f>
        <v/>
      </c>
      <c r="P375">
        <f>MID($D375,4,1)</f>
        <v/>
      </c>
      <c r="Q375">
        <f>MID($D375,5,1)</f>
        <v/>
      </c>
      <c r="R375">
        <f>MID($D375,6,1)</f>
        <v/>
      </c>
      <c r="S375">
        <f>MID($D375,7,1)</f>
        <v/>
      </c>
      <c r="T375">
        <f>MID($D375,8,1)</f>
        <v/>
      </c>
      <c r="U375">
        <f>MID($D375,9,1)</f>
        <v/>
      </c>
      <c r="V375">
        <f>MID($D375,10,1)</f>
        <v/>
      </c>
      <c r="W375">
        <f>MID($E375,1,1)</f>
        <v/>
      </c>
      <c r="X375">
        <f>MID($E375,2,1)</f>
        <v/>
      </c>
      <c r="Y375">
        <f>MID($E375,3,1)</f>
        <v/>
      </c>
      <c r="Z375">
        <f>MID($E375,4,1)</f>
        <v/>
      </c>
      <c r="AA375">
        <f>MID($E375,5,1)</f>
        <v/>
      </c>
      <c r="AB375">
        <f>MID($E375,6,1)</f>
        <v/>
      </c>
      <c r="AC375">
        <f>MID($E375,7,1)</f>
        <v/>
      </c>
      <c r="AD375">
        <f>MID($E375,8,1)</f>
        <v/>
      </c>
      <c r="AE375">
        <f>MID($E375,9,1)</f>
        <v/>
      </c>
      <c r="AF375">
        <f>MID($E375,10,1)</f>
        <v/>
      </c>
    </row>
    <row r="376">
      <c r="A376" s="4" t="inlineStr">
        <is>
          <t>DN375</t>
        </is>
      </c>
      <c r="B376" s="4" t="n">
        <v>4</v>
      </c>
      <c r="C376" s="4" t="n">
        <v>8</v>
      </c>
      <c r="D376" s="5" t="inlineStr">
        <is>
          <t>GCGCCAGATT</t>
        </is>
      </c>
      <c r="E376" s="5" t="inlineStr">
        <is>
          <t>CTATTGGCTG</t>
        </is>
      </c>
      <c r="F376" s="4">
        <f>LEN(SUBSTITUTE(SUBSTITUTE(D376,"A",""),"T",""))</f>
        <v/>
      </c>
      <c r="G376" s="4">
        <f>LEN(SUBSTITUTE(SUBSTITUTE(E376,"A",""),"T",""))</f>
        <v/>
      </c>
      <c r="H376" s="4" t="n">
        <v>-3.88</v>
      </c>
      <c r="I376" s="4" t="n">
        <v>-1.55</v>
      </c>
      <c r="J376" s="4" t="n">
        <v>-2.97</v>
      </c>
      <c r="K376" s="4" t="n">
        <v>-2.97</v>
      </c>
      <c r="M376">
        <f>MID($D376,1,1)</f>
        <v/>
      </c>
      <c r="N376">
        <f>MID($D376,2,1)</f>
        <v/>
      </c>
      <c r="O376">
        <f>MID($D376,3,1)</f>
        <v/>
      </c>
      <c r="P376">
        <f>MID($D376,4,1)</f>
        <v/>
      </c>
      <c r="Q376">
        <f>MID($D376,5,1)</f>
        <v/>
      </c>
      <c r="R376">
        <f>MID($D376,6,1)</f>
        <v/>
      </c>
      <c r="S376">
        <f>MID($D376,7,1)</f>
        <v/>
      </c>
      <c r="T376">
        <f>MID($D376,8,1)</f>
        <v/>
      </c>
      <c r="U376">
        <f>MID($D376,9,1)</f>
        <v/>
      </c>
      <c r="V376">
        <f>MID($D376,10,1)</f>
        <v/>
      </c>
      <c r="W376">
        <f>MID($E376,1,1)</f>
        <v/>
      </c>
      <c r="X376">
        <f>MID($E376,2,1)</f>
        <v/>
      </c>
      <c r="Y376">
        <f>MID($E376,3,1)</f>
        <v/>
      </c>
      <c r="Z376">
        <f>MID($E376,4,1)</f>
        <v/>
      </c>
      <c r="AA376">
        <f>MID($E376,5,1)</f>
        <v/>
      </c>
      <c r="AB376">
        <f>MID($E376,6,1)</f>
        <v/>
      </c>
      <c r="AC376">
        <f>MID($E376,7,1)</f>
        <v/>
      </c>
      <c r="AD376">
        <f>MID($E376,8,1)</f>
        <v/>
      </c>
      <c r="AE376">
        <f>MID($E376,9,1)</f>
        <v/>
      </c>
      <c r="AF376">
        <f>MID($E376,10,1)</f>
        <v/>
      </c>
    </row>
    <row r="377">
      <c r="A377" s="4" t="inlineStr">
        <is>
          <t>DN376</t>
        </is>
      </c>
      <c r="B377" s="4" t="n">
        <v>4</v>
      </c>
      <c r="C377" s="4" t="n">
        <v>8</v>
      </c>
      <c r="D377" s="5" t="inlineStr">
        <is>
          <t>CACCTAAGAC</t>
        </is>
      </c>
      <c r="E377" s="5" t="inlineStr">
        <is>
          <t>GCTCCACCTA</t>
        </is>
      </c>
      <c r="F377" s="4">
        <f>LEN(SUBSTITUTE(SUBSTITUTE(D377,"A",""),"T",""))</f>
        <v/>
      </c>
      <c r="G377" s="4">
        <f>LEN(SUBSTITUTE(SUBSTITUTE(E377,"A",""),"T",""))</f>
        <v/>
      </c>
      <c r="H377" s="4" t="n">
        <v>-1.76</v>
      </c>
      <c r="I377" s="4" t="n">
        <v>-0.49</v>
      </c>
      <c r="J377" s="4" t="n">
        <v>-2.45</v>
      </c>
      <c r="K377" s="4" t="n">
        <v>-0.57</v>
      </c>
      <c r="M377">
        <f>MID($D377,1,1)</f>
        <v/>
      </c>
      <c r="N377">
        <f>MID($D377,2,1)</f>
        <v/>
      </c>
      <c r="O377">
        <f>MID($D377,3,1)</f>
        <v/>
      </c>
      <c r="P377">
        <f>MID($D377,4,1)</f>
        <v/>
      </c>
      <c r="Q377">
        <f>MID($D377,5,1)</f>
        <v/>
      </c>
      <c r="R377">
        <f>MID($D377,6,1)</f>
        <v/>
      </c>
      <c r="S377">
        <f>MID($D377,7,1)</f>
        <v/>
      </c>
      <c r="T377">
        <f>MID($D377,8,1)</f>
        <v/>
      </c>
      <c r="U377">
        <f>MID($D377,9,1)</f>
        <v/>
      </c>
      <c r="V377">
        <f>MID($D377,10,1)</f>
        <v/>
      </c>
      <c r="W377">
        <f>MID($E377,1,1)</f>
        <v/>
      </c>
      <c r="X377">
        <f>MID($E377,2,1)</f>
        <v/>
      </c>
      <c r="Y377">
        <f>MID($E377,3,1)</f>
        <v/>
      </c>
      <c r="Z377">
        <f>MID($E377,4,1)</f>
        <v/>
      </c>
      <c r="AA377">
        <f>MID($E377,5,1)</f>
        <v/>
      </c>
      <c r="AB377">
        <f>MID($E377,6,1)</f>
        <v/>
      </c>
      <c r="AC377">
        <f>MID($E377,7,1)</f>
        <v/>
      </c>
      <c r="AD377">
        <f>MID($E377,8,1)</f>
        <v/>
      </c>
      <c r="AE377">
        <f>MID($E377,9,1)</f>
        <v/>
      </c>
      <c r="AF377">
        <f>MID($E377,10,1)</f>
        <v/>
      </c>
    </row>
    <row r="378">
      <c r="A378" s="4" t="inlineStr">
        <is>
          <t>DN377</t>
        </is>
      </c>
      <c r="B378" s="4" t="n">
        <v>4</v>
      </c>
      <c r="C378" s="4" t="n">
        <v>8</v>
      </c>
      <c r="D378" s="5" t="inlineStr">
        <is>
          <t>GAGGACACTG</t>
        </is>
      </c>
      <c r="E378" s="5" t="inlineStr">
        <is>
          <t>GTACGGACCT</t>
        </is>
      </c>
      <c r="F378" s="4">
        <f>LEN(SUBSTITUTE(SUBSTITUTE(D378,"A",""),"T",""))</f>
        <v/>
      </c>
      <c r="G378" s="4">
        <f>LEN(SUBSTITUTE(SUBSTITUTE(E378,"A",""),"T",""))</f>
        <v/>
      </c>
      <c r="H378" s="4" t="n">
        <v>-2.39</v>
      </c>
      <c r="I378" s="4" t="n">
        <v>-2.39</v>
      </c>
      <c r="J378" s="4" t="n">
        <v>-3.5</v>
      </c>
      <c r="K378" s="4" t="n">
        <v>-2.45</v>
      </c>
      <c r="M378">
        <f>MID($D378,1,1)</f>
        <v/>
      </c>
      <c r="N378">
        <f>MID($D378,2,1)</f>
        <v/>
      </c>
      <c r="O378">
        <f>MID($D378,3,1)</f>
        <v/>
      </c>
      <c r="P378">
        <f>MID($D378,4,1)</f>
        <v/>
      </c>
      <c r="Q378">
        <f>MID($D378,5,1)</f>
        <v/>
      </c>
      <c r="R378">
        <f>MID($D378,6,1)</f>
        <v/>
      </c>
      <c r="S378">
        <f>MID($D378,7,1)</f>
        <v/>
      </c>
      <c r="T378">
        <f>MID($D378,8,1)</f>
        <v/>
      </c>
      <c r="U378">
        <f>MID($D378,9,1)</f>
        <v/>
      </c>
      <c r="V378">
        <f>MID($D378,10,1)</f>
        <v/>
      </c>
      <c r="W378">
        <f>MID($E378,1,1)</f>
        <v/>
      </c>
      <c r="X378">
        <f>MID($E378,2,1)</f>
        <v/>
      </c>
      <c r="Y378">
        <f>MID($E378,3,1)</f>
        <v/>
      </c>
      <c r="Z378">
        <f>MID($E378,4,1)</f>
        <v/>
      </c>
      <c r="AA378">
        <f>MID($E378,5,1)</f>
        <v/>
      </c>
      <c r="AB378">
        <f>MID($E378,6,1)</f>
        <v/>
      </c>
      <c r="AC378">
        <f>MID($E378,7,1)</f>
        <v/>
      </c>
      <c r="AD378">
        <f>MID($E378,8,1)</f>
        <v/>
      </c>
      <c r="AE378">
        <f>MID($E378,9,1)</f>
        <v/>
      </c>
      <c r="AF378">
        <f>MID($E378,10,1)</f>
        <v/>
      </c>
    </row>
    <row r="379">
      <c r="A379" s="4" t="inlineStr">
        <is>
          <t>DN378</t>
        </is>
      </c>
      <c r="B379" s="4" t="n">
        <v>4</v>
      </c>
      <c r="C379" s="4" t="n">
        <v>8</v>
      </c>
      <c r="D379" s="5" t="inlineStr">
        <is>
          <t>GTCGTTGTGG</t>
        </is>
      </c>
      <c r="E379" s="5" t="inlineStr">
        <is>
          <t>GATGCTCAGT</t>
        </is>
      </c>
      <c r="F379" s="4">
        <f>LEN(SUBSTITUTE(SUBSTITUTE(D379,"A",""),"T",""))</f>
        <v/>
      </c>
      <c r="G379" s="4">
        <f>LEN(SUBSTITUTE(SUBSTITUTE(E379,"A",""),"T",""))</f>
        <v/>
      </c>
      <c r="H379" s="4" t="n">
        <v>-2.7</v>
      </c>
      <c r="I379" s="4" t="n">
        <v>-0.71</v>
      </c>
      <c r="J379" s="4" t="n">
        <v>-2.7</v>
      </c>
      <c r="K379" s="4" t="n">
        <v>-0.9</v>
      </c>
      <c r="M379">
        <f>MID($D379,1,1)</f>
        <v/>
      </c>
      <c r="N379">
        <f>MID($D379,2,1)</f>
        <v/>
      </c>
      <c r="O379">
        <f>MID($D379,3,1)</f>
        <v/>
      </c>
      <c r="P379">
        <f>MID($D379,4,1)</f>
        <v/>
      </c>
      <c r="Q379">
        <f>MID($D379,5,1)</f>
        <v/>
      </c>
      <c r="R379">
        <f>MID($D379,6,1)</f>
        <v/>
      </c>
      <c r="S379">
        <f>MID($D379,7,1)</f>
        <v/>
      </c>
      <c r="T379">
        <f>MID($D379,8,1)</f>
        <v/>
      </c>
      <c r="U379">
        <f>MID($D379,9,1)</f>
        <v/>
      </c>
      <c r="V379">
        <f>MID($D379,10,1)</f>
        <v/>
      </c>
      <c r="W379">
        <f>MID($E379,1,1)</f>
        <v/>
      </c>
      <c r="X379">
        <f>MID($E379,2,1)</f>
        <v/>
      </c>
      <c r="Y379">
        <f>MID($E379,3,1)</f>
        <v/>
      </c>
      <c r="Z379">
        <f>MID($E379,4,1)</f>
        <v/>
      </c>
      <c r="AA379">
        <f>MID($E379,5,1)</f>
        <v/>
      </c>
      <c r="AB379">
        <f>MID($E379,6,1)</f>
        <v/>
      </c>
      <c r="AC379">
        <f>MID($E379,7,1)</f>
        <v/>
      </c>
      <c r="AD379">
        <f>MID($E379,8,1)</f>
        <v/>
      </c>
      <c r="AE379">
        <f>MID($E379,9,1)</f>
        <v/>
      </c>
      <c r="AF379">
        <f>MID($E379,10,1)</f>
        <v/>
      </c>
    </row>
    <row r="380">
      <c r="A380" s="4" t="inlineStr">
        <is>
          <t>DN379</t>
        </is>
      </c>
      <c r="B380" s="4" t="n">
        <v>4</v>
      </c>
      <c r="C380" s="4" t="n">
        <v>8</v>
      </c>
      <c r="D380" s="5" t="inlineStr">
        <is>
          <t>TACACGACGG</t>
        </is>
      </c>
      <c r="E380" s="5" t="inlineStr">
        <is>
          <t>GTGACATCCG</t>
        </is>
      </c>
      <c r="F380" s="4">
        <f>LEN(SUBSTITUTE(SUBSTITUTE(D380,"A",""),"T",""))</f>
        <v/>
      </c>
      <c r="G380" s="4">
        <f>LEN(SUBSTITUTE(SUBSTITUTE(E380,"A",""),"T",""))</f>
        <v/>
      </c>
      <c r="H380" s="4" t="n">
        <v>-4.27</v>
      </c>
      <c r="I380" s="4" t="n">
        <v>-3.39</v>
      </c>
      <c r="J380" s="4" t="n">
        <v>-2.44</v>
      </c>
      <c r="K380" s="4" t="n">
        <v>-0.9399999999999999</v>
      </c>
      <c r="M380">
        <f>MID($D380,1,1)</f>
        <v/>
      </c>
      <c r="N380">
        <f>MID($D380,2,1)</f>
        <v/>
      </c>
      <c r="O380">
        <f>MID($D380,3,1)</f>
        <v/>
      </c>
      <c r="P380">
        <f>MID($D380,4,1)</f>
        <v/>
      </c>
      <c r="Q380">
        <f>MID($D380,5,1)</f>
        <v/>
      </c>
      <c r="R380">
        <f>MID($D380,6,1)</f>
        <v/>
      </c>
      <c r="S380">
        <f>MID($D380,7,1)</f>
        <v/>
      </c>
      <c r="T380">
        <f>MID($D380,8,1)</f>
        <v/>
      </c>
      <c r="U380">
        <f>MID($D380,9,1)</f>
        <v/>
      </c>
      <c r="V380">
        <f>MID($D380,10,1)</f>
        <v/>
      </c>
      <c r="W380">
        <f>MID($E380,1,1)</f>
        <v/>
      </c>
      <c r="X380">
        <f>MID($E380,2,1)</f>
        <v/>
      </c>
      <c r="Y380">
        <f>MID($E380,3,1)</f>
        <v/>
      </c>
      <c r="Z380">
        <f>MID($E380,4,1)</f>
        <v/>
      </c>
      <c r="AA380">
        <f>MID($E380,5,1)</f>
        <v/>
      </c>
      <c r="AB380">
        <f>MID($E380,6,1)</f>
        <v/>
      </c>
      <c r="AC380">
        <f>MID($E380,7,1)</f>
        <v/>
      </c>
      <c r="AD380">
        <f>MID($E380,8,1)</f>
        <v/>
      </c>
      <c r="AE380">
        <f>MID($E380,9,1)</f>
        <v/>
      </c>
      <c r="AF380">
        <f>MID($E380,10,1)</f>
        <v/>
      </c>
    </row>
    <row r="381">
      <c r="A381" s="4" t="inlineStr">
        <is>
          <t>DN380</t>
        </is>
      </c>
      <c r="B381" s="4" t="n">
        <v>4</v>
      </c>
      <c r="C381" s="4" t="n">
        <v>8</v>
      </c>
      <c r="D381" s="5" t="inlineStr">
        <is>
          <t>TGTTCGACCG</t>
        </is>
      </c>
      <c r="E381" s="5" t="inlineStr">
        <is>
          <t>ACTGTCCTTA</t>
        </is>
      </c>
      <c r="F381" s="4">
        <f>LEN(SUBSTITUTE(SUBSTITUTE(D381,"A",""),"T",""))</f>
        <v/>
      </c>
      <c r="G381" s="4">
        <f>LEN(SUBSTITUTE(SUBSTITUTE(E381,"A",""),"T",""))</f>
        <v/>
      </c>
      <c r="H381" s="4" t="n">
        <v>-3.13</v>
      </c>
      <c r="I381" s="4" t="n">
        <v>-1.7</v>
      </c>
      <c r="J381" s="4" t="n">
        <v>-1.42</v>
      </c>
      <c r="K381" s="4" t="n">
        <v>-0.23</v>
      </c>
      <c r="M381">
        <f>MID($D381,1,1)</f>
        <v/>
      </c>
      <c r="N381">
        <f>MID($D381,2,1)</f>
        <v/>
      </c>
      <c r="O381">
        <f>MID($D381,3,1)</f>
        <v/>
      </c>
      <c r="P381">
        <f>MID($D381,4,1)</f>
        <v/>
      </c>
      <c r="Q381">
        <f>MID($D381,5,1)</f>
        <v/>
      </c>
      <c r="R381">
        <f>MID($D381,6,1)</f>
        <v/>
      </c>
      <c r="S381">
        <f>MID($D381,7,1)</f>
        <v/>
      </c>
      <c r="T381">
        <f>MID($D381,8,1)</f>
        <v/>
      </c>
      <c r="U381">
        <f>MID($D381,9,1)</f>
        <v/>
      </c>
      <c r="V381">
        <f>MID($D381,10,1)</f>
        <v/>
      </c>
      <c r="W381">
        <f>MID($E381,1,1)</f>
        <v/>
      </c>
      <c r="X381">
        <f>MID($E381,2,1)</f>
        <v/>
      </c>
      <c r="Y381">
        <f>MID($E381,3,1)</f>
        <v/>
      </c>
      <c r="Z381">
        <f>MID($E381,4,1)</f>
        <v/>
      </c>
      <c r="AA381">
        <f>MID($E381,5,1)</f>
        <v/>
      </c>
      <c r="AB381">
        <f>MID($E381,6,1)</f>
        <v/>
      </c>
      <c r="AC381">
        <f>MID($E381,7,1)</f>
        <v/>
      </c>
      <c r="AD381">
        <f>MID($E381,8,1)</f>
        <v/>
      </c>
      <c r="AE381">
        <f>MID($E381,9,1)</f>
        <v/>
      </c>
      <c r="AF381">
        <f>MID($E381,10,1)</f>
        <v/>
      </c>
    </row>
    <row r="382">
      <c r="A382" s="4" t="inlineStr">
        <is>
          <t>DN381</t>
        </is>
      </c>
      <c r="B382" s="4" t="n">
        <v>4</v>
      </c>
      <c r="C382" s="4" t="n">
        <v>8</v>
      </c>
      <c r="D382" s="5" t="inlineStr">
        <is>
          <t>AGAGAAGGAA</t>
        </is>
      </c>
      <c r="E382" s="5" t="inlineStr">
        <is>
          <t>GCGCATAGTG</t>
        </is>
      </c>
      <c r="F382" s="4">
        <f>LEN(SUBSTITUTE(SUBSTITUTE(D382,"A",""),"T",""))</f>
        <v/>
      </c>
      <c r="G382" s="4">
        <f>LEN(SUBSTITUTE(SUBSTITUTE(E382,"A",""),"T",""))</f>
        <v/>
      </c>
      <c r="H382" s="4" t="n">
        <v>-3.08</v>
      </c>
      <c r="I382" s="4" t="n">
        <v>-1.32</v>
      </c>
      <c r="J382" s="4" t="n">
        <v>-2.84</v>
      </c>
      <c r="K382" s="4" t="n">
        <v>-0.52</v>
      </c>
      <c r="M382">
        <f>MID($D382,1,1)</f>
        <v/>
      </c>
      <c r="N382">
        <f>MID($D382,2,1)</f>
        <v/>
      </c>
      <c r="O382">
        <f>MID($D382,3,1)</f>
        <v/>
      </c>
      <c r="P382">
        <f>MID($D382,4,1)</f>
        <v/>
      </c>
      <c r="Q382">
        <f>MID($D382,5,1)</f>
        <v/>
      </c>
      <c r="R382">
        <f>MID($D382,6,1)</f>
        <v/>
      </c>
      <c r="S382">
        <f>MID($D382,7,1)</f>
        <v/>
      </c>
      <c r="T382">
        <f>MID($D382,8,1)</f>
        <v/>
      </c>
      <c r="U382">
        <f>MID($D382,9,1)</f>
        <v/>
      </c>
      <c r="V382">
        <f>MID($D382,10,1)</f>
        <v/>
      </c>
      <c r="W382">
        <f>MID($E382,1,1)</f>
        <v/>
      </c>
      <c r="X382">
        <f>MID($E382,2,1)</f>
        <v/>
      </c>
      <c r="Y382">
        <f>MID($E382,3,1)</f>
        <v/>
      </c>
      <c r="Z382">
        <f>MID($E382,4,1)</f>
        <v/>
      </c>
      <c r="AA382">
        <f>MID($E382,5,1)</f>
        <v/>
      </c>
      <c r="AB382">
        <f>MID($E382,6,1)</f>
        <v/>
      </c>
      <c r="AC382">
        <f>MID($E382,7,1)</f>
        <v/>
      </c>
      <c r="AD382">
        <f>MID($E382,8,1)</f>
        <v/>
      </c>
      <c r="AE382">
        <f>MID($E382,9,1)</f>
        <v/>
      </c>
      <c r="AF382">
        <f>MID($E382,10,1)</f>
        <v/>
      </c>
    </row>
    <row r="383">
      <c r="A383" s="4" t="inlineStr">
        <is>
          <t>DN382</t>
        </is>
      </c>
      <c r="B383" s="4" t="n">
        <v>4</v>
      </c>
      <c r="C383" s="4" t="n">
        <v>8</v>
      </c>
      <c r="D383" s="5" t="inlineStr">
        <is>
          <t>TTGCGTAATG</t>
        </is>
      </c>
      <c r="E383" s="5" t="inlineStr">
        <is>
          <t>AGTCGCAGAC</t>
        </is>
      </c>
      <c r="F383" s="4">
        <f>LEN(SUBSTITUTE(SUBSTITUTE(D383,"A",""),"T",""))</f>
        <v/>
      </c>
      <c r="G383" s="4">
        <f>LEN(SUBSTITUTE(SUBSTITUTE(E383,"A",""),"T",""))</f>
        <v/>
      </c>
      <c r="H383" s="4" t="n">
        <v>-2.55</v>
      </c>
      <c r="I383" s="4" t="n">
        <v>-0.23</v>
      </c>
      <c r="J383" s="4" t="n">
        <v>-3.85</v>
      </c>
      <c r="K383" s="4" t="n">
        <v>-1.1</v>
      </c>
      <c r="M383">
        <f>MID($D383,1,1)</f>
        <v/>
      </c>
      <c r="N383">
        <f>MID($D383,2,1)</f>
        <v/>
      </c>
      <c r="O383">
        <f>MID($D383,3,1)</f>
        <v/>
      </c>
      <c r="P383">
        <f>MID($D383,4,1)</f>
        <v/>
      </c>
      <c r="Q383">
        <f>MID($D383,5,1)</f>
        <v/>
      </c>
      <c r="R383">
        <f>MID($D383,6,1)</f>
        <v/>
      </c>
      <c r="S383">
        <f>MID($D383,7,1)</f>
        <v/>
      </c>
      <c r="T383">
        <f>MID($D383,8,1)</f>
        <v/>
      </c>
      <c r="U383">
        <f>MID($D383,9,1)</f>
        <v/>
      </c>
      <c r="V383">
        <f>MID($D383,10,1)</f>
        <v/>
      </c>
      <c r="W383">
        <f>MID($E383,1,1)</f>
        <v/>
      </c>
      <c r="X383">
        <f>MID($E383,2,1)</f>
        <v/>
      </c>
      <c r="Y383">
        <f>MID($E383,3,1)</f>
        <v/>
      </c>
      <c r="Z383">
        <f>MID($E383,4,1)</f>
        <v/>
      </c>
      <c r="AA383">
        <f>MID($E383,5,1)</f>
        <v/>
      </c>
      <c r="AB383">
        <f>MID($E383,6,1)</f>
        <v/>
      </c>
      <c r="AC383">
        <f>MID($E383,7,1)</f>
        <v/>
      </c>
      <c r="AD383">
        <f>MID($E383,8,1)</f>
        <v/>
      </c>
      <c r="AE383">
        <f>MID($E383,9,1)</f>
        <v/>
      </c>
      <c r="AF383">
        <f>MID($E383,10,1)</f>
        <v/>
      </c>
    </row>
    <row r="384">
      <c r="A384" s="4" t="inlineStr">
        <is>
          <t>DN383</t>
        </is>
      </c>
      <c r="B384" s="4" t="n">
        <v>4</v>
      </c>
      <c r="C384" s="4" t="n">
        <v>8</v>
      </c>
      <c r="D384" s="5" t="inlineStr">
        <is>
          <t>CGAATGTGAT</t>
        </is>
      </c>
      <c r="E384" s="5" t="inlineStr">
        <is>
          <t>TTGCGGATCC</t>
        </is>
      </c>
      <c r="F384" s="4">
        <f>LEN(SUBSTITUTE(SUBSTITUTE(D384,"A",""),"T",""))</f>
        <v/>
      </c>
      <c r="G384" s="4">
        <f>LEN(SUBSTITUTE(SUBSTITUTE(E384,"A",""),"T",""))</f>
        <v/>
      </c>
      <c r="H384" s="4" t="n">
        <v>-2.56</v>
      </c>
      <c r="I384" s="4" t="n">
        <v>-1.27</v>
      </c>
      <c r="J384" s="4" t="n">
        <v>-3.58</v>
      </c>
      <c r="K384" s="4" t="n">
        <v>-2.27</v>
      </c>
      <c r="M384">
        <f>MID($D384,1,1)</f>
        <v/>
      </c>
      <c r="N384">
        <f>MID($D384,2,1)</f>
        <v/>
      </c>
      <c r="O384">
        <f>MID($D384,3,1)</f>
        <v/>
      </c>
      <c r="P384">
        <f>MID($D384,4,1)</f>
        <v/>
      </c>
      <c r="Q384">
        <f>MID($D384,5,1)</f>
        <v/>
      </c>
      <c r="R384">
        <f>MID($D384,6,1)</f>
        <v/>
      </c>
      <c r="S384">
        <f>MID($D384,7,1)</f>
        <v/>
      </c>
      <c r="T384">
        <f>MID($D384,8,1)</f>
        <v/>
      </c>
      <c r="U384">
        <f>MID($D384,9,1)</f>
        <v/>
      </c>
      <c r="V384">
        <f>MID($D384,10,1)</f>
        <v/>
      </c>
      <c r="W384">
        <f>MID($E384,1,1)</f>
        <v/>
      </c>
      <c r="X384">
        <f>MID($E384,2,1)</f>
        <v/>
      </c>
      <c r="Y384">
        <f>MID($E384,3,1)</f>
        <v/>
      </c>
      <c r="Z384">
        <f>MID($E384,4,1)</f>
        <v/>
      </c>
      <c r="AA384">
        <f>MID($E384,5,1)</f>
        <v/>
      </c>
      <c r="AB384">
        <f>MID($E384,6,1)</f>
        <v/>
      </c>
      <c r="AC384">
        <f>MID($E384,7,1)</f>
        <v/>
      </c>
      <c r="AD384">
        <f>MID($E384,8,1)</f>
        <v/>
      </c>
      <c r="AE384">
        <f>MID($E384,9,1)</f>
        <v/>
      </c>
      <c r="AF384">
        <f>MID($E384,10,1)</f>
        <v/>
      </c>
    </row>
    <row r="385">
      <c r="A385" s="4" t="inlineStr">
        <is>
          <t>DN384</t>
        </is>
      </c>
      <c r="B385" s="4" t="n">
        <v>4</v>
      </c>
      <c r="C385" s="4" t="n">
        <v>8</v>
      </c>
      <c r="D385" s="5" t="inlineStr">
        <is>
          <t>CGTAACGCCT</t>
        </is>
      </c>
      <c r="E385" s="5" t="inlineStr">
        <is>
          <t>AGGCTATCGG</t>
        </is>
      </c>
      <c r="F385" s="4">
        <f>LEN(SUBSTITUTE(SUBSTITUTE(D385,"A",""),"T",""))</f>
        <v/>
      </c>
      <c r="G385" s="4">
        <f>LEN(SUBSTITUTE(SUBSTITUTE(E385,"A",""),"T",""))</f>
        <v/>
      </c>
      <c r="H385" s="4" t="n">
        <v>-3.74</v>
      </c>
      <c r="I385" s="4" t="n">
        <v>-2.03</v>
      </c>
      <c r="J385" s="4" t="n">
        <v>-2.43</v>
      </c>
      <c r="K385" s="4" t="n">
        <v>-2.1</v>
      </c>
      <c r="M385">
        <f>MID($D385,1,1)</f>
        <v/>
      </c>
      <c r="N385">
        <f>MID($D385,2,1)</f>
        <v/>
      </c>
      <c r="O385">
        <f>MID($D385,3,1)</f>
        <v/>
      </c>
      <c r="P385">
        <f>MID($D385,4,1)</f>
        <v/>
      </c>
      <c r="Q385">
        <f>MID($D385,5,1)</f>
        <v/>
      </c>
      <c r="R385">
        <f>MID($D385,6,1)</f>
        <v/>
      </c>
      <c r="S385">
        <f>MID($D385,7,1)</f>
        <v/>
      </c>
      <c r="T385">
        <f>MID($D385,8,1)</f>
        <v/>
      </c>
      <c r="U385">
        <f>MID($D385,9,1)</f>
        <v/>
      </c>
      <c r="V385">
        <f>MID($D385,10,1)</f>
        <v/>
      </c>
      <c r="W385">
        <f>MID($E385,1,1)</f>
        <v/>
      </c>
      <c r="X385">
        <f>MID($E385,2,1)</f>
        <v/>
      </c>
      <c r="Y385">
        <f>MID($E385,3,1)</f>
        <v/>
      </c>
      <c r="Z385">
        <f>MID($E385,4,1)</f>
        <v/>
      </c>
      <c r="AA385">
        <f>MID($E385,5,1)</f>
        <v/>
      </c>
      <c r="AB385">
        <f>MID($E385,6,1)</f>
        <v/>
      </c>
      <c r="AC385">
        <f>MID($E385,7,1)</f>
        <v/>
      </c>
      <c r="AD385">
        <f>MID($E385,8,1)</f>
        <v/>
      </c>
      <c r="AE385">
        <f>MID($E385,9,1)</f>
        <v/>
      </c>
      <c r="AF385">
        <f>MID($E385,10,1)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范围</t>
        </is>
      </c>
      <c r="B1" s="6" t="inlineStr">
        <is>
          <t>序列</t>
        </is>
      </c>
      <c r="C1" s="6" t="inlineStr">
        <is>
          <t>周期</t>
        </is>
      </c>
      <c r="D1" s="6" t="inlineStr">
        <is>
          <t>A</t>
        </is>
      </c>
      <c r="E1" s="6" t="inlineStr">
        <is>
          <t>C</t>
        </is>
      </c>
      <c r="F1" s="6" t="inlineStr">
        <is>
          <t>G</t>
        </is>
      </c>
      <c r="G1" s="6" t="inlineStr">
        <is>
          <t>T</t>
        </is>
      </c>
      <c r="H1" s="6" t="inlineStr">
        <is>
          <t>GC%</t>
        </is>
      </c>
      <c r="I1" s="6" t="inlineStr">
        <is>
          <t>A+C%</t>
        </is>
      </c>
      <c r="J1" s="6" t="inlineStr">
        <is>
          <t>A+T%</t>
        </is>
      </c>
      <c r="K1" s="6" t="inlineStr">
        <is>
          <t>是否达标</t>
        </is>
      </c>
    </row>
    <row r="2">
      <c r="A2" s="7" t="inlineStr">
        <is>
          <t>48 组 1</t>
        </is>
      </c>
      <c r="B2" s="7" t="inlineStr">
        <is>
          <t>i5</t>
        </is>
      </c>
      <c r="C2" s="7" t="n">
        <v>1</v>
      </c>
      <c r="D2" s="7">
        <f>COUNTIF('384对'!$M$2:$M$49,"A")</f>
        <v/>
      </c>
      <c r="E2" s="7">
        <f>COUNTIF('384对'!$M$2:$M$49,"C")</f>
        <v/>
      </c>
      <c r="F2" s="7">
        <f>COUNTIF('384对'!$M$2:$M$49,"G")</f>
        <v/>
      </c>
      <c r="G2" s="7">
        <f>COUNTIF('384对'!$M$2:$M$49,"T")</f>
        <v/>
      </c>
      <c r="H2" s="8">
        <f>(E2+F2)/48</f>
        <v/>
      </c>
      <c r="I2" s="8">
        <f>(D2+E2)/48</f>
        <v/>
      </c>
      <c r="J2" s="8">
        <f>(D2+G2)/48</f>
        <v/>
      </c>
      <c r="K2" s="7">
        <f>IF(AND(H2&gt;=0.4,H2&lt;=0.6,I2&gt;=0.4,I2&lt;=0.6,J2&gt;=0.4,J2&lt;=0.6,MIN(D2:G2)&gt;=7.2),"是","否")</f>
        <v/>
      </c>
    </row>
    <row r="3">
      <c r="A3" s="7" t="inlineStr">
        <is>
          <t>48 组 1</t>
        </is>
      </c>
      <c r="B3" s="7" t="inlineStr">
        <is>
          <t>i5</t>
        </is>
      </c>
      <c r="C3" s="7" t="n">
        <v>2</v>
      </c>
      <c r="D3" s="7">
        <f>COUNTIF('384对'!$N$2:$N$49,"A")</f>
        <v/>
      </c>
      <c r="E3" s="7">
        <f>COUNTIF('384对'!$N$2:$N$49,"C")</f>
        <v/>
      </c>
      <c r="F3" s="7">
        <f>COUNTIF('384对'!$N$2:$N$49,"G")</f>
        <v/>
      </c>
      <c r="G3" s="7">
        <f>COUNTIF('384对'!$N$2:$N$49,"T")</f>
        <v/>
      </c>
      <c r="H3" s="8">
        <f>(E3+F3)/48</f>
        <v/>
      </c>
      <c r="I3" s="8">
        <f>(D3+E3)/48</f>
        <v/>
      </c>
      <c r="J3" s="8">
        <f>(D3+G3)/48</f>
        <v/>
      </c>
      <c r="K3" s="7">
        <f>IF(AND(H3&gt;=0.4,H3&lt;=0.6,I3&gt;=0.4,I3&lt;=0.6,J3&gt;=0.4,J3&lt;=0.6,MIN(D3:G3)&gt;=7.2),"是","否")</f>
        <v/>
      </c>
    </row>
    <row r="4">
      <c r="A4" s="7" t="inlineStr">
        <is>
          <t>48 组 1</t>
        </is>
      </c>
      <c r="B4" s="7" t="inlineStr">
        <is>
          <t>i5</t>
        </is>
      </c>
      <c r="C4" s="7" t="n">
        <v>3</v>
      </c>
      <c r="D4" s="7">
        <f>COUNTIF('384对'!$O$2:$O$49,"A")</f>
        <v/>
      </c>
      <c r="E4" s="7">
        <f>COUNTIF('384对'!$O$2:$O$49,"C")</f>
        <v/>
      </c>
      <c r="F4" s="7">
        <f>COUNTIF('384对'!$O$2:$O$49,"G")</f>
        <v/>
      </c>
      <c r="G4" s="7">
        <f>COUNTIF('384对'!$O$2:$O$49,"T")</f>
        <v/>
      </c>
      <c r="H4" s="8">
        <f>(E4+F4)/48</f>
        <v/>
      </c>
      <c r="I4" s="8">
        <f>(D4+E4)/48</f>
        <v/>
      </c>
      <c r="J4" s="8">
        <f>(D4+G4)/48</f>
        <v/>
      </c>
      <c r="K4" s="7">
        <f>IF(AND(H4&gt;=0.4,H4&lt;=0.6,I4&gt;=0.4,I4&lt;=0.6,J4&gt;=0.4,J4&lt;=0.6,MIN(D4:G4)&gt;=7.2),"是","否")</f>
        <v/>
      </c>
    </row>
    <row r="5">
      <c r="A5" s="7" t="inlineStr">
        <is>
          <t>48 组 1</t>
        </is>
      </c>
      <c r="B5" s="7" t="inlineStr">
        <is>
          <t>i5</t>
        </is>
      </c>
      <c r="C5" s="7" t="n">
        <v>4</v>
      </c>
      <c r="D5" s="7">
        <f>COUNTIF('384对'!$P$2:$P$49,"A")</f>
        <v/>
      </c>
      <c r="E5" s="7">
        <f>COUNTIF('384对'!$P$2:$P$49,"C")</f>
        <v/>
      </c>
      <c r="F5" s="7">
        <f>COUNTIF('384对'!$P$2:$P$49,"G")</f>
        <v/>
      </c>
      <c r="G5" s="7">
        <f>COUNTIF('384对'!$P$2:$P$49,"T")</f>
        <v/>
      </c>
      <c r="H5" s="8">
        <f>(E5+F5)/48</f>
        <v/>
      </c>
      <c r="I5" s="8">
        <f>(D5+E5)/48</f>
        <v/>
      </c>
      <c r="J5" s="8">
        <f>(D5+G5)/48</f>
        <v/>
      </c>
      <c r="K5" s="7">
        <f>IF(AND(H5&gt;=0.4,H5&lt;=0.6,I5&gt;=0.4,I5&lt;=0.6,J5&gt;=0.4,J5&lt;=0.6,MIN(D5:G5)&gt;=7.2),"是","否")</f>
        <v/>
      </c>
    </row>
    <row r="6">
      <c r="A6" s="7" t="inlineStr">
        <is>
          <t>48 组 1</t>
        </is>
      </c>
      <c r="B6" s="7" t="inlineStr">
        <is>
          <t>i5</t>
        </is>
      </c>
      <c r="C6" s="7" t="n">
        <v>5</v>
      </c>
      <c r="D6" s="7">
        <f>COUNTIF('384对'!$Q$2:$Q$49,"A")</f>
        <v/>
      </c>
      <c r="E6" s="7">
        <f>COUNTIF('384对'!$Q$2:$Q$49,"C")</f>
        <v/>
      </c>
      <c r="F6" s="7">
        <f>COUNTIF('384对'!$Q$2:$Q$49,"G")</f>
        <v/>
      </c>
      <c r="G6" s="7">
        <f>COUNTIF('384对'!$Q$2:$Q$49,"T")</f>
        <v/>
      </c>
      <c r="H6" s="8">
        <f>(E6+F6)/48</f>
        <v/>
      </c>
      <c r="I6" s="8">
        <f>(D6+E6)/48</f>
        <v/>
      </c>
      <c r="J6" s="8">
        <f>(D6+G6)/48</f>
        <v/>
      </c>
      <c r="K6" s="7">
        <f>IF(AND(H6&gt;=0.4,H6&lt;=0.6,I6&gt;=0.4,I6&lt;=0.6,J6&gt;=0.4,J6&lt;=0.6,MIN(D6:G6)&gt;=7.2),"是","否")</f>
        <v/>
      </c>
    </row>
    <row r="7">
      <c r="A7" s="7" t="inlineStr">
        <is>
          <t>48 组 1</t>
        </is>
      </c>
      <c r="B7" s="7" t="inlineStr">
        <is>
          <t>i5</t>
        </is>
      </c>
      <c r="C7" s="7" t="n">
        <v>6</v>
      </c>
      <c r="D7" s="7">
        <f>COUNTIF('384对'!$R$2:$R$49,"A")</f>
        <v/>
      </c>
      <c r="E7" s="7">
        <f>COUNTIF('384对'!$R$2:$R$49,"C")</f>
        <v/>
      </c>
      <c r="F7" s="7">
        <f>COUNTIF('384对'!$R$2:$R$49,"G")</f>
        <v/>
      </c>
      <c r="G7" s="7">
        <f>COUNTIF('384对'!$R$2:$R$49,"T")</f>
        <v/>
      </c>
      <c r="H7" s="8">
        <f>(E7+F7)/48</f>
        <v/>
      </c>
      <c r="I7" s="8">
        <f>(D7+E7)/48</f>
        <v/>
      </c>
      <c r="J7" s="8">
        <f>(D7+G7)/48</f>
        <v/>
      </c>
      <c r="K7" s="7">
        <f>IF(AND(H7&gt;=0.4,H7&lt;=0.6,I7&gt;=0.4,I7&lt;=0.6,J7&gt;=0.4,J7&lt;=0.6,MIN(D7:G7)&gt;=7.2),"是","否")</f>
        <v/>
      </c>
    </row>
    <row r="8">
      <c r="A8" s="7" t="inlineStr">
        <is>
          <t>48 组 1</t>
        </is>
      </c>
      <c r="B8" s="7" t="inlineStr">
        <is>
          <t>i5</t>
        </is>
      </c>
      <c r="C8" s="7" t="n">
        <v>7</v>
      </c>
      <c r="D8" s="7">
        <f>COUNTIF('384对'!$S$2:$S$49,"A")</f>
        <v/>
      </c>
      <c r="E8" s="7">
        <f>COUNTIF('384对'!$S$2:$S$49,"C")</f>
        <v/>
      </c>
      <c r="F8" s="7">
        <f>COUNTIF('384对'!$S$2:$S$49,"G")</f>
        <v/>
      </c>
      <c r="G8" s="7">
        <f>COUNTIF('384对'!$S$2:$S$49,"T")</f>
        <v/>
      </c>
      <c r="H8" s="8">
        <f>(E8+F8)/48</f>
        <v/>
      </c>
      <c r="I8" s="8">
        <f>(D8+E8)/48</f>
        <v/>
      </c>
      <c r="J8" s="8">
        <f>(D8+G8)/48</f>
        <v/>
      </c>
      <c r="K8" s="7">
        <f>IF(AND(H8&gt;=0.4,H8&lt;=0.6,I8&gt;=0.4,I8&lt;=0.6,J8&gt;=0.4,J8&lt;=0.6,MIN(D8:G8)&gt;=7.2),"是","否")</f>
        <v/>
      </c>
    </row>
    <row r="9">
      <c r="A9" s="7" t="inlineStr">
        <is>
          <t>48 组 1</t>
        </is>
      </c>
      <c r="B9" s="7" t="inlineStr">
        <is>
          <t>i5</t>
        </is>
      </c>
      <c r="C9" s="7" t="n">
        <v>8</v>
      </c>
      <c r="D9" s="7">
        <f>COUNTIF('384对'!$T$2:$T$49,"A")</f>
        <v/>
      </c>
      <c r="E9" s="7">
        <f>COUNTIF('384对'!$T$2:$T$49,"C")</f>
        <v/>
      </c>
      <c r="F9" s="7">
        <f>COUNTIF('384对'!$T$2:$T$49,"G")</f>
        <v/>
      </c>
      <c r="G9" s="7">
        <f>COUNTIF('384对'!$T$2:$T$49,"T")</f>
        <v/>
      </c>
      <c r="H9" s="8">
        <f>(E9+F9)/48</f>
        <v/>
      </c>
      <c r="I9" s="8">
        <f>(D9+E9)/48</f>
        <v/>
      </c>
      <c r="J9" s="8">
        <f>(D9+G9)/48</f>
        <v/>
      </c>
      <c r="K9" s="7">
        <f>IF(AND(H9&gt;=0.4,H9&lt;=0.6,I9&gt;=0.4,I9&lt;=0.6,J9&gt;=0.4,J9&lt;=0.6,MIN(D9:G9)&gt;=7.2),"是","否")</f>
        <v/>
      </c>
    </row>
    <row r="10">
      <c r="A10" s="7" t="inlineStr">
        <is>
          <t>48 组 1</t>
        </is>
      </c>
      <c r="B10" s="7" t="inlineStr">
        <is>
          <t>i5</t>
        </is>
      </c>
      <c r="C10" s="7" t="n">
        <v>9</v>
      </c>
      <c r="D10" s="7">
        <f>COUNTIF('384对'!$U$2:$U$49,"A")</f>
        <v/>
      </c>
      <c r="E10" s="7">
        <f>COUNTIF('384对'!$U$2:$U$49,"C")</f>
        <v/>
      </c>
      <c r="F10" s="7">
        <f>COUNTIF('384对'!$U$2:$U$49,"G")</f>
        <v/>
      </c>
      <c r="G10" s="7">
        <f>COUNTIF('384对'!$U$2:$U$49,"T")</f>
        <v/>
      </c>
      <c r="H10" s="8">
        <f>(E10+F10)/48</f>
        <v/>
      </c>
      <c r="I10" s="8">
        <f>(D10+E10)/48</f>
        <v/>
      </c>
      <c r="J10" s="8">
        <f>(D10+G10)/48</f>
        <v/>
      </c>
      <c r="K10" s="7">
        <f>IF(AND(H10&gt;=0.4,H10&lt;=0.6,I10&gt;=0.4,I10&lt;=0.6,J10&gt;=0.4,J10&lt;=0.6,MIN(D10:G10)&gt;=7.2),"是","否")</f>
        <v/>
      </c>
    </row>
    <row r="11">
      <c r="A11" s="7" t="inlineStr">
        <is>
          <t>48 组 1</t>
        </is>
      </c>
      <c r="B11" s="7" t="inlineStr">
        <is>
          <t>i5</t>
        </is>
      </c>
      <c r="C11" s="7" t="n">
        <v>10</v>
      </c>
      <c r="D11" s="7">
        <f>COUNTIF('384对'!$V$2:$V$49,"A")</f>
        <v/>
      </c>
      <c r="E11" s="7">
        <f>COUNTIF('384对'!$V$2:$V$49,"C")</f>
        <v/>
      </c>
      <c r="F11" s="7">
        <f>COUNTIF('384对'!$V$2:$V$49,"G")</f>
        <v/>
      </c>
      <c r="G11" s="7">
        <f>COUNTIF('384对'!$V$2:$V$49,"T")</f>
        <v/>
      </c>
      <c r="H11" s="8">
        <f>(E11+F11)/48</f>
        <v/>
      </c>
      <c r="I11" s="8">
        <f>(D11+E11)/48</f>
        <v/>
      </c>
      <c r="J11" s="8">
        <f>(D11+G11)/48</f>
        <v/>
      </c>
      <c r="K11" s="7">
        <f>IF(AND(H11&gt;=0.4,H11&lt;=0.6,I11&gt;=0.4,I11&lt;=0.6,J11&gt;=0.4,J11&lt;=0.6,MIN(D11:G11)&gt;=7.2),"是","否")</f>
        <v/>
      </c>
    </row>
    <row r="12">
      <c r="A12" s="7" t="inlineStr">
        <is>
          <t>48 组 1</t>
        </is>
      </c>
      <c r="B12" s="7" t="inlineStr">
        <is>
          <t>i7</t>
        </is>
      </c>
      <c r="C12" s="7" t="n">
        <v>1</v>
      </c>
      <c r="D12" s="7">
        <f>COUNTIF('384对'!$W$2:$W$49,"A")</f>
        <v/>
      </c>
      <c r="E12" s="7">
        <f>COUNTIF('384对'!$W$2:$W$49,"C")</f>
        <v/>
      </c>
      <c r="F12" s="7">
        <f>COUNTIF('384对'!$W$2:$W$49,"G")</f>
        <v/>
      </c>
      <c r="G12" s="7">
        <f>COUNTIF('384对'!$W$2:$W$49,"T")</f>
        <v/>
      </c>
      <c r="H12" s="8">
        <f>(E12+F12)/48</f>
        <v/>
      </c>
      <c r="I12" s="8">
        <f>(D12+E12)/48</f>
        <v/>
      </c>
      <c r="J12" s="8">
        <f>(D12+G12)/48</f>
        <v/>
      </c>
      <c r="K12" s="7">
        <f>IF(AND(H12&gt;=0.4,H12&lt;=0.6,I12&gt;=0.4,I12&lt;=0.6,J12&gt;=0.4,J12&lt;=0.6,MIN(D12:G12)&gt;=7.2),"是","否")</f>
        <v/>
      </c>
    </row>
    <row r="13">
      <c r="A13" s="7" t="inlineStr">
        <is>
          <t>48 组 1</t>
        </is>
      </c>
      <c r="B13" s="7" t="inlineStr">
        <is>
          <t>i7</t>
        </is>
      </c>
      <c r="C13" s="7" t="n">
        <v>2</v>
      </c>
      <c r="D13" s="7">
        <f>COUNTIF('384对'!$X$2:$X$49,"A")</f>
        <v/>
      </c>
      <c r="E13" s="7">
        <f>COUNTIF('384对'!$X$2:$X$49,"C")</f>
        <v/>
      </c>
      <c r="F13" s="7">
        <f>COUNTIF('384对'!$X$2:$X$49,"G")</f>
        <v/>
      </c>
      <c r="G13" s="7">
        <f>COUNTIF('384对'!$X$2:$X$49,"T")</f>
        <v/>
      </c>
      <c r="H13" s="8">
        <f>(E13+F13)/48</f>
        <v/>
      </c>
      <c r="I13" s="8">
        <f>(D13+E13)/48</f>
        <v/>
      </c>
      <c r="J13" s="8">
        <f>(D13+G13)/48</f>
        <v/>
      </c>
      <c r="K13" s="7">
        <f>IF(AND(H13&gt;=0.4,H13&lt;=0.6,I13&gt;=0.4,I13&lt;=0.6,J13&gt;=0.4,J13&lt;=0.6,MIN(D13:G13)&gt;=7.2),"是","否")</f>
        <v/>
      </c>
    </row>
    <row r="14">
      <c r="A14" s="7" t="inlineStr">
        <is>
          <t>48 组 1</t>
        </is>
      </c>
      <c r="B14" s="7" t="inlineStr">
        <is>
          <t>i7</t>
        </is>
      </c>
      <c r="C14" s="7" t="n">
        <v>3</v>
      </c>
      <c r="D14" s="7">
        <f>COUNTIF('384对'!$Y$2:$Y$49,"A")</f>
        <v/>
      </c>
      <c r="E14" s="7">
        <f>COUNTIF('384对'!$Y$2:$Y$49,"C")</f>
        <v/>
      </c>
      <c r="F14" s="7">
        <f>COUNTIF('384对'!$Y$2:$Y$49,"G")</f>
        <v/>
      </c>
      <c r="G14" s="7">
        <f>COUNTIF('384对'!$Y$2:$Y$49,"T")</f>
        <v/>
      </c>
      <c r="H14" s="8">
        <f>(E14+F14)/48</f>
        <v/>
      </c>
      <c r="I14" s="8">
        <f>(D14+E14)/48</f>
        <v/>
      </c>
      <c r="J14" s="8">
        <f>(D14+G14)/48</f>
        <v/>
      </c>
      <c r="K14" s="7">
        <f>IF(AND(H14&gt;=0.4,H14&lt;=0.6,I14&gt;=0.4,I14&lt;=0.6,J14&gt;=0.4,J14&lt;=0.6,MIN(D14:G14)&gt;=7.2),"是","否")</f>
        <v/>
      </c>
    </row>
    <row r="15">
      <c r="A15" s="7" t="inlineStr">
        <is>
          <t>48 组 1</t>
        </is>
      </c>
      <c r="B15" s="7" t="inlineStr">
        <is>
          <t>i7</t>
        </is>
      </c>
      <c r="C15" s="7" t="n">
        <v>4</v>
      </c>
      <c r="D15" s="7">
        <f>COUNTIF('384对'!$Z$2:$Z$49,"A")</f>
        <v/>
      </c>
      <c r="E15" s="7">
        <f>COUNTIF('384对'!$Z$2:$Z$49,"C")</f>
        <v/>
      </c>
      <c r="F15" s="7">
        <f>COUNTIF('384对'!$Z$2:$Z$49,"G")</f>
        <v/>
      </c>
      <c r="G15" s="7">
        <f>COUNTIF('384对'!$Z$2:$Z$49,"T")</f>
        <v/>
      </c>
      <c r="H15" s="8">
        <f>(E15+F15)/48</f>
        <v/>
      </c>
      <c r="I15" s="8">
        <f>(D15+E15)/48</f>
        <v/>
      </c>
      <c r="J15" s="8">
        <f>(D15+G15)/48</f>
        <v/>
      </c>
      <c r="K15" s="7">
        <f>IF(AND(H15&gt;=0.4,H15&lt;=0.6,I15&gt;=0.4,I15&lt;=0.6,J15&gt;=0.4,J15&lt;=0.6,MIN(D15:G15)&gt;=7.2),"是","否")</f>
        <v/>
      </c>
    </row>
    <row r="16">
      <c r="A16" s="7" t="inlineStr">
        <is>
          <t>48 组 1</t>
        </is>
      </c>
      <c r="B16" s="7" t="inlineStr">
        <is>
          <t>i7</t>
        </is>
      </c>
      <c r="C16" s="7" t="n">
        <v>5</v>
      </c>
      <c r="D16" s="7">
        <f>COUNTIF('384对'!$AA$2:$AA$49,"A")</f>
        <v/>
      </c>
      <c r="E16" s="7">
        <f>COUNTIF('384对'!$AA$2:$AA$49,"C")</f>
        <v/>
      </c>
      <c r="F16" s="7">
        <f>COUNTIF('384对'!$AA$2:$AA$49,"G")</f>
        <v/>
      </c>
      <c r="G16" s="7">
        <f>COUNTIF('384对'!$AA$2:$AA$49,"T")</f>
        <v/>
      </c>
      <c r="H16" s="8">
        <f>(E16+F16)/48</f>
        <v/>
      </c>
      <c r="I16" s="8">
        <f>(D16+E16)/48</f>
        <v/>
      </c>
      <c r="J16" s="8">
        <f>(D16+G16)/48</f>
        <v/>
      </c>
      <c r="K16" s="7">
        <f>IF(AND(H16&gt;=0.4,H16&lt;=0.6,I16&gt;=0.4,I16&lt;=0.6,J16&gt;=0.4,J16&lt;=0.6,MIN(D16:G16)&gt;=7.2),"是","否")</f>
        <v/>
      </c>
    </row>
    <row r="17">
      <c r="A17" s="7" t="inlineStr">
        <is>
          <t>48 组 1</t>
        </is>
      </c>
      <c r="B17" s="7" t="inlineStr">
        <is>
          <t>i7</t>
        </is>
      </c>
      <c r="C17" s="7" t="n">
        <v>6</v>
      </c>
      <c r="D17" s="7">
        <f>COUNTIF('384对'!$AB$2:$AB$49,"A")</f>
        <v/>
      </c>
      <c r="E17" s="7">
        <f>COUNTIF('384对'!$AB$2:$AB$49,"C")</f>
        <v/>
      </c>
      <c r="F17" s="7">
        <f>COUNTIF('384对'!$AB$2:$AB$49,"G")</f>
        <v/>
      </c>
      <c r="G17" s="7">
        <f>COUNTIF('384对'!$AB$2:$AB$49,"T")</f>
        <v/>
      </c>
      <c r="H17" s="8">
        <f>(E17+F17)/48</f>
        <v/>
      </c>
      <c r="I17" s="8">
        <f>(D17+E17)/48</f>
        <v/>
      </c>
      <c r="J17" s="8">
        <f>(D17+G17)/48</f>
        <v/>
      </c>
      <c r="K17" s="7">
        <f>IF(AND(H17&gt;=0.4,H17&lt;=0.6,I17&gt;=0.4,I17&lt;=0.6,J17&gt;=0.4,J17&lt;=0.6,MIN(D17:G17)&gt;=7.2),"是","否")</f>
        <v/>
      </c>
    </row>
    <row r="18">
      <c r="A18" s="7" t="inlineStr">
        <is>
          <t>48 组 1</t>
        </is>
      </c>
      <c r="B18" s="7" t="inlineStr">
        <is>
          <t>i7</t>
        </is>
      </c>
      <c r="C18" s="7" t="n">
        <v>7</v>
      </c>
      <c r="D18" s="7">
        <f>COUNTIF('384对'!$AC$2:$AC$49,"A")</f>
        <v/>
      </c>
      <c r="E18" s="7">
        <f>COUNTIF('384对'!$AC$2:$AC$49,"C")</f>
        <v/>
      </c>
      <c r="F18" s="7">
        <f>COUNTIF('384对'!$AC$2:$AC$49,"G")</f>
        <v/>
      </c>
      <c r="G18" s="7">
        <f>COUNTIF('384对'!$AC$2:$AC$49,"T")</f>
        <v/>
      </c>
      <c r="H18" s="8">
        <f>(E18+F18)/48</f>
        <v/>
      </c>
      <c r="I18" s="8">
        <f>(D18+E18)/48</f>
        <v/>
      </c>
      <c r="J18" s="8">
        <f>(D18+G18)/48</f>
        <v/>
      </c>
      <c r="K18" s="7">
        <f>IF(AND(H18&gt;=0.4,H18&lt;=0.6,I18&gt;=0.4,I18&lt;=0.6,J18&gt;=0.4,J18&lt;=0.6,MIN(D18:G18)&gt;=7.2),"是","否")</f>
        <v/>
      </c>
    </row>
    <row r="19">
      <c r="A19" s="7" t="inlineStr">
        <is>
          <t>48 组 1</t>
        </is>
      </c>
      <c r="B19" s="7" t="inlineStr">
        <is>
          <t>i7</t>
        </is>
      </c>
      <c r="C19" s="7" t="n">
        <v>8</v>
      </c>
      <c r="D19" s="7">
        <f>COUNTIF('384对'!$AD$2:$AD$49,"A")</f>
        <v/>
      </c>
      <c r="E19" s="7">
        <f>COUNTIF('384对'!$AD$2:$AD$49,"C")</f>
        <v/>
      </c>
      <c r="F19" s="7">
        <f>COUNTIF('384对'!$AD$2:$AD$49,"G")</f>
        <v/>
      </c>
      <c r="G19" s="7">
        <f>COUNTIF('384对'!$AD$2:$AD$49,"T")</f>
        <v/>
      </c>
      <c r="H19" s="8">
        <f>(E19+F19)/48</f>
        <v/>
      </c>
      <c r="I19" s="8">
        <f>(D19+E19)/48</f>
        <v/>
      </c>
      <c r="J19" s="8">
        <f>(D19+G19)/48</f>
        <v/>
      </c>
      <c r="K19" s="7">
        <f>IF(AND(H19&gt;=0.4,H19&lt;=0.6,I19&gt;=0.4,I19&lt;=0.6,J19&gt;=0.4,J19&lt;=0.6,MIN(D19:G19)&gt;=7.2),"是","否")</f>
        <v/>
      </c>
    </row>
    <row r="20">
      <c r="A20" s="7" t="inlineStr">
        <is>
          <t>48 组 1</t>
        </is>
      </c>
      <c r="B20" s="7" t="inlineStr">
        <is>
          <t>i7</t>
        </is>
      </c>
      <c r="C20" s="7" t="n">
        <v>9</v>
      </c>
      <c r="D20" s="7">
        <f>COUNTIF('384对'!$AE$2:$AE$49,"A")</f>
        <v/>
      </c>
      <c r="E20" s="7">
        <f>COUNTIF('384对'!$AE$2:$AE$49,"C")</f>
        <v/>
      </c>
      <c r="F20" s="7">
        <f>COUNTIF('384对'!$AE$2:$AE$49,"G")</f>
        <v/>
      </c>
      <c r="G20" s="7">
        <f>COUNTIF('384对'!$AE$2:$AE$49,"T")</f>
        <v/>
      </c>
      <c r="H20" s="8">
        <f>(E20+F20)/48</f>
        <v/>
      </c>
      <c r="I20" s="8">
        <f>(D20+E20)/48</f>
        <v/>
      </c>
      <c r="J20" s="8">
        <f>(D20+G20)/48</f>
        <v/>
      </c>
      <c r="K20" s="7">
        <f>IF(AND(H20&gt;=0.4,H20&lt;=0.6,I20&gt;=0.4,I20&lt;=0.6,J20&gt;=0.4,J20&lt;=0.6,MIN(D20:G20)&gt;=7.2),"是","否")</f>
        <v/>
      </c>
    </row>
    <row r="21">
      <c r="A21" s="7" t="inlineStr">
        <is>
          <t>48 组 1</t>
        </is>
      </c>
      <c r="B21" s="7" t="inlineStr">
        <is>
          <t>i7</t>
        </is>
      </c>
      <c r="C21" s="7" t="n">
        <v>10</v>
      </c>
      <c r="D21" s="7">
        <f>COUNTIF('384对'!$AF$2:$AF$49,"A")</f>
        <v/>
      </c>
      <c r="E21" s="7">
        <f>COUNTIF('384对'!$AF$2:$AF$49,"C")</f>
        <v/>
      </c>
      <c r="F21" s="7">
        <f>COUNTIF('384对'!$AF$2:$AF$49,"G")</f>
        <v/>
      </c>
      <c r="G21" s="7">
        <f>COUNTIF('384对'!$AF$2:$AF$49,"T")</f>
        <v/>
      </c>
      <c r="H21" s="8">
        <f>(E21+F21)/48</f>
        <v/>
      </c>
      <c r="I21" s="8">
        <f>(D21+E21)/48</f>
        <v/>
      </c>
      <c r="J21" s="8">
        <f>(D21+G21)/48</f>
        <v/>
      </c>
      <c r="K21" s="7">
        <f>IF(AND(H21&gt;=0.4,H21&lt;=0.6,I21&gt;=0.4,I21&lt;=0.6,J21&gt;=0.4,J21&lt;=0.6,MIN(D21:G21)&gt;=7.2),"是","否")</f>
        <v/>
      </c>
    </row>
    <row r="22">
      <c r="A22" s="7" t="inlineStr">
        <is>
          <t>48 组 2</t>
        </is>
      </c>
      <c r="B22" s="7" t="inlineStr">
        <is>
          <t>i5</t>
        </is>
      </c>
      <c r="C22" s="7" t="n">
        <v>1</v>
      </c>
      <c r="D22" s="7">
        <f>COUNTIF('384对'!$M$50:$M$97,"A")</f>
        <v/>
      </c>
      <c r="E22" s="7">
        <f>COUNTIF('384对'!$M$50:$M$97,"C")</f>
        <v/>
      </c>
      <c r="F22" s="7">
        <f>COUNTIF('384对'!$M$50:$M$97,"G")</f>
        <v/>
      </c>
      <c r="G22" s="7">
        <f>COUNTIF('384对'!$M$50:$M$97,"T")</f>
        <v/>
      </c>
      <c r="H22" s="8">
        <f>(E22+F22)/48</f>
        <v/>
      </c>
      <c r="I22" s="8">
        <f>(D22+E22)/48</f>
        <v/>
      </c>
      <c r="J22" s="8">
        <f>(D22+G22)/48</f>
        <v/>
      </c>
      <c r="K22" s="7">
        <f>IF(AND(H22&gt;=0.4,H22&lt;=0.6,I22&gt;=0.4,I22&lt;=0.6,J22&gt;=0.4,J22&lt;=0.6,MIN(D22:G22)&gt;=7.2),"是","否")</f>
        <v/>
      </c>
    </row>
    <row r="23">
      <c r="A23" s="7" t="inlineStr">
        <is>
          <t>48 组 2</t>
        </is>
      </c>
      <c r="B23" s="7" t="inlineStr">
        <is>
          <t>i5</t>
        </is>
      </c>
      <c r="C23" s="7" t="n">
        <v>2</v>
      </c>
      <c r="D23" s="7">
        <f>COUNTIF('384对'!$N$50:$N$97,"A")</f>
        <v/>
      </c>
      <c r="E23" s="7">
        <f>COUNTIF('384对'!$N$50:$N$97,"C")</f>
        <v/>
      </c>
      <c r="F23" s="7">
        <f>COUNTIF('384对'!$N$50:$N$97,"G")</f>
        <v/>
      </c>
      <c r="G23" s="7">
        <f>COUNTIF('384对'!$N$50:$N$97,"T")</f>
        <v/>
      </c>
      <c r="H23" s="8">
        <f>(E23+F23)/48</f>
        <v/>
      </c>
      <c r="I23" s="8">
        <f>(D23+E23)/48</f>
        <v/>
      </c>
      <c r="J23" s="8">
        <f>(D23+G23)/48</f>
        <v/>
      </c>
      <c r="K23" s="7">
        <f>IF(AND(H23&gt;=0.4,H23&lt;=0.6,I23&gt;=0.4,I23&lt;=0.6,J23&gt;=0.4,J23&lt;=0.6,MIN(D23:G23)&gt;=7.2),"是","否")</f>
        <v/>
      </c>
    </row>
    <row r="24">
      <c r="A24" s="7" t="inlineStr">
        <is>
          <t>48 组 2</t>
        </is>
      </c>
      <c r="B24" s="7" t="inlineStr">
        <is>
          <t>i5</t>
        </is>
      </c>
      <c r="C24" s="7" t="n">
        <v>3</v>
      </c>
      <c r="D24" s="7">
        <f>COUNTIF('384对'!$O$50:$O$97,"A")</f>
        <v/>
      </c>
      <c r="E24" s="7">
        <f>COUNTIF('384对'!$O$50:$O$97,"C")</f>
        <v/>
      </c>
      <c r="F24" s="7">
        <f>COUNTIF('384对'!$O$50:$O$97,"G")</f>
        <v/>
      </c>
      <c r="G24" s="7">
        <f>COUNTIF('384对'!$O$50:$O$97,"T")</f>
        <v/>
      </c>
      <c r="H24" s="8">
        <f>(E24+F24)/48</f>
        <v/>
      </c>
      <c r="I24" s="8">
        <f>(D24+E24)/48</f>
        <v/>
      </c>
      <c r="J24" s="8">
        <f>(D24+G24)/48</f>
        <v/>
      </c>
      <c r="K24" s="7">
        <f>IF(AND(H24&gt;=0.4,H24&lt;=0.6,I24&gt;=0.4,I24&lt;=0.6,J24&gt;=0.4,J24&lt;=0.6,MIN(D24:G24)&gt;=7.2),"是","否")</f>
        <v/>
      </c>
    </row>
    <row r="25">
      <c r="A25" s="7" t="inlineStr">
        <is>
          <t>48 组 2</t>
        </is>
      </c>
      <c r="B25" s="7" t="inlineStr">
        <is>
          <t>i5</t>
        </is>
      </c>
      <c r="C25" s="7" t="n">
        <v>4</v>
      </c>
      <c r="D25" s="7">
        <f>COUNTIF('384对'!$P$50:$P$97,"A")</f>
        <v/>
      </c>
      <c r="E25" s="7">
        <f>COUNTIF('384对'!$P$50:$P$97,"C")</f>
        <v/>
      </c>
      <c r="F25" s="7">
        <f>COUNTIF('384对'!$P$50:$P$97,"G")</f>
        <v/>
      </c>
      <c r="G25" s="7">
        <f>COUNTIF('384对'!$P$50:$P$97,"T")</f>
        <v/>
      </c>
      <c r="H25" s="8">
        <f>(E25+F25)/48</f>
        <v/>
      </c>
      <c r="I25" s="8">
        <f>(D25+E25)/48</f>
        <v/>
      </c>
      <c r="J25" s="8">
        <f>(D25+G25)/48</f>
        <v/>
      </c>
      <c r="K25" s="7">
        <f>IF(AND(H25&gt;=0.4,H25&lt;=0.6,I25&gt;=0.4,I25&lt;=0.6,J25&gt;=0.4,J25&lt;=0.6,MIN(D25:G25)&gt;=7.2),"是","否")</f>
        <v/>
      </c>
    </row>
    <row r="26">
      <c r="A26" s="7" t="inlineStr">
        <is>
          <t>48 组 2</t>
        </is>
      </c>
      <c r="B26" s="7" t="inlineStr">
        <is>
          <t>i5</t>
        </is>
      </c>
      <c r="C26" s="7" t="n">
        <v>5</v>
      </c>
      <c r="D26" s="7">
        <f>COUNTIF('384对'!$Q$50:$Q$97,"A")</f>
        <v/>
      </c>
      <c r="E26" s="7">
        <f>COUNTIF('384对'!$Q$50:$Q$97,"C")</f>
        <v/>
      </c>
      <c r="F26" s="7">
        <f>COUNTIF('384对'!$Q$50:$Q$97,"G")</f>
        <v/>
      </c>
      <c r="G26" s="7">
        <f>COUNTIF('384对'!$Q$50:$Q$97,"T")</f>
        <v/>
      </c>
      <c r="H26" s="8">
        <f>(E26+F26)/48</f>
        <v/>
      </c>
      <c r="I26" s="8">
        <f>(D26+E26)/48</f>
        <v/>
      </c>
      <c r="J26" s="8">
        <f>(D26+G26)/48</f>
        <v/>
      </c>
      <c r="K26" s="7">
        <f>IF(AND(H26&gt;=0.4,H26&lt;=0.6,I26&gt;=0.4,I26&lt;=0.6,J26&gt;=0.4,J26&lt;=0.6,MIN(D26:G26)&gt;=7.2),"是","否")</f>
        <v/>
      </c>
    </row>
    <row r="27">
      <c r="A27" s="7" t="inlineStr">
        <is>
          <t>48 组 2</t>
        </is>
      </c>
      <c r="B27" s="7" t="inlineStr">
        <is>
          <t>i5</t>
        </is>
      </c>
      <c r="C27" s="7" t="n">
        <v>6</v>
      </c>
      <c r="D27" s="7">
        <f>COUNTIF('384对'!$R$50:$R$97,"A")</f>
        <v/>
      </c>
      <c r="E27" s="7">
        <f>COUNTIF('384对'!$R$50:$R$97,"C")</f>
        <v/>
      </c>
      <c r="F27" s="7">
        <f>COUNTIF('384对'!$R$50:$R$97,"G")</f>
        <v/>
      </c>
      <c r="G27" s="7">
        <f>COUNTIF('384对'!$R$50:$R$97,"T")</f>
        <v/>
      </c>
      <c r="H27" s="8">
        <f>(E27+F27)/48</f>
        <v/>
      </c>
      <c r="I27" s="8">
        <f>(D27+E27)/48</f>
        <v/>
      </c>
      <c r="J27" s="8">
        <f>(D27+G27)/48</f>
        <v/>
      </c>
      <c r="K27" s="7">
        <f>IF(AND(H27&gt;=0.4,H27&lt;=0.6,I27&gt;=0.4,I27&lt;=0.6,J27&gt;=0.4,J27&lt;=0.6,MIN(D27:G27)&gt;=7.2),"是","否")</f>
        <v/>
      </c>
    </row>
    <row r="28">
      <c r="A28" s="7" t="inlineStr">
        <is>
          <t>48 组 2</t>
        </is>
      </c>
      <c r="B28" s="7" t="inlineStr">
        <is>
          <t>i5</t>
        </is>
      </c>
      <c r="C28" s="7" t="n">
        <v>7</v>
      </c>
      <c r="D28" s="7">
        <f>COUNTIF('384对'!$S$50:$S$97,"A")</f>
        <v/>
      </c>
      <c r="E28" s="7">
        <f>COUNTIF('384对'!$S$50:$S$97,"C")</f>
        <v/>
      </c>
      <c r="F28" s="7">
        <f>COUNTIF('384对'!$S$50:$S$97,"G")</f>
        <v/>
      </c>
      <c r="G28" s="7">
        <f>COUNTIF('384对'!$S$50:$S$97,"T")</f>
        <v/>
      </c>
      <c r="H28" s="8">
        <f>(E28+F28)/48</f>
        <v/>
      </c>
      <c r="I28" s="8">
        <f>(D28+E28)/48</f>
        <v/>
      </c>
      <c r="J28" s="8">
        <f>(D28+G28)/48</f>
        <v/>
      </c>
      <c r="K28" s="7">
        <f>IF(AND(H28&gt;=0.4,H28&lt;=0.6,I28&gt;=0.4,I28&lt;=0.6,J28&gt;=0.4,J28&lt;=0.6,MIN(D28:G28)&gt;=7.2),"是","否")</f>
        <v/>
      </c>
    </row>
    <row r="29">
      <c r="A29" s="7" t="inlineStr">
        <is>
          <t>48 组 2</t>
        </is>
      </c>
      <c r="B29" s="7" t="inlineStr">
        <is>
          <t>i5</t>
        </is>
      </c>
      <c r="C29" s="7" t="n">
        <v>8</v>
      </c>
      <c r="D29" s="7">
        <f>COUNTIF('384对'!$T$50:$T$97,"A")</f>
        <v/>
      </c>
      <c r="E29" s="7">
        <f>COUNTIF('384对'!$T$50:$T$97,"C")</f>
        <v/>
      </c>
      <c r="F29" s="7">
        <f>COUNTIF('384对'!$T$50:$T$97,"G")</f>
        <v/>
      </c>
      <c r="G29" s="7">
        <f>COUNTIF('384对'!$T$50:$T$97,"T")</f>
        <v/>
      </c>
      <c r="H29" s="8">
        <f>(E29+F29)/48</f>
        <v/>
      </c>
      <c r="I29" s="8">
        <f>(D29+E29)/48</f>
        <v/>
      </c>
      <c r="J29" s="8">
        <f>(D29+G29)/48</f>
        <v/>
      </c>
      <c r="K29" s="7">
        <f>IF(AND(H29&gt;=0.4,H29&lt;=0.6,I29&gt;=0.4,I29&lt;=0.6,J29&gt;=0.4,J29&lt;=0.6,MIN(D29:G29)&gt;=7.2),"是","否")</f>
        <v/>
      </c>
    </row>
    <row r="30">
      <c r="A30" s="7" t="inlineStr">
        <is>
          <t>48 组 2</t>
        </is>
      </c>
      <c r="B30" s="7" t="inlineStr">
        <is>
          <t>i5</t>
        </is>
      </c>
      <c r="C30" s="7" t="n">
        <v>9</v>
      </c>
      <c r="D30" s="7">
        <f>COUNTIF('384对'!$U$50:$U$97,"A")</f>
        <v/>
      </c>
      <c r="E30" s="7">
        <f>COUNTIF('384对'!$U$50:$U$97,"C")</f>
        <v/>
      </c>
      <c r="F30" s="7">
        <f>COUNTIF('384对'!$U$50:$U$97,"G")</f>
        <v/>
      </c>
      <c r="G30" s="7">
        <f>COUNTIF('384对'!$U$50:$U$97,"T")</f>
        <v/>
      </c>
      <c r="H30" s="8">
        <f>(E30+F30)/48</f>
        <v/>
      </c>
      <c r="I30" s="8">
        <f>(D30+E30)/48</f>
        <v/>
      </c>
      <c r="J30" s="8">
        <f>(D30+G30)/48</f>
        <v/>
      </c>
      <c r="K30" s="7">
        <f>IF(AND(H30&gt;=0.4,H30&lt;=0.6,I30&gt;=0.4,I30&lt;=0.6,J30&gt;=0.4,J30&lt;=0.6,MIN(D30:G30)&gt;=7.2),"是","否")</f>
        <v/>
      </c>
    </row>
    <row r="31">
      <c r="A31" s="7" t="inlineStr">
        <is>
          <t>48 组 2</t>
        </is>
      </c>
      <c r="B31" s="7" t="inlineStr">
        <is>
          <t>i5</t>
        </is>
      </c>
      <c r="C31" s="7" t="n">
        <v>10</v>
      </c>
      <c r="D31" s="7">
        <f>COUNTIF('384对'!$V$50:$V$97,"A")</f>
        <v/>
      </c>
      <c r="E31" s="7">
        <f>COUNTIF('384对'!$V$50:$V$97,"C")</f>
        <v/>
      </c>
      <c r="F31" s="7">
        <f>COUNTIF('384对'!$V$50:$V$97,"G")</f>
        <v/>
      </c>
      <c r="G31" s="7">
        <f>COUNTIF('384对'!$V$50:$V$97,"T")</f>
        <v/>
      </c>
      <c r="H31" s="8">
        <f>(E31+F31)/48</f>
        <v/>
      </c>
      <c r="I31" s="8">
        <f>(D31+E31)/48</f>
        <v/>
      </c>
      <c r="J31" s="8">
        <f>(D31+G31)/48</f>
        <v/>
      </c>
      <c r="K31" s="7">
        <f>IF(AND(H31&gt;=0.4,H31&lt;=0.6,I31&gt;=0.4,I31&lt;=0.6,J31&gt;=0.4,J31&lt;=0.6,MIN(D31:G31)&gt;=7.2),"是","否")</f>
        <v/>
      </c>
    </row>
    <row r="32">
      <c r="A32" s="7" t="inlineStr">
        <is>
          <t>48 组 2</t>
        </is>
      </c>
      <c r="B32" s="7" t="inlineStr">
        <is>
          <t>i7</t>
        </is>
      </c>
      <c r="C32" s="7" t="n">
        <v>1</v>
      </c>
      <c r="D32" s="7">
        <f>COUNTIF('384对'!$W$50:$W$97,"A")</f>
        <v/>
      </c>
      <c r="E32" s="7">
        <f>COUNTIF('384对'!$W$50:$W$97,"C")</f>
        <v/>
      </c>
      <c r="F32" s="7">
        <f>COUNTIF('384对'!$W$50:$W$97,"G")</f>
        <v/>
      </c>
      <c r="G32" s="7">
        <f>COUNTIF('384对'!$W$50:$W$97,"T")</f>
        <v/>
      </c>
      <c r="H32" s="8">
        <f>(E32+F32)/48</f>
        <v/>
      </c>
      <c r="I32" s="8">
        <f>(D32+E32)/48</f>
        <v/>
      </c>
      <c r="J32" s="8">
        <f>(D32+G32)/48</f>
        <v/>
      </c>
      <c r="K32" s="7">
        <f>IF(AND(H32&gt;=0.4,H32&lt;=0.6,I32&gt;=0.4,I32&lt;=0.6,J32&gt;=0.4,J32&lt;=0.6,MIN(D32:G32)&gt;=7.2),"是","否")</f>
        <v/>
      </c>
    </row>
    <row r="33">
      <c r="A33" s="7" t="inlineStr">
        <is>
          <t>48 组 2</t>
        </is>
      </c>
      <c r="B33" s="7" t="inlineStr">
        <is>
          <t>i7</t>
        </is>
      </c>
      <c r="C33" s="7" t="n">
        <v>2</v>
      </c>
      <c r="D33" s="7">
        <f>COUNTIF('384对'!$X$50:$X$97,"A")</f>
        <v/>
      </c>
      <c r="E33" s="7">
        <f>COUNTIF('384对'!$X$50:$X$97,"C")</f>
        <v/>
      </c>
      <c r="F33" s="7">
        <f>COUNTIF('384对'!$X$50:$X$97,"G")</f>
        <v/>
      </c>
      <c r="G33" s="7">
        <f>COUNTIF('384对'!$X$50:$X$97,"T")</f>
        <v/>
      </c>
      <c r="H33" s="8">
        <f>(E33+F33)/48</f>
        <v/>
      </c>
      <c r="I33" s="8">
        <f>(D33+E33)/48</f>
        <v/>
      </c>
      <c r="J33" s="8">
        <f>(D33+G33)/48</f>
        <v/>
      </c>
      <c r="K33" s="7">
        <f>IF(AND(H33&gt;=0.4,H33&lt;=0.6,I33&gt;=0.4,I33&lt;=0.6,J33&gt;=0.4,J33&lt;=0.6,MIN(D33:G33)&gt;=7.2),"是","否")</f>
        <v/>
      </c>
    </row>
    <row r="34">
      <c r="A34" s="7" t="inlineStr">
        <is>
          <t>48 组 2</t>
        </is>
      </c>
      <c r="B34" s="7" t="inlineStr">
        <is>
          <t>i7</t>
        </is>
      </c>
      <c r="C34" s="7" t="n">
        <v>3</v>
      </c>
      <c r="D34" s="7">
        <f>COUNTIF('384对'!$Y$50:$Y$97,"A")</f>
        <v/>
      </c>
      <c r="E34" s="7">
        <f>COUNTIF('384对'!$Y$50:$Y$97,"C")</f>
        <v/>
      </c>
      <c r="F34" s="7">
        <f>COUNTIF('384对'!$Y$50:$Y$97,"G")</f>
        <v/>
      </c>
      <c r="G34" s="7">
        <f>COUNTIF('384对'!$Y$50:$Y$97,"T")</f>
        <v/>
      </c>
      <c r="H34" s="8">
        <f>(E34+F34)/48</f>
        <v/>
      </c>
      <c r="I34" s="8">
        <f>(D34+E34)/48</f>
        <v/>
      </c>
      <c r="J34" s="8">
        <f>(D34+G34)/48</f>
        <v/>
      </c>
      <c r="K34" s="7">
        <f>IF(AND(H34&gt;=0.4,H34&lt;=0.6,I34&gt;=0.4,I34&lt;=0.6,J34&gt;=0.4,J34&lt;=0.6,MIN(D34:G34)&gt;=7.2),"是","否")</f>
        <v/>
      </c>
    </row>
    <row r="35">
      <c r="A35" s="7" t="inlineStr">
        <is>
          <t>48 组 2</t>
        </is>
      </c>
      <c r="B35" s="7" t="inlineStr">
        <is>
          <t>i7</t>
        </is>
      </c>
      <c r="C35" s="7" t="n">
        <v>4</v>
      </c>
      <c r="D35" s="7">
        <f>COUNTIF('384对'!$Z$50:$Z$97,"A")</f>
        <v/>
      </c>
      <c r="E35" s="7">
        <f>COUNTIF('384对'!$Z$50:$Z$97,"C")</f>
        <v/>
      </c>
      <c r="F35" s="7">
        <f>COUNTIF('384对'!$Z$50:$Z$97,"G")</f>
        <v/>
      </c>
      <c r="G35" s="7">
        <f>COUNTIF('384对'!$Z$50:$Z$97,"T")</f>
        <v/>
      </c>
      <c r="H35" s="8">
        <f>(E35+F35)/48</f>
        <v/>
      </c>
      <c r="I35" s="8">
        <f>(D35+E35)/48</f>
        <v/>
      </c>
      <c r="J35" s="8">
        <f>(D35+G35)/48</f>
        <v/>
      </c>
      <c r="K35" s="7">
        <f>IF(AND(H35&gt;=0.4,H35&lt;=0.6,I35&gt;=0.4,I35&lt;=0.6,J35&gt;=0.4,J35&lt;=0.6,MIN(D35:G35)&gt;=7.2),"是","否")</f>
        <v/>
      </c>
    </row>
    <row r="36">
      <c r="A36" s="7" t="inlineStr">
        <is>
          <t>48 组 2</t>
        </is>
      </c>
      <c r="B36" s="7" t="inlineStr">
        <is>
          <t>i7</t>
        </is>
      </c>
      <c r="C36" s="7" t="n">
        <v>5</v>
      </c>
      <c r="D36" s="7">
        <f>COUNTIF('384对'!$AA$50:$AA$97,"A")</f>
        <v/>
      </c>
      <c r="E36" s="7">
        <f>COUNTIF('384对'!$AA$50:$AA$97,"C")</f>
        <v/>
      </c>
      <c r="F36" s="7">
        <f>COUNTIF('384对'!$AA$50:$AA$97,"G")</f>
        <v/>
      </c>
      <c r="G36" s="7">
        <f>COUNTIF('384对'!$AA$50:$AA$97,"T")</f>
        <v/>
      </c>
      <c r="H36" s="8">
        <f>(E36+F36)/48</f>
        <v/>
      </c>
      <c r="I36" s="8">
        <f>(D36+E36)/48</f>
        <v/>
      </c>
      <c r="J36" s="8">
        <f>(D36+G36)/48</f>
        <v/>
      </c>
      <c r="K36" s="7">
        <f>IF(AND(H36&gt;=0.4,H36&lt;=0.6,I36&gt;=0.4,I36&lt;=0.6,J36&gt;=0.4,J36&lt;=0.6,MIN(D36:G36)&gt;=7.2),"是","否")</f>
        <v/>
      </c>
    </row>
    <row r="37">
      <c r="A37" s="7" t="inlineStr">
        <is>
          <t>48 组 2</t>
        </is>
      </c>
      <c r="B37" s="7" t="inlineStr">
        <is>
          <t>i7</t>
        </is>
      </c>
      <c r="C37" s="7" t="n">
        <v>6</v>
      </c>
      <c r="D37" s="7">
        <f>COUNTIF('384对'!$AB$50:$AB$97,"A")</f>
        <v/>
      </c>
      <c r="E37" s="7">
        <f>COUNTIF('384对'!$AB$50:$AB$97,"C")</f>
        <v/>
      </c>
      <c r="F37" s="7">
        <f>COUNTIF('384对'!$AB$50:$AB$97,"G")</f>
        <v/>
      </c>
      <c r="G37" s="7">
        <f>COUNTIF('384对'!$AB$50:$AB$97,"T")</f>
        <v/>
      </c>
      <c r="H37" s="8">
        <f>(E37+F37)/48</f>
        <v/>
      </c>
      <c r="I37" s="8">
        <f>(D37+E37)/48</f>
        <v/>
      </c>
      <c r="J37" s="8">
        <f>(D37+G37)/48</f>
        <v/>
      </c>
      <c r="K37" s="7">
        <f>IF(AND(H37&gt;=0.4,H37&lt;=0.6,I37&gt;=0.4,I37&lt;=0.6,J37&gt;=0.4,J37&lt;=0.6,MIN(D37:G37)&gt;=7.2),"是","否")</f>
        <v/>
      </c>
    </row>
    <row r="38">
      <c r="A38" s="7" t="inlineStr">
        <is>
          <t>48 组 2</t>
        </is>
      </c>
      <c r="B38" s="7" t="inlineStr">
        <is>
          <t>i7</t>
        </is>
      </c>
      <c r="C38" s="7" t="n">
        <v>7</v>
      </c>
      <c r="D38" s="7">
        <f>COUNTIF('384对'!$AC$50:$AC$97,"A")</f>
        <v/>
      </c>
      <c r="E38" s="7">
        <f>COUNTIF('384对'!$AC$50:$AC$97,"C")</f>
        <v/>
      </c>
      <c r="F38" s="7">
        <f>COUNTIF('384对'!$AC$50:$AC$97,"G")</f>
        <v/>
      </c>
      <c r="G38" s="7">
        <f>COUNTIF('384对'!$AC$50:$AC$97,"T")</f>
        <v/>
      </c>
      <c r="H38" s="8">
        <f>(E38+F38)/48</f>
        <v/>
      </c>
      <c r="I38" s="8">
        <f>(D38+E38)/48</f>
        <v/>
      </c>
      <c r="J38" s="8">
        <f>(D38+G38)/48</f>
        <v/>
      </c>
      <c r="K38" s="7">
        <f>IF(AND(H38&gt;=0.4,H38&lt;=0.6,I38&gt;=0.4,I38&lt;=0.6,J38&gt;=0.4,J38&lt;=0.6,MIN(D38:G38)&gt;=7.2),"是","否")</f>
        <v/>
      </c>
    </row>
    <row r="39">
      <c r="A39" s="7" t="inlineStr">
        <is>
          <t>48 组 2</t>
        </is>
      </c>
      <c r="B39" s="7" t="inlineStr">
        <is>
          <t>i7</t>
        </is>
      </c>
      <c r="C39" s="7" t="n">
        <v>8</v>
      </c>
      <c r="D39" s="7">
        <f>COUNTIF('384对'!$AD$50:$AD$97,"A")</f>
        <v/>
      </c>
      <c r="E39" s="7">
        <f>COUNTIF('384对'!$AD$50:$AD$97,"C")</f>
        <v/>
      </c>
      <c r="F39" s="7">
        <f>COUNTIF('384对'!$AD$50:$AD$97,"G")</f>
        <v/>
      </c>
      <c r="G39" s="7">
        <f>COUNTIF('384对'!$AD$50:$AD$97,"T")</f>
        <v/>
      </c>
      <c r="H39" s="8">
        <f>(E39+F39)/48</f>
        <v/>
      </c>
      <c r="I39" s="8">
        <f>(D39+E39)/48</f>
        <v/>
      </c>
      <c r="J39" s="8">
        <f>(D39+G39)/48</f>
        <v/>
      </c>
      <c r="K39" s="7">
        <f>IF(AND(H39&gt;=0.4,H39&lt;=0.6,I39&gt;=0.4,I39&lt;=0.6,J39&gt;=0.4,J39&lt;=0.6,MIN(D39:G39)&gt;=7.2),"是","否")</f>
        <v/>
      </c>
    </row>
    <row r="40">
      <c r="A40" s="7" t="inlineStr">
        <is>
          <t>48 组 2</t>
        </is>
      </c>
      <c r="B40" s="7" t="inlineStr">
        <is>
          <t>i7</t>
        </is>
      </c>
      <c r="C40" s="7" t="n">
        <v>9</v>
      </c>
      <c r="D40" s="7">
        <f>COUNTIF('384对'!$AE$50:$AE$97,"A")</f>
        <v/>
      </c>
      <c r="E40" s="7">
        <f>COUNTIF('384对'!$AE$50:$AE$97,"C")</f>
        <v/>
      </c>
      <c r="F40" s="7">
        <f>COUNTIF('384对'!$AE$50:$AE$97,"G")</f>
        <v/>
      </c>
      <c r="G40" s="7">
        <f>COUNTIF('384对'!$AE$50:$AE$97,"T")</f>
        <v/>
      </c>
      <c r="H40" s="8">
        <f>(E40+F40)/48</f>
        <v/>
      </c>
      <c r="I40" s="8">
        <f>(D40+E40)/48</f>
        <v/>
      </c>
      <c r="J40" s="8">
        <f>(D40+G40)/48</f>
        <v/>
      </c>
      <c r="K40" s="7">
        <f>IF(AND(H40&gt;=0.4,H40&lt;=0.6,I40&gt;=0.4,I40&lt;=0.6,J40&gt;=0.4,J40&lt;=0.6,MIN(D40:G40)&gt;=7.2),"是","否")</f>
        <v/>
      </c>
    </row>
    <row r="41">
      <c r="A41" s="7" t="inlineStr">
        <is>
          <t>48 组 2</t>
        </is>
      </c>
      <c r="B41" s="7" t="inlineStr">
        <is>
          <t>i7</t>
        </is>
      </c>
      <c r="C41" s="7" t="n">
        <v>10</v>
      </c>
      <c r="D41" s="7">
        <f>COUNTIF('384对'!$AF$50:$AF$97,"A")</f>
        <v/>
      </c>
      <c r="E41" s="7">
        <f>COUNTIF('384对'!$AF$50:$AF$97,"C")</f>
        <v/>
      </c>
      <c r="F41" s="7">
        <f>COUNTIF('384对'!$AF$50:$AF$97,"G")</f>
        <v/>
      </c>
      <c r="G41" s="7">
        <f>COUNTIF('384对'!$AF$50:$AF$97,"T")</f>
        <v/>
      </c>
      <c r="H41" s="8">
        <f>(E41+F41)/48</f>
        <v/>
      </c>
      <c r="I41" s="8">
        <f>(D41+E41)/48</f>
        <v/>
      </c>
      <c r="J41" s="8">
        <f>(D41+G41)/48</f>
        <v/>
      </c>
      <c r="K41" s="7">
        <f>IF(AND(H41&gt;=0.4,H41&lt;=0.6,I41&gt;=0.4,I41&lt;=0.6,J41&gt;=0.4,J41&lt;=0.6,MIN(D41:G41)&gt;=7.2),"是","否")</f>
        <v/>
      </c>
    </row>
    <row r="42">
      <c r="A42" s="7" t="inlineStr">
        <is>
          <t>48 组 3</t>
        </is>
      </c>
      <c r="B42" s="7" t="inlineStr">
        <is>
          <t>i5</t>
        </is>
      </c>
      <c r="C42" s="7" t="n">
        <v>1</v>
      </c>
      <c r="D42" s="7">
        <f>COUNTIF('384对'!$M$98:$M$145,"A")</f>
        <v/>
      </c>
      <c r="E42" s="7">
        <f>COUNTIF('384对'!$M$98:$M$145,"C")</f>
        <v/>
      </c>
      <c r="F42" s="7">
        <f>COUNTIF('384对'!$M$98:$M$145,"G")</f>
        <v/>
      </c>
      <c r="G42" s="7">
        <f>COUNTIF('384对'!$M$98:$M$145,"T")</f>
        <v/>
      </c>
      <c r="H42" s="8">
        <f>(E42+F42)/48</f>
        <v/>
      </c>
      <c r="I42" s="8">
        <f>(D42+E42)/48</f>
        <v/>
      </c>
      <c r="J42" s="8">
        <f>(D42+G42)/48</f>
        <v/>
      </c>
      <c r="K42" s="7">
        <f>IF(AND(H42&gt;=0.4,H42&lt;=0.6,I42&gt;=0.4,I42&lt;=0.6,J42&gt;=0.4,J42&lt;=0.6,MIN(D42:G42)&gt;=7.2),"是","否")</f>
        <v/>
      </c>
    </row>
    <row r="43">
      <c r="A43" s="7" t="inlineStr">
        <is>
          <t>48 组 3</t>
        </is>
      </c>
      <c r="B43" s="7" t="inlineStr">
        <is>
          <t>i5</t>
        </is>
      </c>
      <c r="C43" s="7" t="n">
        <v>2</v>
      </c>
      <c r="D43" s="7">
        <f>COUNTIF('384对'!$N$98:$N$145,"A")</f>
        <v/>
      </c>
      <c r="E43" s="7">
        <f>COUNTIF('384对'!$N$98:$N$145,"C")</f>
        <v/>
      </c>
      <c r="F43" s="7">
        <f>COUNTIF('384对'!$N$98:$N$145,"G")</f>
        <v/>
      </c>
      <c r="G43" s="7">
        <f>COUNTIF('384对'!$N$98:$N$145,"T")</f>
        <v/>
      </c>
      <c r="H43" s="8">
        <f>(E43+F43)/48</f>
        <v/>
      </c>
      <c r="I43" s="8">
        <f>(D43+E43)/48</f>
        <v/>
      </c>
      <c r="J43" s="8">
        <f>(D43+G43)/48</f>
        <v/>
      </c>
      <c r="K43" s="7">
        <f>IF(AND(H43&gt;=0.4,H43&lt;=0.6,I43&gt;=0.4,I43&lt;=0.6,J43&gt;=0.4,J43&lt;=0.6,MIN(D43:G43)&gt;=7.2),"是","否")</f>
        <v/>
      </c>
    </row>
    <row r="44">
      <c r="A44" s="7" t="inlineStr">
        <is>
          <t>48 组 3</t>
        </is>
      </c>
      <c r="B44" s="7" t="inlineStr">
        <is>
          <t>i5</t>
        </is>
      </c>
      <c r="C44" s="7" t="n">
        <v>3</v>
      </c>
      <c r="D44" s="7">
        <f>COUNTIF('384对'!$O$98:$O$145,"A")</f>
        <v/>
      </c>
      <c r="E44" s="7">
        <f>COUNTIF('384对'!$O$98:$O$145,"C")</f>
        <v/>
      </c>
      <c r="F44" s="7">
        <f>COUNTIF('384对'!$O$98:$O$145,"G")</f>
        <v/>
      </c>
      <c r="G44" s="7">
        <f>COUNTIF('384对'!$O$98:$O$145,"T")</f>
        <v/>
      </c>
      <c r="H44" s="8">
        <f>(E44+F44)/48</f>
        <v/>
      </c>
      <c r="I44" s="8">
        <f>(D44+E44)/48</f>
        <v/>
      </c>
      <c r="J44" s="8">
        <f>(D44+G44)/48</f>
        <v/>
      </c>
      <c r="K44" s="7">
        <f>IF(AND(H44&gt;=0.4,H44&lt;=0.6,I44&gt;=0.4,I44&lt;=0.6,J44&gt;=0.4,J44&lt;=0.6,MIN(D44:G44)&gt;=7.2),"是","否")</f>
        <v/>
      </c>
    </row>
    <row r="45">
      <c r="A45" s="7" t="inlineStr">
        <is>
          <t>48 组 3</t>
        </is>
      </c>
      <c r="B45" s="7" t="inlineStr">
        <is>
          <t>i5</t>
        </is>
      </c>
      <c r="C45" s="7" t="n">
        <v>4</v>
      </c>
      <c r="D45" s="7">
        <f>COUNTIF('384对'!$P$98:$P$145,"A")</f>
        <v/>
      </c>
      <c r="E45" s="7">
        <f>COUNTIF('384对'!$P$98:$P$145,"C")</f>
        <v/>
      </c>
      <c r="F45" s="7">
        <f>COUNTIF('384对'!$P$98:$P$145,"G")</f>
        <v/>
      </c>
      <c r="G45" s="7">
        <f>COUNTIF('384对'!$P$98:$P$145,"T")</f>
        <v/>
      </c>
      <c r="H45" s="8">
        <f>(E45+F45)/48</f>
        <v/>
      </c>
      <c r="I45" s="8">
        <f>(D45+E45)/48</f>
        <v/>
      </c>
      <c r="J45" s="8">
        <f>(D45+G45)/48</f>
        <v/>
      </c>
      <c r="K45" s="7">
        <f>IF(AND(H45&gt;=0.4,H45&lt;=0.6,I45&gt;=0.4,I45&lt;=0.6,J45&gt;=0.4,J45&lt;=0.6,MIN(D45:G45)&gt;=7.2),"是","否")</f>
        <v/>
      </c>
    </row>
    <row r="46">
      <c r="A46" s="7" t="inlineStr">
        <is>
          <t>48 组 3</t>
        </is>
      </c>
      <c r="B46" s="7" t="inlineStr">
        <is>
          <t>i5</t>
        </is>
      </c>
      <c r="C46" s="7" t="n">
        <v>5</v>
      </c>
      <c r="D46" s="7">
        <f>COUNTIF('384对'!$Q$98:$Q$145,"A")</f>
        <v/>
      </c>
      <c r="E46" s="7">
        <f>COUNTIF('384对'!$Q$98:$Q$145,"C")</f>
        <v/>
      </c>
      <c r="F46" s="7">
        <f>COUNTIF('384对'!$Q$98:$Q$145,"G")</f>
        <v/>
      </c>
      <c r="G46" s="7">
        <f>COUNTIF('384对'!$Q$98:$Q$145,"T")</f>
        <v/>
      </c>
      <c r="H46" s="8">
        <f>(E46+F46)/48</f>
        <v/>
      </c>
      <c r="I46" s="8">
        <f>(D46+E46)/48</f>
        <v/>
      </c>
      <c r="J46" s="8">
        <f>(D46+G46)/48</f>
        <v/>
      </c>
      <c r="K46" s="7">
        <f>IF(AND(H46&gt;=0.4,H46&lt;=0.6,I46&gt;=0.4,I46&lt;=0.6,J46&gt;=0.4,J46&lt;=0.6,MIN(D46:G46)&gt;=7.2),"是","否")</f>
        <v/>
      </c>
    </row>
    <row r="47">
      <c r="A47" s="7" t="inlineStr">
        <is>
          <t>48 组 3</t>
        </is>
      </c>
      <c r="B47" s="7" t="inlineStr">
        <is>
          <t>i5</t>
        </is>
      </c>
      <c r="C47" s="7" t="n">
        <v>6</v>
      </c>
      <c r="D47" s="7">
        <f>COUNTIF('384对'!$R$98:$R$145,"A")</f>
        <v/>
      </c>
      <c r="E47" s="7">
        <f>COUNTIF('384对'!$R$98:$R$145,"C")</f>
        <v/>
      </c>
      <c r="F47" s="7">
        <f>COUNTIF('384对'!$R$98:$R$145,"G")</f>
        <v/>
      </c>
      <c r="G47" s="7">
        <f>COUNTIF('384对'!$R$98:$R$145,"T")</f>
        <v/>
      </c>
      <c r="H47" s="8">
        <f>(E47+F47)/48</f>
        <v/>
      </c>
      <c r="I47" s="8">
        <f>(D47+E47)/48</f>
        <v/>
      </c>
      <c r="J47" s="8">
        <f>(D47+G47)/48</f>
        <v/>
      </c>
      <c r="K47" s="7">
        <f>IF(AND(H47&gt;=0.4,H47&lt;=0.6,I47&gt;=0.4,I47&lt;=0.6,J47&gt;=0.4,J47&lt;=0.6,MIN(D47:G47)&gt;=7.2),"是","否")</f>
        <v/>
      </c>
    </row>
    <row r="48">
      <c r="A48" s="7" t="inlineStr">
        <is>
          <t>48 组 3</t>
        </is>
      </c>
      <c r="B48" s="7" t="inlineStr">
        <is>
          <t>i5</t>
        </is>
      </c>
      <c r="C48" s="7" t="n">
        <v>7</v>
      </c>
      <c r="D48" s="7">
        <f>COUNTIF('384对'!$S$98:$S$145,"A")</f>
        <v/>
      </c>
      <c r="E48" s="7">
        <f>COUNTIF('384对'!$S$98:$S$145,"C")</f>
        <v/>
      </c>
      <c r="F48" s="7">
        <f>COUNTIF('384对'!$S$98:$S$145,"G")</f>
        <v/>
      </c>
      <c r="G48" s="7">
        <f>COUNTIF('384对'!$S$98:$S$145,"T")</f>
        <v/>
      </c>
      <c r="H48" s="8">
        <f>(E48+F48)/48</f>
        <v/>
      </c>
      <c r="I48" s="8">
        <f>(D48+E48)/48</f>
        <v/>
      </c>
      <c r="J48" s="8">
        <f>(D48+G48)/48</f>
        <v/>
      </c>
      <c r="K48" s="7">
        <f>IF(AND(H48&gt;=0.4,H48&lt;=0.6,I48&gt;=0.4,I48&lt;=0.6,J48&gt;=0.4,J48&lt;=0.6,MIN(D48:G48)&gt;=7.2),"是","否")</f>
        <v/>
      </c>
    </row>
    <row r="49">
      <c r="A49" s="7" t="inlineStr">
        <is>
          <t>48 组 3</t>
        </is>
      </c>
      <c r="B49" s="7" t="inlineStr">
        <is>
          <t>i5</t>
        </is>
      </c>
      <c r="C49" s="7" t="n">
        <v>8</v>
      </c>
      <c r="D49" s="7">
        <f>COUNTIF('384对'!$T$98:$T$145,"A")</f>
        <v/>
      </c>
      <c r="E49" s="7">
        <f>COUNTIF('384对'!$T$98:$T$145,"C")</f>
        <v/>
      </c>
      <c r="F49" s="7">
        <f>COUNTIF('384对'!$T$98:$T$145,"G")</f>
        <v/>
      </c>
      <c r="G49" s="7">
        <f>COUNTIF('384对'!$T$98:$T$145,"T")</f>
        <v/>
      </c>
      <c r="H49" s="8">
        <f>(E49+F49)/48</f>
        <v/>
      </c>
      <c r="I49" s="8">
        <f>(D49+E49)/48</f>
        <v/>
      </c>
      <c r="J49" s="8">
        <f>(D49+G49)/48</f>
        <v/>
      </c>
      <c r="K49" s="7">
        <f>IF(AND(H49&gt;=0.4,H49&lt;=0.6,I49&gt;=0.4,I49&lt;=0.6,J49&gt;=0.4,J49&lt;=0.6,MIN(D49:G49)&gt;=7.2),"是","否")</f>
        <v/>
      </c>
    </row>
    <row r="50">
      <c r="A50" s="7" t="inlineStr">
        <is>
          <t>48 组 3</t>
        </is>
      </c>
      <c r="B50" s="7" t="inlineStr">
        <is>
          <t>i5</t>
        </is>
      </c>
      <c r="C50" s="7" t="n">
        <v>9</v>
      </c>
      <c r="D50" s="7">
        <f>COUNTIF('384对'!$U$98:$U$145,"A")</f>
        <v/>
      </c>
      <c r="E50" s="7">
        <f>COUNTIF('384对'!$U$98:$U$145,"C")</f>
        <v/>
      </c>
      <c r="F50" s="7">
        <f>COUNTIF('384对'!$U$98:$U$145,"G")</f>
        <v/>
      </c>
      <c r="G50" s="7">
        <f>COUNTIF('384对'!$U$98:$U$145,"T")</f>
        <v/>
      </c>
      <c r="H50" s="8">
        <f>(E50+F50)/48</f>
        <v/>
      </c>
      <c r="I50" s="8">
        <f>(D50+E50)/48</f>
        <v/>
      </c>
      <c r="J50" s="8">
        <f>(D50+G50)/48</f>
        <v/>
      </c>
      <c r="K50" s="7">
        <f>IF(AND(H50&gt;=0.4,H50&lt;=0.6,I50&gt;=0.4,I50&lt;=0.6,J50&gt;=0.4,J50&lt;=0.6,MIN(D50:G50)&gt;=7.2),"是","否")</f>
        <v/>
      </c>
    </row>
    <row r="51">
      <c r="A51" s="7" t="inlineStr">
        <is>
          <t>48 组 3</t>
        </is>
      </c>
      <c r="B51" s="7" t="inlineStr">
        <is>
          <t>i5</t>
        </is>
      </c>
      <c r="C51" s="7" t="n">
        <v>10</v>
      </c>
      <c r="D51" s="7">
        <f>COUNTIF('384对'!$V$98:$V$145,"A")</f>
        <v/>
      </c>
      <c r="E51" s="7">
        <f>COUNTIF('384对'!$V$98:$V$145,"C")</f>
        <v/>
      </c>
      <c r="F51" s="7">
        <f>COUNTIF('384对'!$V$98:$V$145,"G")</f>
        <v/>
      </c>
      <c r="G51" s="7">
        <f>COUNTIF('384对'!$V$98:$V$145,"T")</f>
        <v/>
      </c>
      <c r="H51" s="8">
        <f>(E51+F51)/48</f>
        <v/>
      </c>
      <c r="I51" s="8">
        <f>(D51+E51)/48</f>
        <v/>
      </c>
      <c r="J51" s="8">
        <f>(D51+G51)/48</f>
        <v/>
      </c>
      <c r="K51" s="7">
        <f>IF(AND(H51&gt;=0.4,H51&lt;=0.6,I51&gt;=0.4,I51&lt;=0.6,J51&gt;=0.4,J51&lt;=0.6,MIN(D51:G51)&gt;=7.2),"是","否")</f>
        <v/>
      </c>
    </row>
    <row r="52">
      <c r="A52" s="7" t="inlineStr">
        <is>
          <t>48 组 3</t>
        </is>
      </c>
      <c r="B52" s="7" t="inlineStr">
        <is>
          <t>i7</t>
        </is>
      </c>
      <c r="C52" s="7" t="n">
        <v>1</v>
      </c>
      <c r="D52" s="7">
        <f>COUNTIF('384对'!$W$98:$W$145,"A")</f>
        <v/>
      </c>
      <c r="E52" s="7">
        <f>COUNTIF('384对'!$W$98:$W$145,"C")</f>
        <v/>
      </c>
      <c r="F52" s="7">
        <f>COUNTIF('384对'!$W$98:$W$145,"G")</f>
        <v/>
      </c>
      <c r="G52" s="7">
        <f>COUNTIF('384对'!$W$98:$W$145,"T")</f>
        <v/>
      </c>
      <c r="H52" s="8">
        <f>(E52+F52)/48</f>
        <v/>
      </c>
      <c r="I52" s="8">
        <f>(D52+E52)/48</f>
        <v/>
      </c>
      <c r="J52" s="8">
        <f>(D52+G52)/48</f>
        <v/>
      </c>
      <c r="K52" s="7">
        <f>IF(AND(H52&gt;=0.4,H52&lt;=0.6,I52&gt;=0.4,I52&lt;=0.6,J52&gt;=0.4,J52&lt;=0.6,MIN(D52:G52)&gt;=7.2),"是","否")</f>
        <v/>
      </c>
    </row>
    <row r="53">
      <c r="A53" s="7" t="inlineStr">
        <is>
          <t>48 组 3</t>
        </is>
      </c>
      <c r="B53" s="7" t="inlineStr">
        <is>
          <t>i7</t>
        </is>
      </c>
      <c r="C53" s="7" t="n">
        <v>2</v>
      </c>
      <c r="D53" s="7">
        <f>COUNTIF('384对'!$X$98:$X$145,"A")</f>
        <v/>
      </c>
      <c r="E53" s="7">
        <f>COUNTIF('384对'!$X$98:$X$145,"C")</f>
        <v/>
      </c>
      <c r="F53" s="7">
        <f>COUNTIF('384对'!$X$98:$X$145,"G")</f>
        <v/>
      </c>
      <c r="G53" s="7">
        <f>COUNTIF('384对'!$X$98:$X$145,"T")</f>
        <v/>
      </c>
      <c r="H53" s="8">
        <f>(E53+F53)/48</f>
        <v/>
      </c>
      <c r="I53" s="8">
        <f>(D53+E53)/48</f>
        <v/>
      </c>
      <c r="J53" s="8">
        <f>(D53+G53)/48</f>
        <v/>
      </c>
      <c r="K53" s="7">
        <f>IF(AND(H53&gt;=0.4,H53&lt;=0.6,I53&gt;=0.4,I53&lt;=0.6,J53&gt;=0.4,J53&lt;=0.6,MIN(D53:G53)&gt;=7.2),"是","否")</f>
        <v/>
      </c>
    </row>
    <row r="54">
      <c r="A54" s="7" t="inlineStr">
        <is>
          <t>48 组 3</t>
        </is>
      </c>
      <c r="B54" s="7" t="inlineStr">
        <is>
          <t>i7</t>
        </is>
      </c>
      <c r="C54" s="7" t="n">
        <v>3</v>
      </c>
      <c r="D54" s="7">
        <f>COUNTIF('384对'!$Y$98:$Y$145,"A")</f>
        <v/>
      </c>
      <c r="E54" s="7">
        <f>COUNTIF('384对'!$Y$98:$Y$145,"C")</f>
        <v/>
      </c>
      <c r="F54" s="7">
        <f>COUNTIF('384对'!$Y$98:$Y$145,"G")</f>
        <v/>
      </c>
      <c r="G54" s="7">
        <f>COUNTIF('384对'!$Y$98:$Y$145,"T")</f>
        <v/>
      </c>
      <c r="H54" s="8">
        <f>(E54+F54)/48</f>
        <v/>
      </c>
      <c r="I54" s="8">
        <f>(D54+E54)/48</f>
        <v/>
      </c>
      <c r="J54" s="8">
        <f>(D54+G54)/48</f>
        <v/>
      </c>
      <c r="K54" s="7">
        <f>IF(AND(H54&gt;=0.4,H54&lt;=0.6,I54&gt;=0.4,I54&lt;=0.6,J54&gt;=0.4,J54&lt;=0.6,MIN(D54:G54)&gt;=7.2),"是","否")</f>
        <v/>
      </c>
    </row>
    <row r="55">
      <c r="A55" s="7" t="inlineStr">
        <is>
          <t>48 组 3</t>
        </is>
      </c>
      <c r="B55" s="7" t="inlineStr">
        <is>
          <t>i7</t>
        </is>
      </c>
      <c r="C55" s="7" t="n">
        <v>4</v>
      </c>
      <c r="D55" s="7">
        <f>COUNTIF('384对'!$Z$98:$Z$145,"A")</f>
        <v/>
      </c>
      <c r="E55" s="7">
        <f>COUNTIF('384对'!$Z$98:$Z$145,"C")</f>
        <v/>
      </c>
      <c r="F55" s="7">
        <f>COUNTIF('384对'!$Z$98:$Z$145,"G")</f>
        <v/>
      </c>
      <c r="G55" s="7">
        <f>COUNTIF('384对'!$Z$98:$Z$145,"T")</f>
        <v/>
      </c>
      <c r="H55" s="8">
        <f>(E55+F55)/48</f>
        <v/>
      </c>
      <c r="I55" s="8">
        <f>(D55+E55)/48</f>
        <v/>
      </c>
      <c r="J55" s="8">
        <f>(D55+G55)/48</f>
        <v/>
      </c>
      <c r="K55" s="7">
        <f>IF(AND(H55&gt;=0.4,H55&lt;=0.6,I55&gt;=0.4,I55&lt;=0.6,J55&gt;=0.4,J55&lt;=0.6,MIN(D55:G55)&gt;=7.2),"是","否")</f>
        <v/>
      </c>
    </row>
    <row r="56">
      <c r="A56" s="7" t="inlineStr">
        <is>
          <t>48 组 3</t>
        </is>
      </c>
      <c r="B56" s="7" t="inlineStr">
        <is>
          <t>i7</t>
        </is>
      </c>
      <c r="C56" s="7" t="n">
        <v>5</v>
      </c>
      <c r="D56" s="7">
        <f>COUNTIF('384对'!$AA$98:$AA$145,"A")</f>
        <v/>
      </c>
      <c r="E56" s="7">
        <f>COUNTIF('384对'!$AA$98:$AA$145,"C")</f>
        <v/>
      </c>
      <c r="F56" s="7">
        <f>COUNTIF('384对'!$AA$98:$AA$145,"G")</f>
        <v/>
      </c>
      <c r="G56" s="7">
        <f>COUNTIF('384对'!$AA$98:$AA$145,"T")</f>
        <v/>
      </c>
      <c r="H56" s="8">
        <f>(E56+F56)/48</f>
        <v/>
      </c>
      <c r="I56" s="8">
        <f>(D56+E56)/48</f>
        <v/>
      </c>
      <c r="J56" s="8">
        <f>(D56+G56)/48</f>
        <v/>
      </c>
      <c r="K56" s="7">
        <f>IF(AND(H56&gt;=0.4,H56&lt;=0.6,I56&gt;=0.4,I56&lt;=0.6,J56&gt;=0.4,J56&lt;=0.6,MIN(D56:G56)&gt;=7.2),"是","否")</f>
        <v/>
      </c>
    </row>
    <row r="57">
      <c r="A57" s="7" t="inlineStr">
        <is>
          <t>48 组 3</t>
        </is>
      </c>
      <c r="B57" s="7" t="inlineStr">
        <is>
          <t>i7</t>
        </is>
      </c>
      <c r="C57" s="7" t="n">
        <v>6</v>
      </c>
      <c r="D57" s="7">
        <f>COUNTIF('384对'!$AB$98:$AB$145,"A")</f>
        <v/>
      </c>
      <c r="E57" s="7">
        <f>COUNTIF('384对'!$AB$98:$AB$145,"C")</f>
        <v/>
      </c>
      <c r="F57" s="7">
        <f>COUNTIF('384对'!$AB$98:$AB$145,"G")</f>
        <v/>
      </c>
      <c r="G57" s="7">
        <f>COUNTIF('384对'!$AB$98:$AB$145,"T")</f>
        <v/>
      </c>
      <c r="H57" s="8">
        <f>(E57+F57)/48</f>
        <v/>
      </c>
      <c r="I57" s="8">
        <f>(D57+E57)/48</f>
        <v/>
      </c>
      <c r="J57" s="8">
        <f>(D57+G57)/48</f>
        <v/>
      </c>
      <c r="K57" s="7">
        <f>IF(AND(H57&gt;=0.4,H57&lt;=0.6,I57&gt;=0.4,I57&lt;=0.6,J57&gt;=0.4,J57&lt;=0.6,MIN(D57:G57)&gt;=7.2),"是","否")</f>
        <v/>
      </c>
    </row>
    <row r="58">
      <c r="A58" s="7" t="inlineStr">
        <is>
          <t>48 组 3</t>
        </is>
      </c>
      <c r="B58" s="7" t="inlineStr">
        <is>
          <t>i7</t>
        </is>
      </c>
      <c r="C58" s="7" t="n">
        <v>7</v>
      </c>
      <c r="D58" s="7">
        <f>COUNTIF('384对'!$AC$98:$AC$145,"A")</f>
        <v/>
      </c>
      <c r="E58" s="7">
        <f>COUNTIF('384对'!$AC$98:$AC$145,"C")</f>
        <v/>
      </c>
      <c r="F58" s="7">
        <f>COUNTIF('384对'!$AC$98:$AC$145,"G")</f>
        <v/>
      </c>
      <c r="G58" s="7">
        <f>COUNTIF('384对'!$AC$98:$AC$145,"T")</f>
        <v/>
      </c>
      <c r="H58" s="8">
        <f>(E58+F58)/48</f>
        <v/>
      </c>
      <c r="I58" s="8">
        <f>(D58+E58)/48</f>
        <v/>
      </c>
      <c r="J58" s="8">
        <f>(D58+G58)/48</f>
        <v/>
      </c>
      <c r="K58" s="7">
        <f>IF(AND(H58&gt;=0.4,H58&lt;=0.6,I58&gt;=0.4,I58&lt;=0.6,J58&gt;=0.4,J58&lt;=0.6,MIN(D58:G58)&gt;=7.2),"是","否")</f>
        <v/>
      </c>
    </row>
    <row r="59">
      <c r="A59" s="7" t="inlineStr">
        <is>
          <t>48 组 3</t>
        </is>
      </c>
      <c r="B59" s="7" t="inlineStr">
        <is>
          <t>i7</t>
        </is>
      </c>
      <c r="C59" s="7" t="n">
        <v>8</v>
      </c>
      <c r="D59" s="7">
        <f>COUNTIF('384对'!$AD$98:$AD$145,"A")</f>
        <v/>
      </c>
      <c r="E59" s="7">
        <f>COUNTIF('384对'!$AD$98:$AD$145,"C")</f>
        <v/>
      </c>
      <c r="F59" s="7">
        <f>COUNTIF('384对'!$AD$98:$AD$145,"G")</f>
        <v/>
      </c>
      <c r="G59" s="7">
        <f>COUNTIF('384对'!$AD$98:$AD$145,"T")</f>
        <v/>
      </c>
      <c r="H59" s="8">
        <f>(E59+F59)/48</f>
        <v/>
      </c>
      <c r="I59" s="8">
        <f>(D59+E59)/48</f>
        <v/>
      </c>
      <c r="J59" s="8">
        <f>(D59+G59)/48</f>
        <v/>
      </c>
      <c r="K59" s="7">
        <f>IF(AND(H59&gt;=0.4,H59&lt;=0.6,I59&gt;=0.4,I59&lt;=0.6,J59&gt;=0.4,J59&lt;=0.6,MIN(D59:G59)&gt;=7.2),"是","否")</f>
        <v/>
      </c>
    </row>
    <row r="60">
      <c r="A60" s="7" t="inlineStr">
        <is>
          <t>48 组 3</t>
        </is>
      </c>
      <c r="B60" s="7" t="inlineStr">
        <is>
          <t>i7</t>
        </is>
      </c>
      <c r="C60" s="7" t="n">
        <v>9</v>
      </c>
      <c r="D60" s="7">
        <f>COUNTIF('384对'!$AE$98:$AE$145,"A")</f>
        <v/>
      </c>
      <c r="E60" s="7">
        <f>COUNTIF('384对'!$AE$98:$AE$145,"C")</f>
        <v/>
      </c>
      <c r="F60" s="7">
        <f>COUNTIF('384对'!$AE$98:$AE$145,"G")</f>
        <v/>
      </c>
      <c r="G60" s="7">
        <f>COUNTIF('384对'!$AE$98:$AE$145,"T")</f>
        <v/>
      </c>
      <c r="H60" s="8">
        <f>(E60+F60)/48</f>
        <v/>
      </c>
      <c r="I60" s="8">
        <f>(D60+E60)/48</f>
        <v/>
      </c>
      <c r="J60" s="8">
        <f>(D60+G60)/48</f>
        <v/>
      </c>
      <c r="K60" s="7">
        <f>IF(AND(H60&gt;=0.4,H60&lt;=0.6,I60&gt;=0.4,I60&lt;=0.6,J60&gt;=0.4,J60&lt;=0.6,MIN(D60:G60)&gt;=7.2),"是","否")</f>
        <v/>
      </c>
    </row>
    <row r="61">
      <c r="A61" s="7" t="inlineStr">
        <is>
          <t>48 组 3</t>
        </is>
      </c>
      <c r="B61" s="7" t="inlineStr">
        <is>
          <t>i7</t>
        </is>
      </c>
      <c r="C61" s="7" t="n">
        <v>10</v>
      </c>
      <c r="D61" s="7">
        <f>COUNTIF('384对'!$AF$98:$AF$145,"A")</f>
        <v/>
      </c>
      <c r="E61" s="7">
        <f>COUNTIF('384对'!$AF$98:$AF$145,"C")</f>
        <v/>
      </c>
      <c r="F61" s="7">
        <f>COUNTIF('384对'!$AF$98:$AF$145,"G")</f>
        <v/>
      </c>
      <c r="G61" s="7">
        <f>COUNTIF('384对'!$AF$98:$AF$145,"T")</f>
        <v/>
      </c>
      <c r="H61" s="8">
        <f>(E61+F61)/48</f>
        <v/>
      </c>
      <c r="I61" s="8">
        <f>(D61+E61)/48</f>
        <v/>
      </c>
      <c r="J61" s="8">
        <f>(D61+G61)/48</f>
        <v/>
      </c>
      <c r="K61" s="7">
        <f>IF(AND(H61&gt;=0.4,H61&lt;=0.6,I61&gt;=0.4,I61&lt;=0.6,J61&gt;=0.4,J61&lt;=0.6,MIN(D61:G61)&gt;=7.2),"是","否")</f>
        <v/>
      </c>
    </row>
    <row r="62">
      <c r="A62" s="7" t="inlineStr">
        <is>
          <t>48 组 4</t>
        </is>
      </c>
      <c r="B62" s="7" t="inlineStr">
        <is>
          <t>i5</t>
        </is>
      </c>
      <c r="C62" s="7" t="n">
        <v>1</v>
      </c>
      <c r="D62" s="7">
        <f>COUNTIF('384对'!$M$146:$M$193,"A")</f>
        <v/>
      </c>
      <c r="E62" s="7">
        <f>COUNTIF('384对'!$M$146:$M$193,"C")</f>
        <v/>
      </c>
      <c r="F62" s="7">
        <f>COUNTIF('384对'!$M$146:$M$193,"G")</f>
        <v/>
      </c>
      <c r="G62" s="7">
        <f>COUNTIF('384对'!$M$146:$M$193,"T")</f>
        <v/>
      </c>
      <c r="H62" s="8">
        <f>(E62+F62)/48</f>
        <v/>
      </c>
      <c r="I62" s="8">
        <f>(D62+E62)/48</f>
        <v/>
      </c>
      <c r="J62" s="8">
        <f>(D62+G62)/48</f>
        <v/>
      </c>
      <c r="K62" s="7">
        <f>IF(AND(H62&gt;=0.4,H62&lt;=0.6,I62&gt;=0.4,I62&lt;=0.6,J62&gt;=0.4,J62&lt;=0.6,MIN(D62:G62)&gt;=7.2),"是","否")</f>
        <v/>
      </c>
    </row>
    <row r="63">
      <c r="A63" s="7" t="inlineStr">
        <is>
          <t>48 组 4</t>
        </is>
      </c>
      <c r="B63" s="7" t="inlineStr">
        <is>
          <t>i5</t>
        </is>
      </c>
      <c r="C63" s="7" t="n">
        <v>2</v>
      </c>
      <c r="D63" s="7">
        <f>COUNTIF('384对'!$N$146:$N$193,"A")</f>
        <v/>
      </c>
      <c r="E63" s="7">
        <f>COUNTIF('384对'!$N$146:$N$193,"C")</f>
        <v/>
      </c>
      <c r="F63" s="7">
        <f>COUNTIF('384对'!$N$146:$N$193,"G")</f>
        <v/>
      </c>
      <c r="G63" s="7">
        <f>COUNTIF('384对'!$N$146:$N$193,"T")</f>
        <v/>
      </c>
      <c r="H63" s="8">
        <f>(E63+F63)/48</f>
        <v/>
      </c>
      <c r="I63" s="8">
        <f>(D63+E63)/48</f>
        <v/>
      </c>
      <c r="J63" s="8">
        <f>(D63+G63)/48</f>
        <v/>
      </c>
      <c r="K63" s="7">
        <f>IF(AND(H63&gt;=0.4,H63&lt;=0.6,I63&gt;=0.4,I63&lt;=0.6,J63&gt;=0.4,J63&lt;=0.6,MIN(D63:G63)&gt;=7.2),"是","否")</f>
        <v/>
      </c>
    </row>
    <row r="64">
      <c r="A64" s="7" t="inlineStr">
        <is>
          <t>48 组 4</t>
        </is>
      </c>
      <c r="B64" s="7" t="inlineStr">
        <is>
          <t>i5</t>
        </is>
      </c>
      <c r="C64" s="7" t="n">
        <v>3</v>
      </c>
      <c r="D64" s="7">
        <f>COUNTIF('384对'!$O$146:$O$193,"A")</f>
        <v/>
      </c>
      <c r="E64" s="7">
        <f>COUNTIF('384对'!$O$146:$O$193,"C")</f>
        <v/>
      </c>
      <c r="F64" s="7">
        <f>COUNTIF('384对'!$O$146:$O$193,"G")</f>
        <v/>
      </c>
      <c r="G64" s="7">
        <f>COUNTIF('384对'!$O$146:$O$193,"T")</f>
        <v/>
      </c>
      <c r="H64" s="8">
        <f>(E64+F64)/48</f>
        <v/>
      </c>
      <c r="I64" s="8">
        <f>(D64+E64)/48</f>
        <v/>
      </c>
      <c r="J64" s="8">
        <f>(D64+G64)/48</f>
        <v/>
      </c>
      <c r="K64" s="7">
        <f>IF(AND(H64&gt;=0.4,H64&lt;=0.6,I64&gt;=0.4,I64&lt;=0.6,J64&gt;=0.4,J64&lt;=0.6,MIN(D64:G64)&gt;=7.2),"是","否")</f>
        <v/>
      </c>
    </row>
    <row r="65">
      <c r="A65" s="7" t="inlineStr">
        <is>
          <t>48 组 4</t>
        </is>
      </c>
      <c r="B65" s="7" t="inlineStr">
        <is>
          <t>i5</t>
        </is>
      </c>
      <c r="C65" s="7" t="n">
        <v>4</v>
      </c>
      <c r="D65" s="7">
        <f>COUNTIF('384对'!$P$146:$P$193,"A")</f>
        <v/>
      </c>
      <c r="E65" s="7">
        <f>COUNTIF('384对'!$P$146:$P$193,"C")</f>
        <v/>
      </c>
      <c r="F65" s="7">
        <f>COUNTIF('384对'!$P$146:$P$193,"G")</f>
        <v/>
      </c>
      <c r="G65" s="7">
        <f>COUNTIF('384对'!$P$146:$P$193,"T")</f>
        <v/>
      </c>
      <c r="H65" s="8">
        <f>(E65+F65)/48</f>
        <v/>
      </c>
      <c r="I65" s="8">
        <f>(D65+E65)/48</f>
        <v/>
      </c>
      <c r="J65" s="8">
        <f>(D65+G65)/48</f>
        <v/>
      </c>
      <c r="K65" s="7">
        <f>IF(AND(H65&gt;=0.4,H65&lt;=0.6,I65&gt;=0.4,I65&lt;=0.6,J65&gt;=0.4,J65&lt;=0.6,MIN(D65:G65)&gt;=7.2),"是","否")</f>
        <v/>
      </c>
    </row>
    <row r="66">
      <c r="A66" s="7" t="inlineStr">
        <is>
          <t>48 组 4</t>
        </is>
      </c>
      <c r="B66" s="7" t="inlineStr">
        <is>
          <t>i5</t>
        </is>
      </c>
      <c r="C66" s="7" t="n">
        <v>5</v>
      </c>
      <c r="D66" s="7">
        <f>COUNTIF('384对'!$Q$146:$Q$193,"A")</f>
        <v/>
      </c>
      <c r="E66" s="7">
        <f>COUNTIF('384对'!$Q$146:$Q$193,"C")</f>
        <v/>
      </c>
      <c r="F66" s="7">
        <f>COUNTIF('384对'!$Q$146:$Q$193,"G")</f>
        <v/>
      </c>
      <c r="G66" s="7">
        <f>COUNTIF('384对'!$Q$146:$Q$193,"T")</f>
        <v/>
      </c>
      <c r="H66" s="8">
        <f>(E66+F66)/48</f>
        <v/>
      </c>
      <c r="I66" s="8">
        <f>(D66+E66)/48</f>
        <v/>
      </c>
      <c r="J66" s="8">
        <f>(D66+G66)/48</f>
        <v/>
      </c>
      <c r="K66" s="7">
        <f>IF(AND(H66&gt;=0.4,H66&lt;=0.6,I66&gt;=0.4,I66&lt;=0.6,J66&gt;=0.4,J66&lt;=0.6,MIN(D66:G66)&gt;=7.2),"是","否")</f>
        <v/>
      </c>
    </row>
    <row r="67">
      <c r="A67" s="7" t="inlineStr">
        <is>
          <t>48 组 4</t>
        </is>
      </c>
      <c r="B67" s="7" t="inlineStr">
        <is>
          <t>i5</t>
        </is>
      </c>
      <c r="C67" s="7" t="n">
        <v>6</v>
      </c>
      <c r="D67" s="7">
        <f>COUNTIF('384对'!$R$146:$R$193,"A")</f>
        <v/>
      </c>
      <c r="E67" s="7">
        <f>COUNTIF('384对'!$R$146:$R$193,"C")</f>
        <v/>
      </c>
      <c r="F67" s="7">
        <f>COUNTIF('384对'!$R$146:$R$193,"G")</f>
        <v/>
      </c>
      <c r="G67" s="7">
        <f>COUNTIF('384对'!$R$146:$R$193,"T")</f>
        <v/>
      </c>
      <c r="H67" s="8">
        <f>(E67+F67)/48</f>
        <v/>
      </c>
      <c r="I67" s="8">
        <f>(D67+E67)/48</f>
        <v/>
      </c>
      <c r="J67" s="8">
        <f>(D67+G67)/48</f>
        <v/>
      </c>
      <c r="K67" s="7">
        <f>IF(AND(H67&gt;=0.4,H67&lt;=0.6,I67&gt;=0.4,I67&lt;=0.6,J67&gt;=0.4,J67&lt;=0.6,MIN(D67:G67)&gt;=7.2),"是","否")</f>
        <v/>
      </c>
    </row>
    <row r="68">
      <c r="A68" s="7" t="inlineStr">
        <is>
          <t>48 组 4</t>
        </is>
      </c>
      <c r="B68" s="7" t="inlineStr">
        <is>
          <t>i5</t>
        </is>
      </c>
      <c r="C68" s="7" t="n">
        <v>7</v>
      </c>
      <c r="D68" s="7">
        <f>COUNTIF('384对'!$S$146:$S$193,"A")</f>
        <v/>
      </c>
      <c r="E68" s="7">
        <f>COUNTIF('384对'!$S$146:$S$193,"C")</f>
        <v/>
      </c>
      <c r="F68" s="7">
        <f>COUNTIF('384对'!$S$146:$S$193,"G")</f>
        <v/>
      </c>
      <c r="G68" s="7">
        <f>COUNTIF('384对'!$S$146:$S$193,"T")</f>
        <v/>
      </c>
      <c r="H68" s="8">
        <f>(E68+F68)/48</f>
        <v/>
      </c>
      <c r="I68" s="8">
        <f>(D68+E68)/48</f>
        <v/>
      </c>
      <c r="J68" s="8">
        <f>(D68+G68)/48</f>
        <v/>
      </c>
      <c r="K68" s="7">
        <f>IF(AND(H68&gt;=0.4,H68&lt;=0.6,I68&gt;=0.4,I68&lt;=0.6,J68&gt;=0.4,J68&lt;=0.6,MIN(D68:G68)&gt;=7.2),"是","否")</f>
        <v/>
      </c>
    </row>
    <row r="69">
      <c r="A69" s="7" t="inlineStr">
        <is>
          <t>48 组 4</t>
        </is>
      </c>
      <c r="B69" s="7" t="inlineStr">
        <is>
          <t>i5</t>
        </is>
      </c>
      <c r="C69" s="7" t="n">
        <v>8</v>
      </c>
      <c r="D69" s="7">
        <f>COUNTIF('384对'!$T$146:$T$193,"A")</f>
        <v/>
      </c>
      <c r="E69" s="7">
        <f>COUNTIF('384对'!$T$146:$T$193,"C")</f>
        <v/>
      </c>
      <c r="F69" s="7">
        <f>COUNTIF('384对'!$T$146:$T$193,"G")</f>
        <v/>
      </c>
      <c r="G69" s="7">
        <f>COUNTIF('384对'!$T$146:$T$193,"T")</f>
        <v/>
      </c>
      <c r="H69" s="8">
        <f>(E69+F69)/48</f>
        <v/>
      </c>
      <c r="I69" s="8">
        <f>(D69+E69)/48</f>
        <v/>
      </c>
      <c r="J69" s="8">
        <f>(D69+G69)/48</f>
        <v/>
      </c>
      <c r="K69" s="7">
        <f>IF(AND(H69&gt;=0.4,H69&lt;=0.6,I69&gt;=0.4,I69&lt;=0.6,J69&gt;=0.4,J69&lt;=0.6,MIN(D69:G69)&gt;=7.2),"是","否")</f>
        <v/>
      </c>
    </row>
    <row r="70">
      <c r="A70" s="7" t="inlineStr">
        <is>
          <t>48 组 4</t>
        </is>
      </c>
      <c r="B70" s="7" t="inlineStr">
        <is>
          <t>i5</t>
        </is>
      </c>
      <c r="C70" s="7" t="n">
        <v>9</v>
      </c>
      <c r="D70" s="7">
        <f>COUNTIF('384对'!$U$146:$U$193,"A")</f>
        <v/>
      </c>
      <c r="E70" s="7">
        <f>COUNTIF('384对'!$U$146:$U$193,"C")</f>
        <v/>
      </c>
      <c r="F70" s="7">
        <f>COUNTIF('384对'!$U$146:$U$193,"G")</f>
        <v/>
      </c>
      <c r="G70" s="7">
        <f>COUNTIF('384对'!$U$146:$U$193,"T")</f>
        <v/>
      </c>
      <c r="H70" s="8">
        <f>(E70+F70)/48</f>
        <v/>
      </c>
      <c r="I70" s="8">
        <f>(D70+E70)/48</f>
        <v/>
      </c>
      <c r="J70" s="8">
        <f>(D70+G70)/48</f>
        <v/>
      </c>
      <c r="K70" s="7">
        <f>IF(AND(H70&gt;=0.4,H70&lt;=0.6,I70&gt;=0.4,I70&lt;=0.6,J70&gt;=0.4,J70&lt;=0.6,MIN(D70:G70)&gt;=7.2),"是","否")</f>
        <v/>
      </c>
    </row>
    <row r="71">
      <c r="A71" s="7" t="inlineStr">
        <is>
          <t>48 组 4</t>
        </is>
      </c>
      <c r="B71" s="7" t="inlineStr">
        <is>
          <t>i5</t>
        </is>
      </c>
      <c r="C71" s="7" t="n">
        <v>10</v>
      </c>
      <c r="D71" s="7">
        <f>COUNTIF('384对'!$V$146:$V$193,"A")</f>
        <v/>
      </c>
      <c r="E71" s="7">
        <f>COUNTIF('384对'!$V$146:$V$193,"C")</f>
        <v/>
      </c>
      <c r="F71" s="7">
        <f>COUNTIF('384对'!$V$146:$V$193,"G")</f>
        <v/>
      </c>
      <c r="G71" s="7">
        <f>COUNTIF('384对'!$V$146:$V$193,"T")</f>
        <v/>
      </c>
      <c r="H71" s="8">
        <f>(E71+F71)/48</f>
        <v/>
      </c>
      <c r="I71" s="8">
        <f>(D71+E71)/48</f>
        <v/>
      </c>
      <c r="J71" s="8">
        <f>(D71+G71)/48</f>
        <v/>
      </c>
      <c r="K71" s="7">
        <f>IF(AND(H71&gt;=0.4,H71&lt;=0.6,I71&gt;=0.4,I71&lt;=0.6,J71&gt;=0.4,J71&lt;=0.6,MIN(D71:G71)&gt;=7.2),"是","否")</f>
        <v/>
      </c>
    </row>
    <row r="72">
      <c r="A72" s="7" t="inlineStr">
        <is>
          <t>48 组 4</t>
        </is>
      </c>
      <c r="B72" s="7" t="inlineStr">
        <is>
          <t>i7</t>
        </is>
      </c>
      <c r="C72" s="7" t="n">
        <v>1</v>
      </c>
      <c r="D72" s="7">
        <f>COUNTIF('384对'!$W$146:$W$193,"A")</f>
        <v/>
      </c>
      <c r="E72" s="7">
        <f>COUNTIF('384对'!$W$146:$W$193,"C")</f>
        <v/>
      </c>
      <c r="F72" s="7">
        <f>COUNTIF('384对'!$W$146:$W$193,"G")</f>
        <v/>
      </c>
      <c r="G72" s="7">
        <f>COUNTIF('384对'!$W$146:$W$193,"T")</f>
        <v/>
      </c>
      <c r="H72" s="8">
        <f>(E72+F72)/48</f>
        <v/>
      </c>
      <c r="I72" s="8">
        <f>(D72+E72)/48</f>
        <v/>
      </c>
      <c r="J72" s="8">
        <f>(D72+G72)/48</f>
        <v/>
      </c>
      <c r="K72" s="7">
        <f>IF(AND(H72&gt;=0.4,H72&lt;=0.6,I72&gt;=0.4,I72&lt;=0.6,J72&gt;=0.4,J72&lt;=0.6,MIN(D72:G72)&gt;=7.2),"是","否")</f>
        <v/>
      </c>
    </row>
    <row r="73">
      <c r="A73" s="7" t="inlineStr">
        <is>
          <t>48 组 4</t>
        </is>
      </c>
      <c r="B73" s="7" t="inlineStr">
        <is>
          <t>i7</t>
        </is>
      </c>
      <c r="C73" s="7" t="n">
        <v>2</v>
      </c>
      <c r="D73" s="7">
        <f>COUNTIF('384对'!$X$146:$X$193,"A")</f>
        <v/>
      </c>
      <c r="E73" s="7">
        <f>COUNTIF('384对'!$X$146:$X$193,"C")</f>
        <v/>
      </c>
      <c r="F73" s="7">
        <f>COUNTIF('384对'!$X$146:$X$193,"G")</f>
        <v/>
      </c>
      <c r="G73" s="7">
        <f>COUNTIF('384对'!$X$146:$X$193,"T")</f>
        <v/>
      </c>
      <c r="H73" s="8">
        <f>(E73+F73)/48</f>
        <v/>
      </c>
      <c r="I73" s="8">
        <f>(D73+E73)/48</f>
        <v/>
      </c>
      <c r="J73" s="8">
        <f>(D73+G73)/48</f>
        <v/>
      </c>
      <c r="K73" s="7">
        <f>IF(AND(H73&gt;=0.4,H73&lt;=0.6,I73&gt;=0.4,I73&lt;=0.6,J73&gt;=0.4,J73&lt;=0.6,MIN(D73:G73)&gt;=7.2),"是","否")</f>
        <v/>
      </c>
    </row>
    <row r="74">
      <c r="A74" s="7" t="inlineStr">
        <is>
          <t>48 组 4</t>
        </is>
      </c>
      <c r="B74" s="7" t="inlineStr">
        <is>
          <t>i7</t>
        </is>
      </c>
      <c r="C74" s="7" t="n">
        <v>3</v>
      </c>
      <c r="D74" s="7">
        <f>COUNTIF('384对'!$Y$146:$Y$193,"A")</f>
        <v/>
      </c>
      <c r="E74" s="7">
        <f>COUNTIF('384对'!$Y$146:$Y$193,"C")</f>
        <v/>
      </c>
      <c r="F74" s="7">
        <f>COUNTIF('384对'!$Y$146:$Y$193,"G")</f>
        <v/>
      </c>
      <c r="G74" s="7">
        <f>COUNTIF('384对'!$Y$146:$Y$193,"T")</f>
        <v/>
      </c>
      <c r="H74" s="8">
        <f>(E74+F74)/48</f>
        <v/>
      </c>
      <c r="I74" s="8">
        <f>(D74+E74)/48</f>
        <v/>
      </c>
      <c r="J74" s="8">
        <f>(D74+G74)/48</f>
        <v/>
      </c>
      <c r="K74" s="7">
        <f>IF(AND(H74&gt;=0.4,H74&lt;=0.6,I74&gt;=0.4,I74&lt;=0.6,J74&gt;=0.4,J74&lt;=0.6,MIN(D74:G74)&gt;=7.2),"是","否")</f>
        <v/>
      </c>
    </row>
    <row r="75">
      <c r="A75" s="7" t="inlineStr">
        <is>
          <t>48 组 4</t>
        </is>
      </c>
      <c r="B75" s="7" t="inlineStr">
        <is>
          <t>i7</t>
        </is>
      </c>
      <c r="C75" s="7" t="n">
        <v>4</v>
      </c>
      <c r="D75" s="7">
        <f>COUNTIF('384对'!$Z$146:$Z$193,"A")</f>
        <v/>
      </c>
      <c r="E75" s="7">
        <f>COUNTIF('384对'!$Z$146:$Z$193,"C")</f>
        <v/>
      </c>
      <c r="F75" s="7">
        <f>COUNTIF('384对'!$Z$146:$Z$193,"G")</f>
        <v/>
      </c>
      <c r="G75" s="7">
        <f>COUNTIF('384对'!$Z$146:$Z$193,"T")</f>
        <v/>
      </c>
      <c r="H75" s="8">
        <f>(E75+F75)/48</f>
        <v/>
      </c>
      <c r="I75" s="8">
        <f>(D75+E75)/48</f>
        <v/>
      </c>
      <c r="J75" s="8">
        <f>(D75+G75)/48</f>
        <v/>
      </c>
      <c r="K75" s="7">
        <f>IF(AND(H75&gt;=0.4,H75&lt;=0.6,I75&gt;=0.4,I75&lt;=0.6,J75&gt;=0.4,J75&lt;=0.6,MIN(D75:G75)&gt;=7.2),"是","否")</f>
        <v/>
      </c>
    </row>
    <row r="76">
      <c r="A76" s="7" t="inlineStr">
        <is>
          <t>48 组 4</t>
        </is>
      </c>
      <c r="B76" s="7" t="inlineStr">
        <is>
          <t>i7</t>
        </is>
      </c>
      <c r="C76" s="7" t="n">
        <v>5</v>
      </c>
      <c r="D76" s="7">
        <f>COUNTIF('384对'!$AA$146:$AA$193,"A")</f>
        <v/>
      </c>
      <c r="E76" s="7">
        <f>COUNTIF('384对'!$AA$146:$AA$193,"C")</f>
        <v/>
      </c>
      <c r="F76" s="7">
        <f>COUNTIF('384对'!$AA$146:$AA$193,"G")</f>
        <v/>
      </c>
      <c r="G76" s="7">
        <f>COUNTIF('384对'!$AA$146:$AA$193,"T")</f>
        <v/>
      </c>
      <c r="H76" s="8">
        <f>(E76+F76)/48</f>
        <v/>
      </c>
      <c r="I76" s="8">
        <f>(D76+E76)/48</f>
        <v/>
      </c>
      <c r="J76" s="8">
        <f>(D76+G76)/48</f>
        <v/>
      </c>
      <c r="K76" s="7">
        <f>IF(AND(H76&gt;=0.4,H76&lt;=0.6,I76&gt;=0.4,I76&lt;=0.6,J76&gt;=0.4,J76&lt;=0.6,MIN(D76:G76)&gt;=7.2),"是","否")</f>
        <v/>
      </c>
    </row>
    <row r="77">
      <c r="A77" s="7" t="inlineStr">
        <is>
          <t>48 组 4</t>
        </is>
      </c>
      <c r="B77" s="7" t="inlineStr">
        <is>
          <t>i7</t>
        </is>
      </c>
      <c r="C77" s="7" t="n">
        <v>6</v>
      </c>
      <c r="D77" s="7">
        <f>COUNTIF('384对'!$AB$146:$AB$193,"A")</f>
        <v/>
      </c>
      <c r="E77" s="7">
        <f>COUNTIF('384对'!$AB$146:$AB$193,"C")</f>
        <v/>
      </c>
      <c r="F77" s="7">
        <f>COUNTIF('384对'!$AB$146:$AB$193,"G")</f>
        <v/>
      </c>
      <c r="G77" s="7">
        <f>COUNTIF('384对'!$AB$146:$AB$193,"T")</f>
        <v/>
      </c>
      <c r="H77" s="8">
        <f>(E77+F77)/48</f>
        <v/>
      </c>
      <c r="I77" s="8">
        <f>(D77+E77)/48</f>
        <v/>
      </c>
      <c r="J77" s="8">
        <f>(D77+G77)/48</f>
        <v/>
      </c>
      <c r="K77" s="7">
        <f>IF(AND(H77&gt;=0.4,H77&lt;=0.6,I77&gt;=0.4,I77&lt;=0.6,J77&gt;=0.4,J77&lt;=0.6,MIN(D77:G77)&gt;=7.2),"是","否")</f>
        <v/>
      </c>
    </row>
    <row r="78">
      <c r="A78" s="7" t="inlineStr">
        <is>
          <t>48 组 4</t>
        </is>
      </c>
      <c r="B78" s="7" t="inlineStr">
        <is>
          <t>i7</t>
        </is>
      </c>
      <c r="C78" s="7" t="n">
        <v>7</v>
      </c>
      <c r="D78" s="7">
        <f>COUNTIF('384对'!$AC$146:$AC$193,"A")</f>
        <v/>
      </c>
      <c r="E78" s="7">
        <f>COUNTIF('384对'!$AC$146:$AC$193,"C")</f>
        <v/>
      </c>
      <c r="F78" s="7">
        <f>COUNTIF('384对'!$AC$146:$AC$193,"G")</f>
        <v/>
      </c>
      <c r="G78" s="7">
        <f>COUNTIF('384对'!$AC$146:$AC$193,"T")</f>
        <v/>
      </c>
      <c r="H78" s="8">
        <f>(E78+F78)/48</f>
        <v/>
      </c>
      <c r="I78" s="8">
        <f>(D78+E78)/48</f>
        <v/>
      </c>
      <c r="J78" s="8">
        <f>(D78+G78)/48</f>
        <v/>
      </c>
      <c r="K78" s="7">
        <f>IF(AND(H78&gt;=0.4,H78&lt;=0.6,I78&gt;=0.4,I78&lt;=0.6,J78&gt;=0.4,J78&lt;=0.6,MIN(D78:G78)&gt;=7.2),"是","否")</f>
        <v/>
      </c>
    </row>
    <row r="79">
      <c r="A79" s="7" t="inlineStr">
        <is>
          <t>48 组 4</t>
        </is>
      </c>
      <c r="B79" s="7" t="inlineStr">
        <is>
          <t>i7</t>
        </is>
      </c>
      <c r="C79" s="7" t="n">
        <v>8</v>
      </c>
      <c r="D79" s="7">
        <f>COUNTIF('384对'!$AD$146:$AD$193,"A")</f>
        <v/>
      </c>
      <c r="E79" s="7">
        <f>COUNTIF('384对'!$AD$146:$AD$193,"C")</f>
        <v/>
      </c>
      <c r="F79" s="7">
        <f>COUNTIF('384对'!$AD$146:$AD$193,"G")</f>
        <v/>
      </c>
      <c r="G79" s="7">
        <f>COUNTIF('384对'!$AD$146:$AD$193,"T")</f>
        <v/>
      </c>
      <c r="H79" s="8">
        <f>(E79+F79)/48</f>
        <v/>
      </c>
      <c r="I79" s="8">
        <f>(D79+E79)/48</f>
        <v/>
      </c>
      <c r="J79" s="8">
        <f>(D79+G79)/48</f>
        <v/>
      </c>
      <c r="K79" s="7">
        <f>IF(AND(H79&gt;=0.4,H79&lt;=0.6,I79&gt;=0.4,I79&lt;=0.6,J79&gt;=0.4,J79&lt;=0.6,MIN(D79:G79)&gt;=7.2),"是","否")</f>
        <v/>
      </c>
    </row>
    <row r="80">
      <c r="A80" s="7" t="inlineStr">
        <is>
          <t>48 组 4</t>
        </is>
      </c>
      <c r="B80" s="7" t="inlineStr">
        <is>
          <t>i7</t>
        </is>
      </c>
      <c r="C80" s="7" t="n">
        <v>9</v>
      </c>
      <c r="D80" s="7">
        <f>COUNTIF('384对'!$AE$146:$AE$193,"A")</f>
        <v/>
      </c>
      <c r="E80" s="7">
        <f>COUNTIF('384对'!$AE$146:$AE$193,"C")</f>
        <v/>
      </c>
      <c r="F80" s="7">
        <f>COUNTIF('384对'!$AE$146:$AE$193,"G")</f>
        <v/>
      </c>
      <c r="G80" s="7">
        <f>COUNTIF('384对'!$AE$146:$AE$193,"T")</f>
        <v/>
      </c>
      <c r="H80" s="8">
        <f>(E80+F80)/48</f>
        <v/>
      </c>
      <c r="I80" s="8">
        <f>(D80+E80)/48</f>
        <v/>
      </c>
      <c r="J80" s="8">
        <f>(D80+G80)/48</f>
        <v/>
      </c>
      <c r="K80" s="7">
        <f>IF(AND(H80&gt;=0.4,H80&lt;=0.6,I80&gt;=0.4,I80&lt;=0.6,J80&gt;=0.4,J80&lt;=0.6,MIN(D80:G80)&gt;=7.2),"是","否")</f>
        <v/>
      </c>
    </row>
    <row r="81">
      <c r="A81" s="7" t="inlineStr">
        <is>
          <t>48 组 4</t>
        </is>
      </c>
      <c r="B81" s="7" t="inlineStr">
        <is>
          <t>i7</t>
        </is>
      </c>
      <c r="C81" s="7" t="n">
        <v>10</v>
      </c>
      <c r="D81" s="7">
        <f>COUNTIF('384对'!$AF$146:$AF$193,"A")</f>
        <v/>
      </c>
      <c r="E81" s="7">
        <f>COUNTIF('384对'!$AF$146:$AF$193,"C")</f>
        <v/>
      </c>
      <c r="F81" s="7">
        <f>COUNTIF('384对'!$AF$146:$AF$193,"G")</f>
        <v/>
      </c>
      <c r="G81" s="7">
        <f>COUNTIF('384对'!$AF$146:$AF$193,"T")</f>
        <v/>
      </c>
      <c r="H81" s="8">
        <f>(E81+F81)/48</f>
        <v/>
      </c>
      <c r="I81" s="8">
        <f>(D81+E81)/48</f>
        <v/>
      </c>
      <c r="J81" s="8">
        <f>(D81+G81)/48</f>
        <v/>
      </c>
      <c r="K81" s="7">
        <f>IF(AND(H81&gt;=0.4,H81&lt;=0.6,I81&gt;=0.4,I81&lt;=0.6,J81&gt;=0.4,J81&lt;=0.6,MIN(D81:G81)&gt;=7.2),"是","否")</f>
        <v/>
      </c>
    </row>
    <row r="82">
      <c r="A82" s="7" t="inlineStr">
        <is>
          <t>48 组 5</t>
        </is>
      </c>
      <c r="B82" s="7" t="inlineStr">
        <is>
          <t>i5</t>
        </is>
      </c>
      <c r="C82" s="7" t="n">
        <v>1</v>
      </c>
      <c r="D82" s="7">
        <f>COUNTIF('384对'!$M$194:$M$241,"A")</f>
        <v/>
      </c>
      <c r="E82" s="7">
        <f>COUNTIF('384对'!$M$194:$M$241,"C")</f>
        <v/>
      </c>
      <c r="F82" s="7">
        <f>COUNTIF('384对'!$M$194:$M$241,"G")</f>
        <v/>
      </c>
      <c r="G82" s="7">
        <f>COUNTIF('384对'!$M$194:$M$241,"T")</f>
        <v/>
      </c>
      <c r="H82" s="8">
        <f>(E82+F82)/48</f>
        <v/>
      </c>
      <c r="I82" s="8">
        <f>(D82+E82)/48</f>
        <v/>
      </c>
      <c r="J82" s="8">
        <f>(D82+G82)/48</f>
        <v/>
      </c>
      <c r="K82" s="7">
        <f>IF(AND(H82&gt;=0.4,H82&lt;=0.6,I82&gt;=0.4,I82&lt;=0.6,J82&gt;=0.4,J82&lt;=0.6,MIN(D82:G82)&gt;=7.2),"是","否")</f>
        <v/>
      </c>
    </row>
    <row r="83">
      <c r="A83" s="7" t="inlineStr">
        <is>
          <t>48 组 5</t>
        </is>
      </c>
      <c r="B83" s="7" t="inlineStr">
        <is>
          <t>i5</t>
        </is>
      </c>
      <c r="C83" s="7" t="n">
        <v>2</v>
      </c>
      <c r="D83" s="7">
        <f>COUNTIF('384对'!$N$194:$N$241,"A")</f>
        <v/>
      </c>
      <c r="E83" s="7">
        <f>COUNTIF('384对'!$N$194:$N$241,"C")</f>
        <v/>
      </c>
      <c r="F83" s="7">
        <f>COUNTIF('384对'!$N$194:$N$241,"G")</f>
        <v/>
      </c>
      <c r="G83" s="7">
        <f>COUNTIF('384对'!$N$194:$N$241,"T")</f>
        <v/>
      </c>
      <c r="H83" s="8">
        <f>(E83+F83)/48</f>
        <v/>
      </c>
      <c r="I83" s="8">
        <f>(D83+E83)/48</f>
        <v/>
      </c>
      <c r="J83" s="8">
        <f>(D83+G83)/48</f>
        <v/>
      </c>
      <c r="K83" s="7">
        <f>IF(AND(H83&gt;=0.4,H83&lt;=0.6,I83&gt;=0.4,I83&lt;=0.6,J83&gt;=0.4,J83&lt;=0.6,MIN(D83:G83)&gt;=7.2),"是","否")</f>
        <v/>
      </c>
    </row>
    <row r="84">
      <c r="A84" s="7" t="inlineStr">
        <is>
          <t>48 组 5</t>
        </is>
      </c>
      <c r="B84" s="7" t="inlineStr">
        <is>
          <t>i5</t>
        </is>
      </c>
      <c r="C84" s="7" t="n">
        <v>3</v>
      </c>
      <c r="D84" s="7">
        <f>COUNTIF('384对'!$O$194:$O$241,"A")</f>
        <v/>
      </c>
      <c r="E84" s="7">
        <f>COUNTIF('384对'!$O$194:$O$241,"C")</f>
        <v/>
      </c>
      <c r="F84" s="7">
        <f>COUNTIF('384对'!$O$194:$O$241,"G")</f>
        <v/>
      </c>
      <c r="G84" s="7">
        <f>COUNTIF('384对'!$O$194:$O$241,"T")</f>
        <v/>
      </c>
      <c r="H84" s="8">
        <f>(E84+F84)/48</f>
        <v/>
      </c>
      <c r="I84" s="8">
        <f>(D84+E84)/48</f>
        <v/>
      </c>
      <c r="J84" s="8">
        <f>(D84+G84)/48</f>
        <v/>
      </c>
      <c r="K84" s="7">
        <f>IF(AND(H84&gt;=0.4,H84&lt;=0.6,I84&gt;=0.4,I84&lt;=0.6,J84&gt;=0.4,J84&lt;=0.6,MIN(D84:G84)&gt;=7.2),"是","否")</f>
        <v/>
      </c>
    </row>
    <row r="85">
      <c r="A85" s="7" t="inlineStr">
        <is>
          <t>48 组 5</t>
        </is>
      </c>
      <c r="B85" s="7" t="inlineStr">
        <is>
          <t>i5</t>
        </is>
      </c>
      <c r="C85" s="7" t="n">
        <v>4</v>
      </c>
      <c r="D85" s="7">
        <f>COUNTIF('384对'!$P$194:$P$241,"A")</f>
        <v/>
      </c>
      <c r="E85" s="7">
        <f>COUNTIF('384对'!$P$194:$P$241,"C")</f>
        <v/>
      </c>
      <c r="F85" s="7">
        <f>COUNTIF('384对'!$P$194:$P$241,"G")</f>
        <v/>
      </c>
      <c r="G85" s="7">
        <f>COUNTIF('384对'!$P$194:$P$241,"T")</f>
        <v/>
      </c>
      <c r="H85" s="8">
        <f>(E85+F85)/48</f>
        <v/>
      </c>
      <c r="I85" s="8">
        <f>(D85+E85)/48</f>
        <v/>
      </c>
      <c r="J85" s="8">
        <f>(D85+G85)/48</f>
        <v/>
      </c>
      <c r="K85" s="7">
        <f>IF(AND(H85&gt;=0.4,H85&lt;=0.6,I85&gt;=0.4,I85&lt;=0.6,J85&gt;=0.4,J85&lt;=0.6,MIN(D85:G85)&gt;=7.2),"是","否")</f>
        <v/>
      </c>
    </row>
    <row r="86">
      <c r="A86" s="7" t="inlineStr">
        <is>
          <t>48 组 5</t>
        </is>
      </c>
      <c r="B86" s="7" t="inlineStr">
        <is>
          <t>i5</t>
        </is>
      </c>
      <c r="C86" s="7" t="n">
        <v>5</v>
      </c>
      <c r="D86" s="7">
        <f>COUNTIF('384对'!$Q$194:$Q$241,"A")</f>
        <v/>
      </c>
      <c r="E86" s="7">
        <f>COUNTIF('384对'!$Q$194:$Q$241,"C")</f>
        <v/>
      </c>
      <c r="F86" s="7">
        <f>COUNTIF('384对'!$Q$194:$Q$241,"G")</f>
        <v/>
      </c>
      <c r="G86" s="7">
        <f>COUNTIF('384对'!$Q$194:$Q$241,"T")</f>
        <v/>
      </c>
      <c r="H86" s="8">
        <f>(E86+F86)/48</f>
        <v/>
      </c>
      <c r="I86" s="8">
        <f>(D86+E86)/48</f>
        <v/>
      </c>
      <c r="J86" s="8">
        <f>(D86+G86)/48</f>
        <v/>
      </c>
      <c r="K86" s="7">
        <f>IF(AND(H86&gt;=0.4,H86&lt;=0.6,I86&gt;=0.4,I86&lt;=0.6,J86&gt;=0.4,J86&lt;=0.6,MIN(D86:G86)&gt;=7.2),"是","否")</f>
        <v/>
      </c>
    </row>
    <row r="87">
      <c r="A87" s="7" t="inlineStr">
        <is>
          <t>48 组 5</t>
        </is>
      </c>
      <c r="B87" s="7" t="inlineStr">
        <is>
          <t>i5</t>
        </is>
      </c>
      <c r="C87" s="7" t="n">
        <v>6</v>
      </c>
      <c r="D87" s="7">
        <f>COUNTIF('384对'!$R$194:$R$241,"A")</f>
        <v/>
      </c>
      <c r="E87" s="7">
        <f>COUNTIF('384对'!$R$194:$R$241,"C")</f>
        <v/>
      </c>
      <c r="F87" s="7">
        <f>COUNTIF('384对'!$R$194:$R$241,"G")</f>
        <v/>
      </c>
      <c r="G87" s="7">
        <f>COUNTIF('384对'!$R$194:$R$241,"T")</f>
        <v/>
      </c>
      <c r="H87" s="8">
        <f>(E87+F87)/48</f>
        <v/>
      </c>
      <c r="I87" s="8">
        <f>(D87+E87)/48</f>
        <v/>
      </c>
      <c r="J87" s="8">
        <f>(D87+G87)/48</f>
        <v/>
      </c>
      <c r="K87" s="7">
        <f>IF(AND(H87&gt;=0.4,H87&lt;=0.6,I87&gt;=0.4,I87&lt;=0.6,J87&gt;=0.4,J87&lt;=0.6,MIN(D87:G87)&gt;=7.2),"是","否")</f>
        <v/>
      </c>
    </row>
    <row r="88">
      <c r="A88" s="7" t="inlineStr">
        <is>
          <t>48 组 5</t>
        </is>
      </c>
      <c r="B88" s="7" t="inlineStr">
        <is>
          <t>i5</t>
        </is>
      </c>
      <c r="C88" s="7" t="n">
        <v>7</v>
      </c>
      <c r="D88" s="7">
        <f>COUNTIF('384对'!$S$194:$S$241,"A")</f>
        <v/>
      </c>
      <c r="E88" s="7">
        <f>COUNTIF('384对'!$S$194:$S$241,"C")</f>
        <v/>
      </c>
      <c r="F88" s="7">
        <f>COUNTIF('384对'!$S$194:$S$241,"G")</f>
        <v/>
      </c>
      <c r="G88" s="7">
        <f>COUNTIF('384对'!$S$194:$S$241,"T")</f>
        <v/>
      </c>
      <c r="H88" s="8">
        <f>(E88+F88)/48</f>
        <v/>
      </c>
      <c r="I88" s="8">
        <f>(D88+E88)/48</f>
        <v/>
      </c>
      <c r="J88" s="8">
        <f>(D88+G88)/48</f>
        <v/>
      </c>
      <c r="K88" s="7">
        <f>IF(AND(H88&gt;=0.4,H88&lt;=0.6,I88&gt;=0.4,I88&lt;=0.6,J88&gt;=0.4,J88&lt;=0.6,MIN(D88:G88)&gt;=7.2),"是","否")</f>
        <v/>
      </c>
    </row>
    <row r="89">
      <c r="A89" s="7" t="inlineStr">
        <is>
          <t>48 组 5</t>
        </is>
      </c>
      <c r="B89" s="7" t="inlineStr">
        <is>
          <t>i5</t>
        </is>
      </c>
      <c r="C89" s="7" t="n">
        <v>8</v>
      </c>
      <c r="D89" s="7">
        <f>COUNTIF('384对'!$T$194:$T$241,"A")</f>
        <v/>
      </c>
      <c r="E89" s="7">
        <f>COUNTIF('384对'!$T$194:$T$241,"C")</f>
        <v/>
      </c>
      <c r="F89" s="7">
        <f>COUNTIF('384对'!$T$194:$T$241,"G")</f>
        <v/>
      </c>
      <c r="G89" s="7">
        <f>COUNTIF('384对'!$T$194:$T$241,"T")</f>
        <v/>
      </c>
      <c r="H89" s="8">
        <f>(E89+F89)/48</f>
        <v/>
      </c>
      <c r="I89" s="8">
        <f>(D89+E89)/48</f>
        <v/>
      </c>
      <c r="J89" s="8">
        <f>(D89+G89)/48</f>
        <v/>
      </c>
      <c r="K89" s="7">
        <f>IF(AND(H89&gt;=0.4,H89&lt;=0.6,I89&gt;=0.4,I89&lt;=0.6,J89&gt;=0.4,J89&lt;=0.6,MIN(D89:G89)&gt;=7.2),"是","否")</f>
        <v/>
      </c>
    </row>
    <row r="90">
      <c r="A90" s="7" t="inlineStr">
        <is>
          <t>48 组 5</t>
        </is>
      </c>
      <c r="B90" s="7" t="inlineStr">
        <is>
          <t>i5</t>
        </is>
      </c>
      <c r="C90" s="7" t="n">
        <v>9</v>
      </c>
      <c r="D90" s="7">
        <f>COUNTIF('384对'!$U$194:$U$241,"A")</f>
        <v/>
      </c>
      <c r="E90" s="7">
        <f>COUNTIF('384对'!$U$194:$U$241,"C")</f>
        <v/>
      </c>
      <c r="F90" s="7">
        <f>COUNTIF('384对'!$U$194:$U$241,"G")</f>
        <v/>
      </c>
      <c r="G90" s="7">
        <f>COUNTIF('384对'!$U$194:$U$241,"T")</f>
        <v/>
      </c>
      <c r="H90" s="8">
        <f>(E90+F90)/48</f>
        <v/>
      </c>
      <c r="I90" s="8">
        <f>(D90+E90)/48</f>
        <v/>
      </c>
      <c r="J90" s="8">
        <f>(D90+G90)/48</f>
        <v/>
      </c>
      <c r="K90" s="7">
        <f>IF(AND(H90&gt;=0.4,H90&lt;=0.6,I90&gt;=0.4,I90&lt;=0.6,J90&gt;=0.4,J90&lt;=0.6,MIN(D90:G90)&gt;=7.2),"是","否")</f>
        <v/>
      </c>
    </row>
    <row r="91">
      <c r="A91" s="7" t="inlineStr">
        <is>
          <t>48 组 5</t>
        </is>
      </c>
      <c r="B91" s="7" t="inlineStr">
        <is>
          <t>i5</t>
        </is>
      </c>
      <c r="C91" s="7" t="n">
        <v>10</v>
      </c>
      <c r="D91" s="7">
        <f>COUNTIF('384对'!$V$194:$V$241,"A")</f>
        <v/>
      </c>
      <c r="E91" s="7">
        <f>COUNTIF('384对'!$V$194:$V$241,"C")</f>
        <v/>
      </c>
      <c r="F91" s="7">
        <f>COUNTIF('384对'!$V$194:$V$241,"G")</f>
        <v/>
      </c>
      <c r="G91" s="7">
        <f>COUNTIF('384对'!$V$194:$V$241,"T")</f>
        <v/>
      </c>
      <c r="H91" s="8">
        <f>(E91+F91)/48</f>
        <v/>
      </c>
      <c r="I91" s="8">
        <f>(D91+E91)/48</f>
        <v/>
      </c>
      <c r="J91" s="8">
        <f>(D91+G91)/48</f>
        <v/>
      </c>
      <c r="K91" s="7">
        <f>IF(AND(H91&gt;=0.4,H91&lt;=0.6,I91&gt;=0.4,I91&lt;=0.6,J91&gt;=0.4,J91&lt;=0.6,MIN(D91:G91)&gt;=7.2),"是","否")</f>
        <v/>
      </c>
    </row>
    <row r="92">
      <c r="A92" s="7" t="inlineStr">
        <is>
          <t>48 组 5</t>
        </is>
      </c>
      <c r="B92" s="7" t="inlineStr">
        <is>
          <t>i7</t>
        </is>
      </c>
      <c r="C92" s="7" t="n">
        <v>1</v>
      </c>
      <c r="D92" s="7">
        <f>COUNTIF('384对'!$W$194:$W$241,"A")</f>
        <v/>
      </c>
      <c r="E92" s="7">
        <f>COUNTIF('384对'!$W$194:$W$241,"C")</f>
        <v/>
      </c>
      <c r="F92" s="7">
        <f>COUNTIF('384对'!$W$194:$W$241,"G")</f>
        <v/>
      </c>
      <c r="G92" s="7">
        <f>COUNTIF('384对'!$W$194:$W$241,"T")</f>
        <v/>
      </c>
      <c r="H92" s="8">
        <f>(E92+F92)/48</f>
        <v/>
      </c>
      <c r="I92" s="8">
        <f>(D92+E92)/48</f>
        <v/>
      </c>
      <c r="J92" s="8">
        <f>(D92+G92)/48</f>
        <v/>
      </c>
      <c r="K92" s="7">
        <f>IF(AND(H92&gt;=0.4,H92&lt;=0.6,I92&gt;=0.4,I92&lt;=0.6,J92&gt;=0.4,J92&lt;=0.6,MIN(D92:G92)&gt;=7.2),"是","否")</f>
        <v/>
      </c>
    </row>
    <row r="93">
      <c r="A93" s="7" t="inlineStr">
        <is>
          <t>48 组 5</t>
        </is>
      </c>
      <c r="B93" s="7" t="inlineStr">
        <is>
          <t>i7</t>
        </is>
      </c>
      <c r="C93" s="7" t="n">
        <v>2</v>
      </c>
      <c r="D93" s="7">
        <f>COUNTIF('384对'!$X$194:$X$241,"A")</f>
        <v/>
      </c>
      <c r="E93" s="7">
        <f>COUNTIF('384对'!$X$194:$X$241,"C")</f>
        <v/>
      </c>
      <c r="F93" s="7">
        <f>COUNTIF('384对'!$X$194:$X$241,"G")</f>
        <v/>
      </c>
      <c r="G93" s="7">
        <f>COUNTIF('384对'!$X$194:$X$241,"T")</f>
        <v/>
      </c>
      <c r="H93" s="8">
        <f>(E93+F93)/48</f>
        <v/>
      </c>
      <c r="I93" s="8">
        <f>(D93+E93)/48</f>
        <v/>
      </c>
      <c r="J93" s="8">
        <f>(D93+G93)/48</f>
        <v/>
      </c>
      <c r="K93" s="7">
        <f>IF(AND(H93&gt;=0.4,H93&lt;=0.6,I93&gt;=0.4,I93&lt;=0.6,J93&gt;=0.4,J93&lt;=0.6,MIN(D93:G93)&gt;=7.2),"是","否")</f>
        <v/>
      </c>
    </row>
    <row r="94">
      <c r="A94" s="7" t="inlineStr">
        <is>
          <t>48 组 5</t>
        </is>
      </c>
      <c r="B94" s="7" t="inlineStr">
        <is>
          <t>i7</t>
        </is>
      </c>
      <c r="C94" s="7" t="n">
        <v>3</v>
      </c>
      <c r="D94" s="7">
        <f>COUNTIF('384对'!$Y$194:$Y$241,"A")</f>
        <v/>
      </c>
      <c r="E94" s="7">
        <f>COUNTIF('384对'!$Y$194:$Y$241,"C")</f>
        <v/>
      </c>
      <c r="F94" s="7">
        <f>COUNTIF('384对'!$Y$194:$Y$241,"G")</f>
        <v/>
      </c>
      <c r="G94" s="7">
        <f>COUNTIF('384对'!$Y$194:$Y$241,"T")</f>
        <v/>
      </c>
      <c r="H94" s="8">
        <f>(E94+F94)/48</f>
        <v/>
      </c>
      <c r="I94" s="8">
        <f>(D94+E94)/48</f>
        <v/>
      </c>
      <c r="J94" s="8">
        <f>(D94+G94)/48</f>
        <v/>
      </c>
      <c r="K94" s="7">
        <f>IF(AND(H94&gt;=0.4,H94&lt;=0.6,I94&gt;=0.4,I94&lt;=0.6,J94&gt;=0.4,J94&lt;=0.6,MIN(D94:G94)&gt;=7.2),"是","否")</f>
        <v/>
      </c>
    </row>
    <row r="95">
      <c r="A95" s="7" t="inlineStr">
        <is>
          <t>48 组 5</t>
        </is>
      </c>
      <c r="B95" s="7" t="inlineStr">
        <is>
          <t>i7</t>
        </is>
      </c>
      <c r="C95" s="7" t="n">
        <v>4</v>
      </c>
      <c r="D95" s="7">
        <f>COUNTIF('384对'!$Z$194:$Z$241,"A")</f>
        <v/>
      </c>
      <c r="E95" s="7">
        <f>COUNTIF('384对'!$Z$194:$Z$241,"C")</f>
        <v/>
      </c>
      <c r="F95" s="7">
        <f>COUNTIF('384对'!$Z$194:$Z$241,"G")</f>
        <v/>
      </c>
      <c r="G95" s="7">
        <f>COUNTIF('384对'!$Z$194:$Z$241,"T")</f>
        <v/>
      </c>
      <c r="H95" s="8">
        <f>(E95+F95)/48</f>
        <v/>
      </c>
      <c r="I95" s="8">
        <f>(D95+E95)/48</f>
        <v/>
      </c>
      <c r="J95" s="8">
        <f>(D95+G95)/48</f>
        <v/>
      </c>
      <c r="K95" s="7">
        <f>IF(AND(H95&gt;=0.4,H95&lt;=0.6,I95&gt;=0.4,I95&lt;=0.6,J95&gt;=0.4,J95&lt;=0.6,MIN(D95:G95)&gt;=7.2),"是","否")</f>
        <v/>
      </c>
    </row>
    <row r="96">
      <c r="A96" s="7" t="inlineStr">
        <is>
          <t>48 组 5</t>
        </is>
      </c>
      <c r="B96" s="7" t="inlineStr">
        <is>
          <t>i7</t>
        </is>
      </c>
      <c r="C96" s="7" t="n">
        <v>5</v>
      </c>
      <c r="D96" s="7">
        <f>COUNTIF('384对'!$AA$194:$AA$241,"A")</f>
        <v/>
      </c>
      <c r="E96" s="7">
        <f>COUNTIF('384对'!$AA$194:$AA$241,"C")</f>
        <v/>
      </c>
      <c r="F96" s="7">
        <f>COUNTIF('384对'!$AA$194:$AA$241,"G")</f>
        <v/>
      </c>
      <c r="G96" s="7">
        <f>COUNTIF('384对'!$AA$194:$AA$241,"T")</f>
        <v/>
      </c>
      <c r="H96" s="8">
        <f>(E96+F96)/48</f>
        <v/>
      </c>
      <c r="I96" s="8">
        <f>(D96+E96)/48</f>
        <v/>
      </c>
      <c r="J96" s="8">
        <f>(D96+G96)/48</f>
        <v/>
      </c>
      <c r="K96" s="7">
        <f>IF(AND(H96&gt;=0.4,H96&lt;=0.6,I96&gt;=0.4,I96&lt;=0.6,J96&gt;=0.4,J96&lt;=0.6,MIN(D96:G96)&gt;=7.2),"是","否")</f>
        <v/>
      </c>
    </row>
    <row r="97">
      <c r="A97" s="7" t="inlineStr">
        <is>
          <t>48 组 5</t>
        </is>
      </c>
      <c r="B97" s="7" t="inlineStr">
        <is>
          <t>i7</t>
        </is>
      </c>
      <c r="C97" s="7" t="n">
        <v>6</v>
      </c>
      <c r="D97" s="7">
        <f>COUNTIF('384对'!$AB$194:$AB$241,"A")</f>
        <v/>
      </c>
      <c r="E97" s="7">
        <f>COUNTIF('384对'!$AB$194:$AB$241,"C")</f>
        <v/>
      </c>
      <c r="F97" s="7">
        <f>COUNTIF('384对'!$AB$194:$AB$241,"G")</f>
        <v/>
      </c>
      <c r="G97" s="7">
        <f>COUNTIF('384对'!$AB$194:$AB$241,"T")</f>
        <v/>
      </c>
      <c r="H97" s="8">
        <f>(E97+F97)/48</f>
        <v/>
      </c>
      <c r="I97" s="8">
        <f>(D97+E97)/48</f>
        <v/>
      </c>
      <c r="J97" s="8">
        <f>(D97+G97)/48</f>
        <v/>
      </c>
      <c r="K97" s="7">
        <f>IF(AND(H97&gt;=0.4,H97&lt;=0.6,I97&gt;=0.4,I97&lt;=0.6,J97&gt;=0.4,J97&lt;=0.6,MIN(D97:G97)&gt;=7.2),"是","否")</f>
        <v/>
      </c>
    </row>
    <row r="98">
      <c r="A98" s="7" t="inlineStr">
        <is>
          <t>48 组 5</t>
        </is>
      </c>
      <c r="B98" s="7" t="inlineStr">
        <is>
          <t>i7</t>
        </is>
      </c>
      <c r="C98" s="7" t="n">
        <v>7</v>
      </c>
      <c r="D98" s="7">
        <f>COUNTIF('384对'!$AC$194:$AC$241,"A")</f>
        <v/>
      </c>
      <c r="E98" s="7">
        <f>COUNTIF('384对'!$AC$194:$AC$241,"C")</f>
        <v/>
      </c>
      <c r="F98" s="7">
        <f>COUNTIF('384对'!$AC$194:$AC$241,"G")</f>
        <v/>
      </c>
      <c r="G98" s="7">
        <f>COUNTIF('384对'!$AC$194:$AC$241,"T")</f>
        <v/>
      </c>
      <c r="H98" s="8">
        <f>(E98+F98)/48</f>
        <v/>
      </c>
      <c r="I98" s="8">
        <f>(D98+E98)/48</f>
        <v/>
      </c>
      <c r="J98" s="8">
        <f>(D98+G98)/48</f>
        <v/>
      </c>
      <c r="K98" s="7">
        <f>IF(AND(H98&gt;=0.4,H98&lt;=0.6,I98&gt;=0.4,I98&lt;=0.6,J98&gt;=0.4,J98&lt;=0.6,MIN(D98:G98)&gt;=7.2),"是","否")</f>
        <v/>
      </c>
    </row>
    <row r="99">
      <c r="A99" s="7" t="inlineStr">
        <is>
          <t>48 组 5</t>
        </is>
      </c>
      <c r="B99" s="7" t="inlineStr">
        <is>
          <t>i7</t>
        </is>
      </c>
      <c r="C99" s="7" t="n">
        <v>8</v>
      </c>
      <c r="D99" s="7">
        <f>COUNTIF('384对'!$AD$194:$AD$241,"A")</f>
        <v/>
      </c>
      <c r="E99" s="7">
        <f>COUNTIF('384对'!$AD$194:$AD$241,"C")</f>
        <v/>
      </c>
      <c r="F99" s="7">
        <f>COUNTIF('384对'!$AD$194:$AD$241,"G")</f>
        <v/>
      </c>
      <c r="G99" s="7">
        <f>COUNTIF('384对'!$AD$194:$AD$241,"T")</f>
        <v/>
      </c>
      <c r="H99" s="8">
        <f>(E99+F99)/48</f>
        <v/>
      </c>
      <c r="I99" s="8">
        <f>(D99+E99)/48</f>
        <v/>
      </c>
      <c r="J99" s="8">
        <f>(D99+G99)/48</f>
        <v/>
      </c>
      <c r="K99" s="7">
        <f>IF(AND(H99&gt;=0.4,H99&lt;=0.6,I99&gt;=0.4,I99&lt;=0.6,J99&gt;=0.4,J99&lt;=0.6,MIN(D99:G99)&gt;=7.2),"是","否")</f>
        <v/>
      </c>
    </row>
    <row r="100">
      <c r="A100" s="7" t="inlineStr">
        <is>
          <t>48 组 5</t>
        </is>
      </c>
      <c r="B100" s="7" t="inlineStr">
        <is>
          <t>i7</t>
        </is>
      </c>
      <c r="C100" s="7" t="n">
        <v>9</v>
      </c>
      <c r="D100" s="7">
        <f>COUNTIF('384对'!$AE$194:$AE$241,"A")</f>
        <v/>
      </c>
      <c r="E100" s="7">
        <f>COUNTIF('384对'!$AE$194:$AE$241,"C")</f>
        <v/>
      </c>
      <c r="F100" s="7">
        <f>COUNTIF('384对'!$AE$194:$AE$241,"G")</f>
        <v/>
      </c>
      <c r="G100" s="7">
        <f>COUNTIF('384对'!$AE$194:$AE$241,"T")</f>
        <v/>
      </c>
      <c r="H100" s="8">
        <f>(E100+F100)/48</f>
        <v/>
      </c>
      <c r="I100" s="8">
        <f>(D100+E100)/48</f>
        <v/>
      </c>
      <c r="J100" s="8">
        <f>(D100+G100)/48</f>
        <v/>
      </c>
      <c r="K100" s="7">
        <f>IF(AND(H100&gt;=0.4,H100&lt;=0.6,I100&gt;=0.4,I100&lt;=0.6,J100&gt;=0.4,J100&lt;=0.6,MIN(D100:G100)&gt;=7.2),"是","否")</f>
        <v/>
      </c>
    </row>
    <row r="101">
      <c r="A101" s="7" t="inlineStr">
        <is>
          <t>48 组 5</t>
        </is>
      </c>
      <c r="B101" s="7" t="inlineStr">
        <is>
          <t>i7</t>
        </is>
      </c>
      <c r="C101" s="7" t="n">
        <v>10</v>
      </c>
      <c r="D101" s="7">
        <f>COUNTIF('384对'!$AF$194:$AF$241,"A")</f>
        <v/>
      </c>
      <c r="E101" s="7">
        <f>COUNTIF('384对'!$AF$194:$AF$241,"C")</f>
        <v/>
      </c>
      <c r="F101" s="7">
        <f>COUNTIF('384对'!$AF$194:$AF$241,"G")</f>
        <v/>
      </c>
      <c r="G101" s="7">
        <f>COUNTIF('384对'!$AF$194:$AF$241,"T")</f>
        <v/>
      </c>
      <c r="H101" s="8">
        <f>(E101+F101)/48</f>
        <v/>
      </c>
      <c r="I101" s="8">
        <f>(D101+E101)/48</f>
        <v/>
      </c>
      <c r="J101" s="8">
        <f>(D101+G101)/48</f>
        <v/>
      </c>
      <c r="K101" s="7">
        <f>IF(AND(H101&gt;=0.4,H101&lt;=0.6,I101&gt;=0.4,I101&lt;=0.6,J101&gt;=0.4,J101&lt;=0.6,MIN(D101:G101)&gt;=7.2),"是","否")</f>
        <v/>
      </c>
    </row>
    <row r="102">
      <c r="A102" s="7" t="inlineStr">
        <is>
          <t>48 组 6</t>
        </is>
      </c>
      <c r="B102" s="7" t="inlineStr">
        <is>
          <t>i5</t>
        </is>
      </c>
      <c r="C102" s="7" t="n">
        <v>1</v>
      </c>
      <c r="D102" s="7">
        <f>COUNTIF('384对'!$M$242:$M$289,"A")</f>
        <v/>
      </c>
      <c r="E102" s="7">
        <f>COUNTIF('384对'!$M$242:$M$289,"C")</f>
        <v/>
      </c>
      <c r="F102" s="7">
        <f>COUNTIF('384对'!$M$242:$M$289,"G")</f>
        <v/>
      </c>
      <c r="G102" s="7">
        <f>COUNTIF('384对'!$M$242:$M$289,"T")</f>
        <v/>
      </c>
      <c r="H102" s="8">
        <f>(E102+F102)/48</f>
        <v/>
      </c>
      <c r="I102" s="8">
        <f>(D102+E102)/48</f>
        <v/>
      </c>
      <c r="J102" s="8">
        <f>(D102+G102)/48</f>
        <v/>
      </c>
      <c r="K102" s="7">
        <f>IF(AND(H102&gt;=0.4,H102&lt;=0.6,I102&gt;=0.4,I102&lt;=0.6,J102&gt;=0.4,J102&lt;=0.6,MIN(D102:G102)&gt;=7.2),"是","否")</f>
        <v/>
      </c>
    </row>
    <row r="103">
      <c r="A103" s="7" t="inlineStr">
        <is>
          <t>48 组 6</t>
        </is>
      </c>
      <c r="B103" s="7" t="inlineStr">
        <is>
          <t>i5</t>
        </is>
      </c>
      <c r="C103" s="7" t="n">
        <v>2</v>
      </c>
      <c r="D103" s="7">
        <f>COUNTIF('384对'!$N$242:$N$289,"A")</f>
        <v/>
      </c>
      <c r="E103" s="7">
        <f>COUNTIF('384对'!$N$242:$N$289,"C")</f>
        <v/>
      </c>
      <c r="F103" s="7">
        <f>COUNTIF('384对'!$N$242:$N$289,"G")</f>
        <v/>
      </c>
      <c r="G103" s="7">
        <f>COUNTIF('384对'!$N$242:$N$289,"T")</f>
        <v/>
      </c>
      <c r="H103" s="8">
        <f>(E103+F103)/48</f>
        <v/>
      </c>
      <c r="I103" s="8">
        <f>(D103+E103)/48</f>
        <v/>
      </c>
      <c r="J103" s="8">
        <f>(D103+G103)/48</f>
        <v/>
      </c>
      <c r="K103" s="7">
        <f>IF(AND(H103&gt;=0.4,H103&lt;=0.6,I103&gt;=0.4,I103&lt;=0.6,J103&gt;=0.4,J103&lt;=0.6,MIN(D103:G103)&gt;=7.2),"是","否")</f>
        <v/>
      </c>
    </row>
    <row r="104">
      <c r="A104" s="7" t="inlineStr">
        <is>
          <t>48 组 6</t>
        </is>
      </c>
      <c r="B104" s="7" t="inlineStr">
        <is>
          <t>i5</t>
        </is>
      </c>
      <c r="C104" s="7" t="n">
        <v>3</v>
      </c>
      <c r="D104" s="7">
        <f>COUNTIF('384对'!$O$242:$O$289,"A")</f>
        <v/>
      </c>
      <c r="E104" s="7">
        <f>COUNTIF('384对'!$O$242:$O$289,"C")</f>
        <v/>
      </c>
      <c r="F104" s="7">
        <f>COUNTIF('384对'!$O$242:$O$289,"G")</f>
        <v/>
      </c>
      <c r="G104" s="7">
        <f>COUNTIF('384对'!$O$242:$O$289,"T")</f>
        <v/>
      </c>
      <c r="H104" s="8">
        <f>(E104+F104)/48</f>
        <v/>
      </c>
      <c r="I104" s="8">
        <f>(D104+E104)/48</f>
        <v/>
      </c>
      <c r="J104" s="8">
        <f>(D104+G104)/48</f>
        <v/>
      </c>
      <c r="K104" s="7">
        <f>IF(AND(H104&gt;=0.4,H104&lt;=0.6,I104&gt;=0.4,I104&lt;=0.6,J104&gt;=0.4,J104&lt;=0.6,MIN(D104:G104)&gt;=7.2),"是","否")</f>
        <v/>
      </c>
    </row>
    <row r="105">
      <c r="A105" s="7" t="inlineStr">
        <is>
          <t>48 组 6</t>
        </is>
      </c>
      <c r="B105" s="7" t="inlineStr">
        <is>
          <t>i5</t>
        </is>
      </c>
      <c r="C105" s="7" t="n">
        <v>4</v>
      </c>
      <c r="D105" s="7">
        <f>COUNTIF('384对'!$P$242:$P$289,"A")</f>
        <v/>
      </c>
      <c r="E105" s="7">
        <f>COUNTIF('384对'!$P$242:$P$289,"C")</f>
        <v/>
      </c>
      <c r="F105" s="7">
        <f>COUNTIF('384对'!$P$242:$P$289,"G")</f>
        <v/>
      </c>
      <c r="G105" s="7">
        <f>COUNTIF('384对'!$P$242:$P$289,"T")</f>
        <v/>
      </c>
      <c r="H105" s="8">
        <f>(E105+F105)/48</f>
        <v/>
      </c>
      <c r="I105" s="8">
        <f>(D105+E105)/48</f>
        <v/>
      </c>
      <c r="J105" s="8">
        <f>(D105+G105)/48</f>
        <v/>
      </c>
      <c r="K105" s="7">
        <f>IF(AND(H105&gt;=0.4,H105&lt;=0.6,I105&gt;=0.4,I105&lt;=0.6,J105&gt;=0.4,J105&lt;=0.6,MIN(D105:G105)&gt;=7.2),"是","否")</f>
        <v/>
      </c>
    </row>
    <row r="106">
      <c r="A106" s="7" t="inlineStr">
        <is>
          <t>48 组 6</t>
        </is>
      </c>
      <c r="B106" s="7" t="inlineStr">
        <is>
          <t>i5</t>
        </is>
      </c>
      <c r="C106" s="7" t="n">
        <v>5</v>
      </c>
      <c r="D106" s="7">
        <f>COUNTIF('384对'!$Q$242:$Q$289,"A")</f>
        <v/>
      </c>
      <c r="E106" s="7">
        <f>COUNTIF('384对'!$Q$242:$Q$289,"C")</f>
        <v/>
      </c>
      <c r="F106" s="7">
        <f>COUNTIF('384对'!$Q$242:$Q$289,"G")</f>
        <v/>
      </c>
      <c r="G106" s="7">
        <f>COUNTIF('384对'!$Q$242:$Q$289,"T")</f>
        <v/>
      </c>
      <c r="H106" s="8">
        <f>(E106+F106)/48</f>
        <v/>
      </c>
      <c r="I106" s="8">
        <f>(D106+E106)/48</f>
        <v/>
      </c>
      <c r="J106" s="8">
        <f>(D106+G106)/48</f>
        <v/>
      </c>
      <c r="K106" s="7">
        <f>IF(AND(H106&gt;=0.4,H106&lt;=0.6,I106&gt;=0.4,I106&lt;=0.6,J106&gt;=0.4,J106&lt;=0.6,MIN(D106:G106)&gt;=7.2),"是","否")</f>
        <v/>
      </c>
    </row>
    <row r="107">
      <c r="A107" s="7" t="inlineStr">
        <is>
          <t>48 组 6</t>
        </is>
      </c>
      <c r="B107" s="7" t="inlineStr">
        <is>
          <t>i5</t>
        </is>
      </c>
      <c r="C107" s="7" t="n">
        <v>6</v>
      </c>
      <c r="D107" s="7">
        <f>COUNTIF('384对'!$R$242:$R$289,"A")</f>
        <v/>
      </c>
      <c r="E107" s="7">
        <f>COUNTIF('384对'!$R$242:$R$289,"C")</f>
        <v/>
      </c>
      <c r="F107" s="7">
        <f>COUNTIF('384对'!$R$242:$R$289,"G")</f>
        <v/>
      </c>
      <c r="G107" s="7">
        <f>COUNTIF('384对'!$R$242:$R$289,"T")</f>
        <v/>
      </c>
      <c r="H107" s="8">
        <f>(E107+F107)/48</f>
        <v/>
      </c>
      <c r="I107" s="8">
        <f>(D107+E107)/48</f>
        <v/>
      </c>
      <c r="J107" s="8">
        <f>(D107+G107)/48</f>
        <v/>
      </c>
      <c r="K107" s="7">
        <f>IF(AND(H107&gt;=0.4,H107&lt;=0.6,I107&gt;=0.4,I107&lt;=0.6,J107&gt;=0.4,J107&lt;=0.6,MIN(D107:G107)&gt;=7.2),"是","否")</f>
        <v/>
      </c>
    </row>
    <row r="108">
      <c r="A108" s="7" t="inlineStr">
        <is>
          <t>48 组 6</t>
        </is>
      </c>
      <c r="B108" s="7" t="inlineStr">
        <is>
          <t>i5</t>
        </is>
      </c>
      <c r="C108" s="7" t="n">
        <v>7</v>
      </c>
      <c r="D108" s="7">
        <f>COUNTIF('384对'!$S$242:$S$289,"A")</f>
        <v/>
      </c>
      <c r="E108" s="7">
        <f>COUNTIF('384对'!$S$242:$S$289,"C")</f>
        <v/>
      </c>
      <c r="F108" s="7">
        <f>COUNTIF('384对'!$S$242:$S$289,"G")</f>
        <v/>
      </c>
      <c r="G108" s="7">
        <f>COUNTIF('384对'!$S$242:$S$289,"T")</f>
        <v/>
      </c>
      <c r="H108" s="8">
        <f>(E108+F108)/48</f>
        <v/>
      </c>
      <c r="I108" s="8">
        <f>(D108+E108)/48</f>
        <v/>
      </c>
      <c r="J108" s="8">
        <f>(D108+G108)/48</f>
        <v/>
      </c>
      <c r="K108" s="7">
        <f>IF(AND(H108&gt;=0.4,H108&lt;=0.6,I108&gt;=0.4,I108&lt;=0.6,J108&gt;=0.4,J108&lt;=0.6,MIN(D108:G108)&gt;=7.2),"是","否")</f>
        <v/>
      </c>
    </row>
    <row r="109">
      <c r="A109" s="7" t="inlineStr">
        <is>
          <t>48 组 6</t>
        </is>
      </c>
      <c r="B109" s="7" t="inlineStr">
        <is>
          <t>i5</t>
        </is>
      </c>
      <c r="C109" s="7" t="n">
        <v>8</v>
      </c>
      <c r="D109" s="7">
        <f>COUNTIF('384对'!$T$242:$T$289,"A")</f>
        <v/>
      </c>
      <c r="E109" s="7">
        <f>COUNTIF('384对'!$T$242:$T$289,"C")</f>
        <v/>
      </c>
      <c r="F109" s="7">
        <f>COUNTIF('384对'!$T$242:$T$289,"G")</f>
        <v/>
      </c>
      <c r="G109" s="7">
        <f>COUNTIF('384对'!$T$242:$T$289,"T")</f>
        <v/>
      </c>
      <c r="H109" s="8">
        <f>(E109+F109)/48</f>
        <v/>
      </c>
      <c r="I109" s="8">
        <f>(D109+E109)/48</f>
        <v/>
      </c>
      <c r="J109" s="8">
        <f>(D109+G109)/48</f>
        <v/>
      </c>
      <c r="K109" s="7">
        <f>IF(AND(H109&gt;=0.4,H109&lt;=0.6,I109&gt;=0.4,I109&lt;=0.6,J109&gt;=0.4,J109&lt;=0.6,MIN(D109:G109)&gt;=7.2),"是","否")</f>
        <v/>
      </c>
    </row>
    <row r="110">
      <c r="A110" s="7" t="inlineStr">
        <is>
          <t>48 组 6</t>
        </is>
      </c>
      <c r="B110" s="7" t="inlineStr">
        <is>
          <t>i5</t>
        </is>
      </c>
      <c r="C110" s="7" t="n">
        <v>9</v>
      </c>
      <c r="D110" s="7">
        <f>COUNTIF('384对'!$U$242:$U$289,"A")</f>
        <v/>
      </c>
      <c r="E110" s="7">
        <f>COUNTIF('384对'!$U$242:$U$289,"C")</f>
        <v/>
      </c>
      <c r="F110" s="7">
        <f>COUNTIF('384对'!$U$242:$U$289,"G")</f>
        <v/>
      </c>
      <c r="G110" s="7">
        <f>COUNTIF('384对'!$U$242:$U$289,"T")</f>
        <v/>
      </c>
      <c r="H110" s="8">
        <f>(E110+F110)/48</f>
        <v/>
      </c>
      <c r="I110" s="8">
        <f>(D110+E110)/48</f>
        <v/>
      </c>
      <c r="J110" s="8">
        <f>(D110+G110)/48</f>
        <v/>
      </c>
      <c r="K110" s="7">
        <f>IF(AND(H110&gt;=0.4,H110&lt;=0.6,I110&gt;=0.4,I110&lt;=0.6,J110&gt;=0.4,J110&lt;=0.6,MIN(D110:G110)&gt;=7.2),"是","否")</f>
        <v/>
      </c>
    </row>
    <row r="111">
      <c r="A111" s="7" t="inlineStr">
        <is>
          <t>48 组 6</t>
        </is>
      </c>
      <c r="B111" s="7" t="inlineStr">
        <is>
          <t>i5</t>
        </is>
      </c>
      <c r="C111" s="7" t="n">
        <v>10</v>
      </c>
      <c r="D111" s="7">
        <f>COUNTIF('384对'!$V$242:$V$289,"A")</f>
        <v/>
      </c>
      <c r="E111" s="7">
        <f>COUNTIF('384对'!$V$242:$V$289,"C")</f>
        <v/>
      </c>
      <c r="F111" s="7">
        <f>COUNTIF('384对'!$V$242:$V$289,"G")</f>
        <v/>
      </c>
      <c r="G111" s="7">
        <f>COUNTIF('384对'!$V$242:$V$289,"T")</f>
        <v/>
      </c>
      <c r="H111" s="8">
        <f>(E111+F111)/48</f>
        <v/>
      </c>
      <c r="I111" s="8">
        <f>(D111+E111)/48</f>
        <v/>
      </c>
      <c r="J111" s="8">
        <f>(D111+G111)/48</f>
        <v/>
      </c>
      <c r="K111" s="7">
        <f>IF(AND(H111&gt;=0.4,H111&lt;=0.6,I111&gt;=0.4,I111&lt;=0.6,J111&gt;=0.4,J111&lt;=0.6,MIN(D111:G111)&gt;=7.2),"是","否")</f>
        <v/>
      </c>
    </row>
    <row r="112">
      <c r="A112" s="7" t="inlineStr">
        <is>
          <t>48 组 6</t>
        </is>
      </c>
      <c r="B112" s="7" t="inlineStr">
        <is>
          <t>i7</t>
        </is>
      </c>
      <c r="C112" s="7" t="n">
        <v>1</v>
      </c>
      <c r="D112" s="7">
        <f>COUNTIF('384对'!$W$242:$W$289,"A")</f>
        <v/>
      </c>
      <c r="E112" s="7">
        <f>COUNTIF('384对'!$W$242:$W$289,"C")</f>
        <v/>
      </c>
      <c r="F112" s="7">
        <f>COUNTIF('384对'!$W$242:$W$289,"G")</f>
        <v/>
      </c>
      <c r="G112" s="7">
        <f>COUNTIF('384对'!$W$242:$W$289,"T")</f>
        <v/>
      </c>
      <c r="H112" s="8">
        <f>(E112+F112)/48</f>
        <v/>
      </c>
      <c r="I112" s="8">
        <f>(D112+E112)/48</f>
        <v/>
      </c>
      <c r="J112" s="8">
        <f>(D112+G112)/48</f>
        <v/>
      </c>
      <c r="K112" s="7">
        <f>IF(AND(H112&gt;=0.4,H112&lt;=0.6,I112&gt;=0.4,I112&lt;=0.6,J112&gt;=0.4,J112&lt;=0.6,MIN(D112:G112)&gt;=7.2),"是","否")</f>
        <v/>
      </c>
    </row>
    <row r="113">
      <c r="A113" s="7" t="inlineStr">
        <is>
          <t>48 组 6</t>
        </is>
      </c>
      <c r="B113" s="7" t="inlineStr">
        <is>
          <t>i7</t>
        </is>
      </c>
      <c r="C113" s="7" t="n">
        <v>2</v>
      </c>
      <c r="D113" s="7">
        <f>COUNTIF('384对'!$X$242:$X$289,"A")</f>
        <v/>
      </c>
      <c r="E113" s="7">
        <f>COUNTIF('384对'!$X$242:$X$289,"C")</f>
        <v/>
      </c>
      <c r="F113" s="7">
        <f>COUNTIF('384对'!$X$242:$X$289,"G")</f>
        <v/>
      </c>
      <c r="G113" s="7">
        <f>COUNTIF('384对'!$X$242:$X$289,"T")</f>
        <v/>
      </c>
      <c r="H113" s="8">
        <f>(E113+F113)/48</f>
        <v/>
      </c>
      <c r="I113" s="8">
        <f>(D113+E113)/48</f>
        <v/>
      </c>
      <c r="J113" s="8">
        <f>(D113+G113)/48</f>
        <v/>
      </c>
      <c r="K113" s="7">
        <f>IF(AND(H113&gt;=0.4,H113&lt;=0.6,I113&gt;=0.4,I113&lt;=0.6,J113&gt;=0.4,J113&lt;=0.6,MIN(D113:G113)&gt;=7.2),"是","否")</f>
        <v/>
      </c>
    </row>
    <row r="114">
      <c r="A114" s="7" t="inlineStr">
        <is>
          <t>48 组 6</t>
        </is>
      </c>
      <c r="B114" s="7" t="inlineStr">
        <is>
          <t>i7</t>
        </is>
      </c>
      <c r="C114" s="7" t="n">
        <v>3</v>
      </c>
      <c r="D114" s="7">
        <f>COUNTIF('384对'!$Y$242:$Y$289,"A")</f>
        <v/>
      </c>
      <c r="E114" s="7">
        <f>COUNTIF('384对'!$Y$242:$Y$289,"C")</f>
        <v/>
      </c>
      <c r="F114" s="7">
        <f>COUNTIF('384对'!$Y$242:$Y$289,"G")</f>
        <v/>
      </c>
      <c r="G114" s="7">
        <f>COUNTIF('384对'!$Y$242:$Y$289,"T")</f>
        <v/>
      </c>
      <c r="H114" s="8">
        <f>(E114+F114)/48</f>
        <v/>
      </c>
      <c r="I114" s="8">
        <f>(D114+E114)/48</f>
        <v/>
      </c>
      <c r="J114" s="8">
        <f>(D114+G114)/48</f>
        <v/>
      </c>
      <c r="K114" s="7">
        <f>IF(AND(H114&gt;=0.4,H114&lt;=0.6,I114&gt;=0.4,I114&lt;=0.6,J114&gt;=0.4,J114&lt;=0.6,MIN(D114:G114)&gt;=7.2),"是","否")</f>
        <v/>
      </c>
    </row>
    <row r="115">
      <c r="A115" s="7" t="inlineStr">
        <is>
          <t>48 组 6</t>
        </is>
      </c>
      <c r="B115" s="7" t="inlineStr">
        <is>
          <t>i7</t>
        </is>
      </c>
      <c r="C115" s="7" t="n">
        <v>4</v>
      </c>
      <c r="D115" s="7">
        <f>COUNTIF('384对'!$Z$242:$Z$289,"A")</f>
        <v/>
      </c>
      <c r="E115" s="7">
        <f>COUNTIF('384对'!$Z$242:$Z$289,"C")</f>
        <v/>
      </c>
      <c r="F115" s="7">
        <f>COUNTIF('384对'!$Z$242:$Z$289,"G")</f>
        <v/>
      </c>
      <c r="G115" s="7">
        <f>COUNTIF('384对'!$Z$242:$Z$289,"T")</f>
        <v/>
      </c>
      <c r="H115" s="8">
        <f>(E115+F115)/48</f>
        <v/>
      </c>
      <c r="I115" s="8">
        <f>(D115+E115)/48</f>
        <v/>
      </c>
      <c r="J115" s="8">
        <f>(D115+G115)/48</f>
        <v/>
      </c>
      <c r="K115" s="7">
        <f>IF(AND(H115&gt;=0.4,H115&lt;=0.6,I115&gt;=0.4,I115&lt;=0.6,J115&gt;=0.4,J115&lt;=0.6,MIN(D115:G115)&gt;=7.2),"是","否")</f>
        <v/>
      </c>
    </row>
    <row r="116">
      <c r="A116" s="7" t="inlineStr">
        <is>
          <t>48 组 6</t>
        </is>
      </c>
      <c r="B116" s="7" t="inlineStr">
        <is>
          <t>i7</t>
        </is>
      </c>
      <c r="C116" s="7" t="n">
        <v>5</v>
      </c>
      <c r="D116" s="7">
        <f>COUNTIF('384对'!$AA$242:$AA$289,"A")</f>
        <v/>
      </c>
      <c r="E116" s="7">
        <f>COUNTIF('384对'!$AA$242:$AA$289,"C")</f>
        <v/>
      </c>
      <c r="F116" s="7">
        <f>COUNTIF('384对'!$AA$242:$AA$289,"G")</f>
        <v/>
      </c>
      <c r="G116" s="7">
        <f>COUNTIF('384对'!$AA$242:$AA$289,"T")</f>
        <v/>
      </c>
      <c r="H116" s="8">
        <f>(E116+F116)/48</f>
        <v/>
      </c>
      <c r="I116" s="8">
        <f>(D116+E116)/48</f>
        <v/>
      </c>
      <c r="J116" s="8">
        <f>(D116+G116)/48</f>
        <v/>
      </c>
      <c r="K116" s="7">
        <f>IF(AND(H116&gt;=0.4,H116&lt;=0.6,I116&gt;=0.4,I116&lt;=0.6,J116&gt;=0.4,J116&lt;=0.6,MIN(D116:G116)&gt;=7.2),"是","否")</f>
        <v/>
      </c>
    </row>
    <row r="117">
      <c r="A117" s="7" t="inlineStr">
        <is>
          <t>48 组 6</t>
        </is>
      </c>
      <c r="B117" s="7" t="inlineStr">
        <is>
          <t>i7</t>
        </is>
      </c>
      <c r="C117" s="7" t="n">
        <v>6</v>
      </c>
      <c r="D117" s="7">
        <f>COUNTIF('384对'!$AB$242:$AB$289,"A")</f>
        <v/>
      </c>
      <c r="E117" s="7">
        <f>COUNTIF('384对'!$AB$242:$AB$289,"C")</f>
        <v/>
      </c>
      <c r="F117" s="7">
        <f>COUNTIF('384对'!$AB$242:$AB$289,"G")</f>
        <v/>
      </c>
      <c r="G117" s="7">
        <f>COUNTIF('384对'!$AB$242:$AB$289,"T")</f>
        <v/>
      </c>
      <c r="H117" s="8">
        <f>(E117+F117)/48</f>
        <v/>
      </c>
      <c r="I117" s="8">
        <f>(D117+E117)/48</f>
        <v/>
      </c>
      <c r="J117" s="8">
        <f>(D117+G117)/48</f>
        <v/>
      </c>
      <c r="K117" s="7">
        <f>IF(AND(H117&gt;=0.4,H117&lt;=0.6,I117&gt;=0.4,I117&lt;=0.6,J117&gt;=0.4,J117&lt;=0.6,MIN(D117:G117)&gt;=7.2),"是","否")</f>
        <v/>
      </c>
    </row>
    <row r="118">
      <c r="A118" s="7" t="inlineStr">
        <is>
          <t>48 组 6</t>
        </is>
      </c>
      <c r="B118" s="7" t="inlineStr">
        <is>
          <t>i7</t>
        </is>
      </c>
      <c r="C118" s="7" t="n">
        <v>7</v>
      </c>
      <c r="D118" s="7">
        <f>COUNTIF('384对'!$AC$242:$AC$289,"A")</f>
        <v/>
      </c>
      <c r="E118" s="7">
        <f>COUNTIF('384对'!$AC$242:$AC$289,"C")</f>
        <v/>
      </c>
      <c r="F118" s="7">
        <f>COUNTIF('384对'!$AC$242:$AC$289,"G")</f>
        <v/>
      </c>
      <c r="G118" s="7">
        <f>COUNTIF('384对'!$AC$242:$AC$289,"T")</f>
        <v/>
      </c>
      <c r="H118" s="8">
        <f>(E118+F118)/48</f>
        <v/>
      </c>
      <c r="I118" s="8">
        <f>(D118+E118)/48</f>
        <v/>
      </c>
      <c r="J118" s="8">
        <f>(D118+G118)/48</f>
        <v/>
      </c>
      <c r="K118" s="7">
        <f>IF(AND(H118&gt;=0.4,H118&lt;=0.6,I118&gt;=0.4,I118&lt;=0.6,J118&gt;=0.4,J118&lt;=0.6,MIN(D118:G118)&gt;=7.2),"是","否")</f>
        <v/>
      </c>
    </row>
    <row r="119">
      <c r="A119" s="7" t="inlineStr">
        <is>
          <t>48 组 6</t>
        </is>
      </c>
      <c r="B119" s="7" t="inlineStr">
        <is>
          <t>i7</t>
        </is>
      </c>
      <c r="C119" s="7" t="n">
        <v>8</v>
      </c>
      <c r="D119" s="7">
        <f>COUNTIF('384对'!$AD$242:$AD$289,"A")</f>
        <v/>
      </c>
      <c r="E119" s="7">
        <f>COUNTIF('384对'!$AD$242:$AD$289,"C")</f>
        <v/>
      </c>
      <c r="F119" s="7">
        <f>COUNTIF('384对'!$AD$242:$AD$289,"G")</f>
        <v/>
      </c>
      <c r="G119" s="7">
        <f>COUNTIF('384对'!$AD$242:$AD$289,"T")</f>
        <v/>
      </c>
      <c r="H119" s="8">
        <f>(E119+F119)/48</f>
        <v/>
      </c>
      <c r="I119" s="8">
        <f>(D119+E119)/48</f>
        <v/>
      </c>
      <c r="J119" s="8">
        <f>(D119+G119)/48</f>
        <v/>
      </c>
      <c r="K119" s="7">
        <f>IF(AND(H119&gt;=0.4,H119&lt;=0.6,I119&gt;=0.4,I119&lt;=0.6,J119&gt;=0.4,J119&lt;=0.6,MIN(D119:G119)&gt;=7.2),"是","否")</f>
        <v/>
      </c>
    </row>
    <row r="120">
      <c r="A120" s="7" t="inlineStr">
        <is>
          <t>48 组 6</t>
        </is>
      </c>
      <c r="B120" s="7" t="inlineStr">
        <is>
          <t>i7</t>
        </is>
      </c>
      <c r="C120" s="7" t="n">
        <v>9</v>
      </c>
      <c r="D120" s="7">
        <f>COUNTIF('384对'!$AE$242:$AE$289,"A")</f>
        <v/>
      </c>
      <c r="E120" s="7">
        <f>COUNTIF('384对'!$AE$242:$AE$289,"C")</f>
        <v/>
      </c>
      <c r="F120" s="7">
        <f>COUNTIF('384对'!$AE$242:$AE$289,"G")</f>
        <v/>
      </c>
      <c r="G120" s="7">
        <f>COUNTIF('384对'!$AE$242:$AE$289,"T")</f>
        <v/>
      </c>
      <c r="H120" s="8">
        <f>(E120+F120)/48</f>
        <v/>
      </c>
      <c r="I120" s="8">
        <f>(D120+E120)/48</f>
        <v/>
      </c>
      <c r="J120" s="8">
        <f>(D120+G120)/48</f>
        <v/>
      </c>
      <c r="K120" s="7">
        <f>IF(AND(H120&gt;=0.4,H120&lt;=0.6,I120&gt;=0.4,I120&lt;=0.6,J120&gt;=0.4,J120&lt;=0.6,MIN(D120:G120)&gt;=7.2),"是","否")</f>
        <v/>
      </c>
    </row>
    <row r="121">
      <c r="A121" s="7" t="inlineStr">
        <is>
          <t>48 组 6</t>
        </is>
      </c>
      <c r="B121" s="7" t="inlineStr">
        <is>
          <t>i7</t>
        </is>
      </c>
      <c r="C121" s="7" t="n">
        <v>10</v>
      </c>
      <c r="D121" s="7">
        <f>COUNTIF('384对'!$AF$242:$AF$289,"A")</f>
        <v/>
      </c>
      <c r="E121" s="7">
        <f>COUNTIF('384对'!$AF$242:$AF$289,"C")</f>
        <v/>
      </c>
      <c r="F121" s="7">
        <f>COUNTIF('384对'!$AF$242:$AF$289,"G")</f>
        <v/>
      </c>
      <c r="G121" s="7">
        <f>COUNTIF('384对'!$AF$242:$AF$289,"T")</f>
        <v/>
      </c>
      <c r="H121" s="8">
        <f>(E121+F121)/48</f>
        <v/>
      </c>
      <c r="I121" s="8">
        <f>(D121+E121)/48</f>
        <v/>
      </c>
      <c r="J121" s="8">
        <f>(D121+G121)/48</f>
        <v/>
      </c>
      <c r="K121" s="7">
        <f>IF(AND(H121&gt;=0.4,H121&lt;=0.6,I121&gt;=0.4,I121&lt;=0.6,J121&gt;=0.4,J121&lt;=0.6,MIN(D121:G121)&gt;=7.2),"是","否")</f>
        <v/>
      </c>
    </row>
    <row r="122">
      <c r="A122" s="7" t="inlineStr">
        <is>
          <t>48 组 7</t>
        </is>
      </c>
      <c r="B122" s="7" t="inlineStr">
        <is>
          <t>i5</t>
        </is>
      </c>
      <c r="C122" s="7" t="n">
        <v>1</v>
      </c>
      <c r="D122" s="7">
        <f>COUNTIF('384对'!$M$290:$M$337,"A")</f>
        <v/>
      </c>
      <c r="E122" s="7">
        <f>COUNTIF('384对'!$M$290:$M$337,"C")</f>
        <v/>
      </c>
      <c r="F122" s="7">
        <f>COUNTIF('384对'!$M$290:$M$337,"G")</f>
        <v/>
      </c>
      <c r="G122" s="7">
        <f>COUNTIF('384对'!$M$290:$M$337,"T")</f>
        <v/>
      </c>
      <c r="H122" s="8">
        <f>(E122+F122)/48</f>
        <v/>
      </c>
      <c r="I122" s="8">
        <f>(D122+E122)/48</f>
        <v/>
      </c>
      <c r="J122" s="8">
        <f>(D122+G122)/48</f>
        <v/>
      </c>
      <c r="K122" s="7">
        <f>IF(AND(H122&gt;=0.4,H122&lt;=0.6,I122&gt;=0.4,I122&lt;=0.6,J122&gt;=0.4,J122&lt;=0.6,MIN(D122:G122)&gt;=7.2),"是","否")</f>
        <v/>
      </c>
    </row>
    <row r="123">
      <c r="A123" s="7" t="inlineStr">
        <is>
          <t>48 组 7</t>
        </is>
      </c>
      <c r="B123" s="7" t="inlineStr">
        <is>
          <t>i5</t>
        </is>
      </c>
      <c r="C123" s="7" t="n">
        <v>2</v>
      </c>
      <c r="D123" s="7">
        <f>COUNTIF('384对'!$N$290:$N$337,"A")</f>
        <v/>
      </c>
      <c r="E123" s="7">
        <f>COUNTIF('384对'!$N$290:$N$337,"C")</f>
        <v/>
      </c>
      <c r="F123" s="7">
        <f>COUNTIF('384对'!$N$290:$N$337,"G")</f>
        <v/>
      </c>
      <c r="G123" s="7">
        <f>COUNTIF('384对'!$N$290:$N$337,"T")</f>
        <v/>
      </c>
      <c r="H123" s="8">
        <f>(E123+F123)/48</f>
        <v/>
      </c>
      <c r="I123" s="8">
        <f>(D123+E123)/48</f>
        <v/>
      </c>
      <c r="J123" s="8">
        <f>(D123+G123)/48</f>
        <v/>
      </c>
      <c r="K123" s="7">
        <f>IF(AND(H123&gt;=0.4,H123&lt;=0.6,I123&gt;=0.4,I123&lt;=0.6,J123&gt;=0.4,J123&lt;=0.6,MIN(D123:G123)&gt;=7.2),"是","否")</f>
        <v/>
      </c>
    </row>
    <row r="124">
      <c r="A124" s="7" t="inlineStr">
        <is>
          <t>48 组 7</t>
        </is>
      </c>
      <c r="B124" s="7" t="inlineStr">
        <is>
          <t>i5</t>
        </is>
      </c>
      <c r="C124" s="7" t="n">
        <v>3</v>
      </c>
      <c r="D124" s="7">
        <f>COUNTIF('384对'!$O$290:$O$337,"A")</f>
        <v/>
      </c>
      <c r="E124" s="7">
        <f>COUNTIF('384对'!$O$290:$O$337,"C")</f>
        <v/>
      </c>
      <c r="F124" s="7">
        <f>COUNTIF('384对'!$O$290:$O$337,"G")</f>
        <v/>
      </c>
      <c r="G124" s="7">
        <f>COUNTIF('384对'!$O$290:$O$337,"T")</f>
        <v/>
      </c>
      <c r="H124" s="8">
        <f>(E124+F124)/48</f>
        <v/>
      </c>
      <c r="I124" s="8">
        <f>(D124+E124)/48</f>
        <v/>
      </c>
      <c r="J124" s="8">
        <f>(D124+G124)/48</f>
        <v/>
      </c>
      <c r="K124" s="7">
        <f>IF(AND(H124&gt;=0.4,H124&lt;=0.6,I124&gt;=0.4,I124&lt;=0.6,J124&gt;=0.4,J124&lt;=0.6,MIN(D124:G124)&gt;=7.2),"是","否")</f>
        <v/>
      </c>
    </row>
    <row r="125">
      <c r="A125" s="7" t="inlineStr">
        <is>
          <t>48 组 7</t>
        </is>
      </c>
      <c r="B125" s="7" t="inlineStr">
        <is>
          <t>i5</t>
        </is>
      </c>
      <c r="C125" s="7" t="n">
        <v>4</v>
      </c>
      <c r="D125" s="7">
        <f>COUNTIF('384对'!$P$290:$P$337,"A")</f>
        <v/>
      </c>
      <c r="E125" s="7">
        <f>COUNTIF('384对'!$P$290:$P$337,"C")</f>
        <v/>
      </c>
      <c r="F125" s="7">
        <f>COUNTIF('384对'!$P$290:$P$337,"G")</f>
        <v/>
      </c>
      <c r="G125" s="7">
        <f>COUNTIF('384对'!$P$290:$P$337,"T")</f>
        <v/>
      </c>
      <c r="H125" s="8">
        <f>(E125+F125)/48</f>
        <v/>
      </c>
      <c r="I125" s="8">
        <f>(D125+E125)/48</f>
        <v/>
      </c>
      <c r="J125" s="8">
        <f>(D125+G125)/48</f>
        <v/>
      </c>
      <c r="K125" s="7">
        <f>IF(AND(H125&gt;=0.4,H125&lt;=0.6,I125&gt;=0.4,I125&lt;=0.6,J125&gt;=0.4,J125&lt;=0.6,MIN(D125:G125)&gt;=7.2),"是","否")</f>
        <v/>
      </c>
    </row>
    <row r="126">
      <c r="A126" s="7" t="inlineStr">
        <is>
          <t>48 组 7</t>
        </is>
      </c>
      <c r="B126" s="7" t="inlineStr">
        <is>
          <t>i5</t>
        </is>
      </c>
      <c r="C126" s="7" t="n">
        <v>5</v>
      </c>
      <c r="D126" s="7">
        <f>COUNTIF('384对'!$Q$290:$Q$337,"A")</f>
        <v/>
      </c>
      <c r="E126" s="7">
        <f>COUNTIF('384对'!$Q$290:$Q$337,"C")</f>
        <v/>
      </c>
      <c r="F126" s="7">
        <f>COUNTIF('384对'!$Q$290:$Q$337,"G")</f>
        <v/>
      </c>
      <c r="G126" s="7">
        <f>COUNTIF('384对'!$Q$290:$Q$337,"T")</f>
        <v/>
      </c>
      <c r="H126" s="8">
        <f>(E126+F126)/48</f>
        <v/>
      </c>
      <c r="I126" s="8">
        <f>(D126+E126)/48</f>
        <v/>
      </c>
      <c r="J126" s="8">
        <f>(D126+G126)/48</f>
        <v/>
      </c>
      <c r="K126" s="7">
        <f>IF(AND(H126&gt;=0.4,H126&lt;=0.6,I126&gt;=0.4,I126&lt;=0.6,J126&gt;=0.4,J126&lt;=0.6,MIN(D126:G126)&gt;=7.2),"是","否")</f>
        <v/>
      </c>
    </row>
    <row r="127">
      <c r="A127" s="7" t="inlineStr">
        <is>
          <t>48 组 7</t>
        </is>
      </c>
      <c r="B127" s="7" t="inlineStr">
        <is>
          <t>i5</t>
        </is>
      </c>
      <c r="C127" s="7" t="n">
        <v>6</v>
      </c>
      <c r="D127" s="7">
        <f>COUNTIF('384对'!$R$290:$R$337,"A")</f>
        <v/>
      </c>
      <c r="E127" s="7">
        <f>COUNTIF('384对'!$R$290:$R$337,"C")</f>
        <v/>
      </c>
      <c r="F127" s="7">
        <f>COUNTIF('384对'!$R$290:$R$337,"G")</f>
        <v/>
      </c>
      <c r="G127" s="7">
        <f>COUNTIF('384对'!$R$290:$R$337,"T")</f>
        <v/>
      </c>
      <c r="H127" s="8">
        <f>(E127+F127)/48</f>
        <v/>
      </c>
      <c r="I127" s="8">
        <f>(D127+E127)/48</f>
        <v/>
      </c>
      <c r="J127" s="8">
        <f>(D127+G127)/48</f>
        <v/>
      </c>
      <c r="K127" s="7">
        <f>IF(AND(H127&gt;=0.4,H127&lt;=0.6,I127&gt;=0.4,I127&lt;=0.6,J127&gt;=0.4,J127&lt;=0.6,MIN(D127:G127)&gt;=7.2),"是","否")</f>
        <v/>
      </c>
    </row>
    <row r="128">
      <c r="A128" s="7" t="inlineStr">
        <is>
          <t>48 组 7</t>
        </is>
      </c>
      <c r="B128" s="7" t="inlineStr">
        <is>
          <t>i5</t>
        </is>
      </c>
      <c r="C128" s="7" t="n">
        <v>7</v>
      </c>
      <c r="D128" s="7">
        <f>COUNTIF('384对'!$S$290:$S$337,"A")</f>
        <v/>
      </c>
      <c r="E128" s="7">
        <f>COUNTIF('384对'!$S$290:$S$337,"C")</f>
        <v/>
      </c>
      <c r="F128" s="7">
        <f>COUNTIF('384对'!$S$290:$S$337,"G")</f>
        <v/>
      </c>
      <c r="G128" s="7">
        <f>COUNTIF('384对'!$S$290:$S$337,"T")</f>
        <v/>
      </c>
      <c r="H128" s="8">
        <f>(E128+F128)/48</f>
        <v/>
      </c>
      <c r="I128" s="8">
        <f>(D128+E128)/48</f>
        <v/>
      </c>
      <c r="J128" s="8">
        <f>(D128+G128)/48</f>
        <v/>
      </c>
      <c r="K128" s="7">
        <f>IF(AND(H128&gt;=0.4,H128&lt;=0.6,I128&gt;=0.4,I128&lt;=0.6,J128&gt;=0.4,J128&lt;=0.6,MIN(D128:G128)&gt;=7.2),"是","否")</f>
        <v/>
      </c>
    </row>
    <row r="129">
      <c r="A129" s="7" t="inlineStr">
        <is>
          <t>48 组 7</t>
        </is>
      </c>
      <c r="B129" s="7" t="inlineStr">
        <is>
          <t>i5</t>
        </is>
      </c>
      <c r="C129" s="7" t="n">
        <v>8</v>
      </c>
      <c r="D129" s="7">
        <f>COUNTIF('384对'!$T$290:$T$337,"A")</f>
        <v/>
      </c>
      <c r="E129" s="7">
        <f>COUNTIF('384对'!$T$290:$T$337,"C")</f>
        <v/>
      </c>
      <c r="F129" s="7">
        <f>COUNTIF('384对'!$T$290:$T$337,"G")</f>
        <v/>
      </c>
      <c r="G129" s="7">
        <f>COUNTIF('384对'!$T$290:$T$337,"T")</f>
        <v/>
      </c>
      <c r="H129" s="8">
        <f>(E129+F129)/48</f>
        <v/>
      </c>
      <c r="I129" s="8">
        <f>(D129+E129)/48</f>
        <v/>
      </c>
      <c r="J129" s="8">
        <f>(D129+G129)/48</f>
        <v/>
      </c>
      <c r="K129" s="7">
        <f>IF(AND(H129&gt;=0.4,H129&lt;=0.6,I129&gt;=0.4,I129&lt;=0.6,J129&gt;=0.4,J129&lt;=0.6,MIN(D129:G129)&gt;=7.2),"是","否")</f>
        <v/>
      </c>
    </row>
    <row r="130">
      <c r="A130" s="7" t="inlineStr">
        <is>
          <t>48 组 7</t>
        </is>
      </c>
      <c r="B130" s="7" t="inlineStr">
        <is>
          <t>i5</t>
        </is>
      </c>
      <c r="C130" s="7" t="n">
        <v>9</v>
      </c>
      <c r="D130" s="7">
        <f>COUNTIF('384对'!$U$290:$U$337,"A")</f>
        <v/>
      </c>
      <c r="E130" s="7">
        <f>COUNTIF('384对'!$U$290:$U$337,"C")</f>
        <v/>
      </c>
      <c r="F130" s="7">
        <f>COUNTIF('384对'!$U$290:$U$337,"G")</f>
        <v/>
      </c>
      <c r="G130" s="7">
        <f>COUNTIF('384对'!$U$290:$U$337,"T")</f>
        <v/>
      </c>
      <c r="H130" s="8">
        <f>(E130+F130)/48</f>
        <v/>
      </c>
      <c r="I130" s="8">
        <f>(D130+E130)/48</f>
        <v/>
      </c>
      <c r="J130" s="8">
        <f>(D130+G130)/48</f>
        <v/>
      </c>
      <c r="K130" s="7">
        <f>IF(AND(H130&gt;=0.4,H130&lt;=0.6,I130&gt;=0.4,I130&lt;=0.6,J130&gt;=0.4,J130&lt;=0.6,MIN(D130:G130)&gt;=7.2),"是","否")</f>
        <v/>
      </c>
    </row>
    <row r="131">
      <c r="A131" s="7" t="inlineStr">
        <is>
          <t>48 组 7</t>
        </is>
      </c>
      <c r="B131" s="7" t="inlineStr">
        <is>
          <t>i5</t>
        </is>
      </c>
      <c r="C131" s="7" t="n">
        <v>10</v>
      </c>
      <c r="D131" s="7">
        <f>COUNTIF('384对'!$V$290:$V$337,"A")</f>
        <v/>
      </c>
      <c r="E131" s="7">
        <f>COUNTIF('384对'!$V$290:$V$337,"C")</f>
        <v/>
      </c>
      <c r="F131" s="7">
        <f>COUNTIF('384对'!$V$290:$V$337,"G")</f>
        <v/>
      </c>
      <c r="G131" s="7">
        <f>COUNTIF('384对'!$V$290:$V$337,"T")</f>
        <v/>
      </c>
      <c r="H131" s="8">
        <f>(E131+F131)/48</f>
        <v/>
      </c>
      <c r="I131" s="8">
        <f>(D131+E131)/48</f>
        <v/>
      </c>
      <c r="J131" s="8">
        <f>(D131+G131)/48</f>
        <v/>
      </c>
      <c r="K131" s="7">
        <f>IF(AND(H131&gt;=0.4,H131&lt;=0.6,I131&gt;=0.4,I131&lt;=0.6,J131&gt;=0.4,J131&lt;=0.6,MIN(D131:G131)&gt;=7.2),"是","否")</f>
        <v/>
      </c>
    </row>
    <row r="132">
      <c r="A132" s="7" t="inlineStr">
        <is>
          <t>48 组 7</t>
        </is>
      </c>
      <c r="B132" s="7" t="inlineStr">
        <is>
          <t>i7</t>
        </is>
      </c>
      <c r="C132" s="7" t="n">
        <v>1</v>
      </c>
      <c r="D132" s="7">
        <f>COUNTIF('384对'!$W$290:$W$337,"A")</f>
        <v/>
      </c>
      <c r="E132" s="7">
        <f>COUNTIF('384对'!$W$290:$W$337,"C")</f>
        <v/>
      </c>
      <c r="F132" s="7">
        <f>COUNTIF('384对'!$W$290:$W$337,"G")</f>
        <v/>
      </c>
      <c r="G132" s="7">
        <f>COUNTIF('384对'!$W$290:$W$337,"T")</f>
        <v/>
      </c>
      <c r="H132" s="8">
        <f>(E132+F132)/48</f>
        <v/>
      </c>
      <c r="I132" s="8">
        <f>(D132+E132)/48</f>
        <v/>
      </c>
      <c r="J132" s="8">
        <f>(D132+G132)/48</f>
        <v/>
      </c>
      <c r="K132" s="7">
        <f>IF(AND(H132&gt;=0.4,H132&lt;=0.6,I132&gt;=0.4,I132&lt;=0.6,J132&gt;=0.4,J132&lt;=0.6,MIN(D132:G132)&gt;=7.2),"是","否")</f>
        <v/>
      </c>
    </row>
    <row r="133">
      <c r="A133" s="7" t="inlineStr">
        <is>
          <t>48 组 7</t>
        </is>
      </c>
      <c r="B133" s="7" t="inlineStr">
        <is>
          <t>i7</t>
        </is>
      </c>
      <c r="C133" s="7" t="n">
        <v>2</v>
      </c>
      <c r="D133" s="7">
        <f>COUNTIF('384对'!$X$290:$X$337,"A")</f>
        <v/>
      </c>
      <c r="E133" s="7">
        <f>COUNTIF('384对'!$X$290:$X$337,"C")</f>
        <v/>
      </c>
      <c r="F133" s="7">
        <f>COUNTIF('384对'!$X$290:$X$337,"G")</f>
        <v/>
      </c>
      <c r="G133" s="7">
        <f>COUNTIF('384对'!$X$290:$X$337,"T")</f>
        <v/>
      </c>
      <c r="H133" s="8">
        <f>(E133+F133)/48</f>
        <v/>
      </c>
      <c r="I133" s="8">
        <f>(D133+E133)/48</f>
        <v/>
      </c>
      <c r="J133" s="8">
        <f>(D133+G133)/48</f>
        <v/>
      </c>
      <c r="K133" s="7">
        <f>IF(AND(H133&gt;=0.4,H133&lt;=0.6,I133&gt;=0.4,I133&lt;=0.6,J133&gt;=0.4,J133&lt;=0.6,MIN(D133:G133)&gt;=7.2),"是","否")</f>
        <v/>
      </c>
    </row>
    <row r="134">
      <c r="A134" s="7" t="inlineStr">
        <is>
          <t>48 组 7</t>
        </is>
      </c>
      <c r="B134" s="7" t="inlineStr">
        <is>
          <t>i7</t>
        </is>
      </c>
      <c r="C134" s="7" t="n">
        <v>3</v>
      </c>
      <c r="D134" s="7">
        <f>COUNTIF('384对'!$Y$290:$Y$337,"A")</f>
        <v/>
      </c>
      <c r="E134" s="7">
        <f>COUNTIF('384对'!$Y$290:$Y$337,"C")</f>
        <v/>
      </c>
      <c r="F134" s="7">
        <f>COUNTIF('384对'!$Y$290:$Y$337,"G")</f>
        <v/>
      </c>
      <c r="G134" s="7">
        <f>COUNTIF('384对'!$Y$290:$Y$337,"T")</f>
        <v/>
      </c>
      <c r="H134" s="8">
        <f>(E134+F134)/48</f>
        <v/>
      </c>
      <c r="I134" s="8">
        <f>(D134+E134)/48</f>
        <v/>
      </c>
      <c r="J134" s="8">
        <f>(D134+G134)/48</f>
        <v/>
      </c>
      <c r="K134" s="7">
        <f>IF(AND(H134&gt;=0.4,H134&lt;=0.6,I134&gt;=0.4,I134&lt;=0.6,J134&gt;=0.4,J134&lt;=0.6,MIN(D134:G134)&gt;=7.2),"是","否")</f>
        <v/>
      </c>
    </row>
    <row r="135">
      <c r="A135" s="7" t="inlineStr">
        <is>
          <t>48 组 7</t>
        </is>
      </c>
      <c r="B135" s="7" t="inlineStr">
        <is>
          <t>i7</t>
        </is>
      </c>
      <c r="C135" s="7" t="n">
        <v>4</v>
      </c>
      <c r="D135" s="7">
        <f>COUNTIF('384对'!$Z$290:$Z$337,"A")</f>
        <v/>
      </c>
      <c r="E135" s="7">
        <f>COUNTIF('384对'!$Z$290:$Z$337,"C")</f>
        <v/>
      </c>
      <c r="F135" s="7">
        <f>COUNTIF('384对'!$Z$290:$Z$337,"G")</f>
        <v/>
      </c>
      <c r="G135" s="7">
        <f>COUNTIF('384对'!$Z$290:$Z$337,"T")</f>
        <v/>
      </c>
      <c r="H135" s="8">
        <f>(E135+F135)/48</f>
        <v/>
      </c>
      <c r="I135" s="8">
        <f>(D135+E135)/48</f>
        <v/>
      </c>
      <c r="J135" s="8">
        <f>(D135+G135)/48</f>
        <v/>
      </c>
      <c r="K135" s="7">
        <f>IF(AND(H135&gt;=0.4,H135&lt;=0.6,I135&gt;=0.4,I135&lt;=0.6,J135&gt;=0.4,J135&lt;=0.6,MIN(D135:G135)&gt;=7.2),"是","否")</f>
        <v/>
      </c>
    </row>
    <row r="136">
      <c r="A136" s="7" t="inlineStr">
        <is>
          <t>48 组 7</t>
        </is>
      </c>
      <c r="B136" s="7" t="inlineStr">
        <is>
          <t>i7</t>
        </is>
      </c>
      <c r="C136" s="7" t="n">
        <v>5</v>
      </c>
      <c r="D136" s="7">
        <f>COUNTIF('384对'!$AA$290:$AA$337,"A")</f>
        <v/>
      </c>
      <c r="E136" s="7">
        <f>COUNTIF('384对'!$AA$290:$AA$337,"C")</f>
        <v/>
      </c>
      <c r="F136" s="7">
        <f>COUNTIF('384对'!$AA$290:$AA$337,"G")</f>
        <v/>
      </c>
      <c r="G136" s="7">
        <f>COUNTIF('384对'!$AA$290:$AA$337,"T")</f>
        <v/>
      </c>
      <c r="H136" s="8">
        <f>(E136+F136)/48</f>
        <v/>
      </c>
      <c r="I136" s="8">
        <f>(D136+E136)/48</f>
        <v/>
      </c>
      <c r="J136" s="8">
        <f>(D136+G136)/48</f>
        <v/>
      </c>
      <c r="K136" s="7">
        <f>IF(AND(H136&gt;=0.4,H136&lt;=0.6,I136&gt;=0.4,I136&lt;=0.6,J136&gt;=0.4,J136&lt;=0.6,MIN(D136:G136)&gt;=7.2),"是","否")</f>
        <v/>
      </c>
    </row>
    <row r="137">
      <c r="A137" s="7" t="inlineStr">
        <is>
          <t>48 组 7</t>
        </is>
      </c>
      <c r="B137" s="7" t="inlineStr">
        <is>
          <t>i7</t>
        </is>
      </c>
      <c r="C137" s="7" t="n">
        <v>6</v>
      </c>
      <c r="D137" s="7">
        <f>COUNTIF('384对'!$AB$290:$AB$337,"A")</f>
        <v/>
      </c>
      <c r="E137" s="7">
        <f>COUNTIF('384对'!$AB$290:$AB$337,"C")</f>
        <v/>
      </c>
      <c r="F137" s="7">
        <f>COUNTIF('384对'!$AB$290:$AB$337,"G")</f>
        <v/>
      </c>
      <c r="G137" s="7">
        <f>COUNTIF('384对'!$AB$290:$AB$337,"T")</f>
        <v/>
      </c>
      <c r="H137" s="8">
        <f>(E137+F137)/48</f>
        <v/>
      </c>
      <c r="I137" s="8">
        <f>(D137+E137)/48</f>
        <v/>
      </c>
      <c r="J137" s="8">
        <f>(D137+G137)/48</f>
        <v/>
      </c>
      <c r="K137" s="7">
        <f>IF(AND(H137&gt;=0.4,H137&lt;=0.6,I137&gt;=0.4,I137&lt;=0.6,J137&gt;=0.4,J137&lt;=0.6,MIN(D137:G137)&gt;=7.2),"是","否")</f>
        <v/>
      </c>
    </row>
    <row r="138">
      <c r="A138" s="7" t="inlineStr">
        <is>
          <t>48 组 7</t>
        </is>
      </c>
      <c r="B138" s="7" t="inlineStr">
        <is>
          <t>i7</t>
        </is>
      </c>
      <c r="C138" s="7" t="n">
        <v>7</v>
      </c>
      <c r="D138" s="7">
        <f>COUNTIF('384对'!$AC$290:$AC$337,"A")</f>
        <v/>
      </c>
      <c r="E138" s="7">
        <f>COUNTIF('384对'!$AC$290:$AC$337,"C")</f>
        <v/>
      </c>
      <c r="F138" s="7">
        <f>COUNTIF('384对'!$AC$290:$AC$337,"G")</f>
        <v/>
      </c>
      <c r="G138" s="7">
        <f>COUNTIF('384对'!$AC$290:$AC$337,"T")</f>
        <v/>
      </c>
      <c r="H138" s="8">
        <f>(E138+F138)/48</f>
        <v/>
      </c>
      <c r="I138" s="8">
        <f>(D138+E138)/48</f>
        <v/>
      </c>
      <c r="J138" s="8">
        <f>(D138+G138)/48</f>
        <v/>
      </c>
      <c r="K138" s="7">
        <f>IF(AND(H138&gt;=0.4,H138&lt;=0.6,I138&gt;=0.4,I138&lt;=0.6,J138&gt;=0.4,J138&lt;=0.6,MIN(D138:G138)&gt;=7.2),"是","否")</f>
        <v/>
      </c>
    </row>
    <row r="139">
      <c r="A139" s="7" t="inlineStr">
        <is>
          <t>48 组 7</t>
        </is>
      </c>
      <c r="B139" s="7" t="inlineStr">
        <is>
          <t>i7</t>
        </is>
      </c>
      <c r="C139" s="7" t="n">
        <v>8</v>
      </c>
      <c r="D139" s="7">
        <f>COUNTIF('384对'!$AD$290:$AD$337,"A")</f>
        <v/>
      </c>
      <c r="E139" s="7">
        <f>COUNTIF('384对'!$AD$290:$AD$337,"C")</f>
        <v/>
      </c>
      <c r="F139" s="7">
        <f>COUNTIF('384对'!$AD$290:$AD$337,"G")</f>
        <v/>
      </c>
      <c r="G139" s="7">
        <f>COUNTIF('384对'!$AD$290:$AD$337,"T")</f>
        <v/>
      </c>
      <c r="H139" s="8">
        <f>(E139+F139)/48</f>
        <v/>
      </c>
      <c r="I139" s="8">
        <f>(D139+E139)/48</f>
        <v/>
      </c>
      <c r="J139" s="8">
        <f>(D139+G139)/48</f>
        <v/>
      </c>
      <c r="K139" s="7">
        <f>IF(AND(H139&gt;=0.4,H139&lt;=0.6,I139&gt;=0.4,I139&lt;=0.6,J139&gt;=0.4,J139&lt;=0.6,MIN(D139:G139)&gt;=7.2),"是","否")</f>
        <v/>
      </c>
    </row>
    <row r="140">
      <c r="A140" s="7" t="inlineStr">
        <is>
          <t>48 组 7</t>
        </is>
      </c>
      <c r="B140" s="7" t="inlineStr">
        <is>
          <t>i7</t>
        </is>
      </c>
      <c r="C140" s="7" t="n">
        <v>9</v>
      </c>
      <c r="D140" s="7">
        <f>COUNTIF('384对'!$AE$290:$AE$337,"A")</f>
        <v/>
      </c>
      <c r="E140" s="7">
        <f>COUNTIF('384对'!$AE$290:$AE$337,"C")</f>
        <v/>
      </c>
      <c r="F140" s="7">
        <f>COUNTIF('384对'!$AE$290:$AE$337,"G")</f>
        <v/>
      </c>
      <c r="G140" s="7">
        <f>COUNTIF('384对'!$AE$290:$AE$337,"T")</f>
        <v/>
      </c>
      <c r="H140" s="8">
        <f>(E140+F140)/48</f>
        <v/>
      </c>
      <c r="I140" s="8">
        <f>(D140+E140)/48</f>
        <v/>
      </c>
      <c r="J140" s="8">
        <f>(D140+G140)/48</f>
        <v/>
      </c>
      <c r="K140" s="7">
        <f>IF(AND(H140&gt;=0.4,H140&lt;=0.6,I140&gt;=0.4,I140&lt;=0.6,J140&gt;=0.4,J140&lt;=0.6,MIN(D140:G140)&gt;=7.2),"是","否")</f>
        <v/>
      </c>
    </row>
    <row r="141">
      <c r="A141" s="7" t="inlineStr">
        <is>
          <t>48 组 7</t>
        </is>
      </c>
      <c r="B141" s="7" t="inlineStr">
        <is>
          <t>i7</t>
        </is>
      </c>
      <c r="C141" s="7" t="n">
        <v>10</v>
      </c>
      <c r="D141" s="7">
        <f>COUNTIF('384对'!$AF$290:$AF$337,"A")</f>
        <v/>
      </c>
      <c r="E141" s="7">
        <f>COUNTIF('384对'!$AF$290:$AF$337,"C")</f>
        <v/>
      </c>
      <c r="F141" s="7">
        <f>COUNTIF('384对'!$AF$290:$AF$337,"G")</f>
        <v/>
      </c>
      <c r="G141" s="7">
        <f>COUNTIF('384对'!$AF$290:$AF$337,"T")</f>
        <v/>
      </c>
      <c r="H141" s="8">
        <f>(E141+F141)/48</f>
        <v/>
      </c>
      <c r="I141" s="8">
        <f>(D141+E141)/48</f>
        <v/>
      </c>
      <c r="J141" s="8">
        <f>(D141+G141)/48</f>
        <v/>
      </c>
      <c r="K141" s="7">
        <f>IF(AND(H141&gt;=0.4,H141&lt;=0.6,I141&gt;=0.4,I141&lt;=0.6,J141&gt;=0.4,J141&lt;=0.6,MIN(D141:G141)&gt;=7.2),"是","否")</f>
        <v/>
      </c>
    </row>
    <row r="142">
      <c r="A142" s="7" t="inlineStr">
        <is>
          <t>48 组 8</t>
        </is>
      </c>
      <c r="B142" s="7" t="inlineStr">
        <is>
          <t>i5</t>
        </is>
      </c>
      <c r="C142" s="7" t="n">
        <v>1</v>
      </c>
      <c r="D142" s="7">
        <f>COUNTIF('384对'!$M$338:$M$385,"A")</f>
        <v/>
      </c>
      <c r="E142" s="7">
        <f>COUNTIF('384对'!$M$338:$M$385,"C")</f>
        <v/>
      </c>
      <c r="F142" s="7">
        <f>COUNTIF('384对'!$M$338:$M$385,"G")</f>
        <v/>
      </c>
      <c r="G142" s="7">
        <f>COUNTIF('384对'!$M$338:$M$385,"T")</f>
        <v/>
      </c>
      <c r="H142" s="8">
        <f>(E142+F142)/48</f>
        <v/>
      </c>
      <c r="I142" s="8">
        <f>(D142+E142)/48</f>
        <v/>
      </c>
      <c r="J142" s="8">
        <f>(D142+G142)/48</f>
        <v/>
      </c>
      <c r="K142" s="7">
        <f>IF(AND(H142&gt;=0.4,H142&lt;=0.6,I142&gt;=0.4,I142&lt;=0.6,J142&gt;=0.4,J142&lt;=0.6,MIN(D142:G142)&gt;=7.2),"是","否")</f>
        <v/>
      </c>
    </row>
    <row r="143">
      <c r="A143" s="7" t="inlineStr">
        <is>
          <t>48 组 8</t>
        </is>
      </c>
      <c r="B143" s="7" t="inlineStr">
        <is>
          <t>i5</t>
        </is>
      </c>
      <c r="C143" s="7" t="n">
        <v>2</v>
      </c>
      <c r="D143" s="7">
        <f>COUNTIF('384对'!$N$338:$N$385,"A")</f>
        <v/>
      </c>
      <c r="E143" s="7">
        <f>COUNTIF('384对'!$N$338:$N$385,"C")</f>
        <v/>
      </c>
      <c r="F143" s="7">
        <f>COUNTIF('384对'!$N$338:$N$385,"G")</f>
        <v/>
      </c>
      <c r="G143" s="7">
        <f>COUNTIF('384对'!$N$338:$N$385,"T")</f>
        <v/>
      </c>
      <c r="H143" s="8">
        <f>(E143+F143)/48</f>
        <v/>
      </c>
      <c r="I143" s="8">
        <f>(D143+E143)/48</f>
        <v/>
      </c>
      <c r="J143" s="8">
        <f>(D143+G143)/48</f>
        <v/>
      </c>
      <c r="K143" s="7">
        <f>IF(AND(H143&gt;=0.4,H143&lt;=0.6,I143&gt;=0.4,I143&lt;=0.6,J143&gt;=0.4,J143&lt;=0.6,MIN(D143:G143)&gt;=7.2),"是","否")</f>
        <v/>
      </c>
    </row>
    <row r="144">
      <c r="A144" s="7" t="inlineStr">
        <is>
          <t>48 组 8</t>
        </is>
      </c>
      <c r="B144" s="7" t="inlineStr">
        <is>
          <t>i5</t>
        </is>
      </c>
      <c r="C144" s="7" t="n">
        <v>3</v>
      </c>
      <c r="D144" s="7">
        <f>COUNTIF('384对'!$O$338:$O$385,"A")</f>
        <v/>
      </c>
      <c r="E144" s="7">
        <f>COUNTIF('384对'!$O$338:$O$385,"C")</f>
        <v/>
      </c>
      <c r="F144" s="7">
        <f>COUNTIF('384对'!$O$338:$O$385,"G")</f>
        <v/>
      </c>
      <c r="G144" s="7">
        <f>COUNTIF('384对'!$O$338:$O$385,"T")</f>
        <v/>
      </c>
      <c r="H144" s="8">
        <f>(E144+F144)/48</f>
        <v/>
      </c>
      <c r="I144" s="8">
        <f>(D144+E144)/48</f>
        <v/>
      </c>
      <c r="J144" s="8">
        <f>(D144+G144)/48</f>
        <v/>
      </c>
      <c r="K144" s="7">
        <f>IF(AND(H144&gt;=0.4,H144&lt;=0.6,I144&gt;=0.4,I144&lt;=0.6,J144&gt;=0.4,J144&lt;=0.6,MIN(D144:G144)&gt;=7.2),"是","否")</f>
        <v/>
      </c>
    </row>
    <row r="145">
      <c r="A145" s="7" t="inlineStr">
        <is>
          <t>48 组 8</t>
        </is>
      </c>
      <c r="B145" s="7" t="inlineStr">
        <is>
          <t>i5</t>
        </is>
      </c>
      <c r="C145" s="7" t="n">
        <v>4</v>
      </c>
      <c r="D145" s="7">
        <f>COUNTIF('384对'!$P$338:$P$385,"A")</f>
        <v/>
      </c>
      <c r="E145" s="7">
        <f>COUNTIF('384对'!$P$338:$P$385,"C")</f>
        <v/>
      </c>
      <c r="F145" s="7">
        <f>COUNTIF('384对'!$P$338:$P$385,"G")</f>
        <v/>
      </c>
      <c r="G145" s="7">
        <f>COUNTIF('384对'!$P$338:$P$385,"T")</f>
        <v/>
      </c>
      <c r="H145" s="8">
        <f>(E145+F145)/48</f>
        <v/>
      </c>
      <c r="I145" s="8">
        <f>(D145+E145)/48</f>
        <v/>
      </c>
      <c r="J145" s="8">
        <f>(D145+G145)/48</f>
        <v/>
      </c>
      <c r="K145" s="7">
        <f>IF(AND(H145&gt;=0.4,H145&lt;=0.6,I145&gt;=0.4,I145&lt;=0.6,J145&gt;=0.4,J145&lt;=0.6,MIN(D145:G145)&gt;=7.2),"是","否")</f>
        <v/>
      </c>
    </row>
    <row r="146">
      <c r="A146" s="7" t="inlineStr">
        <is>
          <t>48 组 8</t>
        </is>
      </c>
      <c r="B146" s="7" t="inlineStr">
        <is>
          <t>i5</t>
        </is>
      </c>
      <c r="C146" s="7" t="n">
        <v>5</v>
      </c>
      <c r="D146" s="7">
        <f>COUNTIF('384对'!$Q$338:$Q$385,"A")</f>
        <v/>
      </c>
      <c r="E146" s="7">
        <f>COUNTIF('384对'!$Q$338:$Q$385,"C")</f>
        <v/>
      </c>
      <c r="F146" s="7">
        <f>COUNTIF('384对'!$Q$338:$Q$385,"G")</f>
        <v/>
      </c>
      <c r="G146" s="7">
        <f>COUNTIF('384对'!$Q$338:$Q$385,"T")</f>
        <v/>
      </c>
      <c r="H146" s="8">
        <f>(E146+F146)/48</f>
        <v/>
      </c>
      <c r="I146" s="8">
        <f>(D146+E146)/48</f>
        <v/>
      </c>
      <c r="J146" s="8">
        <f>(D146+G146)/48</f>
        <v/>
      </c>
      <c r="K146" s="7">
        <f>IF(AND(H146&gt;=0.4,H146&lt;=0.6,I146&gt;=0.4,I146&lt;=0.6,J146&gt;=0.4,J146&lt;=0.6,MIN(D146:G146)&gt;=7.2),"是","否")</f>
        <v/>
      </c>
    </row>
    <row r="147">
      <c r="A147" s="7" t="inlineStr">
        <is>
          <t>48 组 8</t>
        </is>
      </c>
      <c r="B147" s="7" t="inlineStr">
        <is>
          <t>i5</t>
        </is>
      </c>
      <c r="C147" s="7" t="n">
        <v>6</v>
      </c>
      <c r="D147" s="7">
        <f>COUNTIF('384对'!$R$338:$R$385,"A")</f>
        <v/>
      </c>
      <c r="E147" s="7">
        <f>COUNTIF('384对'!$R$338:$R$385,"C")</f>
        <v/>
      </c>
      <c r="F147" s="7">
        <f>COUNTIF('384对'!$R$338:$R$385,"G")</f>
        <v/>
      </c>
      <c r="G147" s="7">
        <f>COUNTIF('384对'!$R$338:$R$385,"T")</f>
        <v/>
      </c>
      <c r="H147" s="8">
        <f>(E147+F147)/48</f>
        <v/>
      </c>
      <c r="I147" s="8">
        <f>(D147+E147)/48</f>
        <v/>
      </c>
      <c r="J147" s="8">
        <f>(D147+G147)/48</f>
        <v/>
      </c>
      <c r="K147" s="7">
        <f>IF(AND(H147&gt;=0.4,H147&lt;=0.6,I147&gt;=0.4,I147&lt;=0.6,J147&gt;=0.4,J147&lt;=0.6,MIN(D147:G147)&gt;=7.2),"是","否")</f>
        <v/>
      </c>
    </row>
    <row r="148">
      <c r="A148" s="7" t="inlineStr">
        <is>
          <t>48 组 8</t>
        </is>
      </c>
      <c r="B148" s="7" t="inlineStr">
        <is>
          <t>i5</t>
        </is>
      </c>
      <c r="C148" s="7" t="n">
        <v>7</v>
      </c>
      <c r="D148" s="7">
        <f>COUNTIF('384对'!$S$338:$S$385,"A")</f>
        <v/>
      </c>
      <c r="E148" s="7">
        <f>COUNTIF('384对'!$S$338:$S$385,"C")</f>
        <v/>
      </c>
      <c r="F148" s="7">
        <f>COUNTIF('384对'!$S$338:$S$385,"G")</f>
        <v/>
      </c>
      <c r="G148" s="7">
        <f>COUNTIF('384对'!$S$338:$S$385,"T")</f>
        <v/>
      </c>
      <c r="H148" s="8">
        <f>(E148+F148)/48</f>
        <v/>
      </c>
      <c r="I148" s="8">
        <f>(D148+E148)/48</f>
        <v/>
      </c>
      <c r="J148" s="8">
        <f>(D148+G148)/48</f>
        <v/>
      </c>
      <c r="K148" s="7">
        <f>IF(AND(H148&gt;=0.4,H148&lt;=0.6,I148&gt;=0.4,I148&lt;=0.6,J148&gt;=0.4,J148&lt;=0.6,MIN(D148:G148)&gt;=7.2),"是","否")</f>
        <v/>
      </c>
    </row>
    <row r="149">
      <c r="A149" s="7" t="inlineStr">
        <is>
          <t>48 组 8</t>
        </is>
      </c>
      <c r="B149" s="7" t="inlineStr">
        <is>
          <t>i5</t>
        </is>
      </c>
      <c r="C149" s="7" t="n">
        <v>8</v>
      </c>
      <c r="D149" s="7">
        <f>COUNTIF('384对'!$T$338:$T$385,"A")</f>
        <v/>
      </c>
      <c r="E149" s="7">
        <f>COUNTIF('384对'!$T$338:$T$385,"C")</f>
        <v/>
      </c>
      <c r="F149" s="7">
        <f>COUNTIF('384对'!$T$338:$T$385,"G")</f>
        <v/>
      </c>
      <c r="G149" s="7">
        <f>COUNTIF('384对'!$T$338:$T$385,"T")</f>
        <v/>
      </c>
      <c r="H149" s="8">
        <f>(E149+F149)/48</f>
        <v/>
      </c>
      <c r="I149" s="8">
        <f>(D149+E149)/48</f>
        <v/>
      </c>
      <c r="J149" s="8">
        <f>(D149+G149)/48</f>
        <v/>
      </c>
      <c r="K149" s="7">
        <f>IF(AND(H149&gt;=0.4,H149&lt;=0.6,I149&gt;=0.4,I149&lt;=0.6,J149&gt;=0.4,J149&lt;=0.6,MIN(D149:G149)&gt;=7.2),"是","否")</f>
        <v/>
      </c>
    </row>
    <row r="150">
      <c r="A150" s="7" t="inlineStr">
        <is>
          <t>48 组 8</t>
        </is>
      </c>
      <c r="B150" s="7" t="inlineStr">
        <is>
          <t>i5</t>
        </is>
      </c>
      <c r="C150" s="7" t="n">
        <v>9</v>
      </c>
      <c r="D150" s="7">
        <f>COUNTIF('384对'!$U$338:$U$385,"A")</f>
        <v/>
      </c>
      <c r="E150" s="7">
        <f>COUNTIF('384对'!$U$338:$U$385,"C")</f>
        <v/>
      </c>
      <c r="F150" s="7">
        <f>COUNTIF('384对'!$U$338:$U$385,"G")</f>
        <v/>
      </c>
      <c r="G150" s="7">
        <f>COUNTIF('384对'!$U$338:$U$385,"T")</f>
        <v/>
      </c>
      <c r="H150" s="8">
        <f>(E150+F150)/48</f>
        <v/>
      </c>
      <c r="I150" s="8">
        <f>(D150+E150)/48</f>
        <v/>
      </c>
      <c r="J150" s="8">
        <f>(D150+G150)/48</f>
        <v/>
      </c>
      <c r="K150" s="7">
        <f>IF(AND(H150&gt;=0.4,H150&lt;=0.6,I150&gt;=0.4,I150&lt;=0.6,J150&gt;=0.4,J150&lt;=0.6,MIN(D150:G150)&gt;=7.2),"是","否")</f>
        <v/>
      </c>
    </row>
    <row r="151">
      <c r="A151" s="7" t="inlineStr">
        <is>
          <t>48 组 8</t>
        </is>
      </c>
      <c r="B151" s="7" t="inlineStr">
        <is>
          <t>i5</t>
        </is>
      </c>
      <c r="C151" s="7" t="n">
        <v>10</v>
      </c>
      <c r="D151" s="7">
        <f>COUNTIF('384对'!$V$338:$V$385,"A")</f>
        <v/>
      </c>
      <c r="E151" s="7">
        <f>COUNTIF('384对'!$V$338:$V$385,"C")</f>
        <v/>
      </c>
      <c r="F151" s="7">
        <f>COUNTIF('384对'!$V$338:$V$385,"G")</f>
        <v/>
      </c>
      <c r="G151" s="7">
        <f>COUNTIF('384对'!$V$338:$V$385,"T")</f>
        <v/>
      </c>
      <c r="H151" s="8">
        <f>(E151+F151)/48</f>
        <v/>
      </c>
      <c r="I151" s="8">
        <f>(D151+E151)/48</f>
        <v/>
      </c>
      <c r="J151" s="8">
        <f>(D151+G151)/48</f>
        <v/>
      </c>
      <c r="K151" s="7">
        <f>IF(AND(H151&gt;=0.4,H151&lt;=0.6,I151&gt;=0.4,I151&lt;=0.6,J151&gt;=0.4,J151&lt;=0.6,MIN(D151:G151)&gt;=7.2),"是","否")</f>
        <v/>
      </c>
    </row>
    <row r="152">
      <c r="A152" s="7" t="inlineStr">
        <is>
          <t>48 组 8</t>
        </is>
      </c>
      <c r="B152" s="7" t="inlineStr">
        <is>
          <t>i7</t>
        </is>
      </c>
      <c r="C152" s="7" t="n">
        <v>1</v>
      </c>
      <c r="D152" s="7">
        <f>COUNTIF('384对'!$W$338:$W$385,"A")</f>
        <v/>
      </c>
      <c r="E152" s="7">
        <f>COUNTIF('384对'!$W$338:$W$385,"C")</f>
        <v/>
      </c>
      <c r="F152" s="7">
        <f>COUNTIF('384对'!$W$338:$W$385,"G")</f>
        <v/>
      </c>
      <c r="G152" s="7">
        <f>COUNTIF('384对'!$W$338:$W$385,"T")</f>
        <v/>
      </c>
      <c r="H152" s="8">
        <f>(E152+F152)/48</f>
        <v/>
      </c>
      <c r="I152" s="8">
        <f>(D152+E152)/48</f>
        <v/>
      </c>
      <c r="J152" s="8">
        <f>(D152+G152)/48</f>
        <v/>
      </c>
      <c r="K152" s="7">
        <f>IF(AND(H152&gt;=0.4,H152&lt;=0.6,I152&gt;=0.4,I152&lt;=0.6,J152&gt;=0.4,J152&lt;=0.6,MIN(D152:G152)&gt;=7.2),"是","否")</f>
        <v/>
      </c>
    </row>
    <row r="153">
      <c r="A153" s="7" t="inlineStr">
        <is>
          <t>48 组 8</t>
        </is>
      </c>
      <c r="B153" s="7" t="inlineStr">
        <is>
          <t>i7</t>
        </is>
      </c>
      <c r="C153" s="7" t="n">
        <v>2</v>
      </c>
      <c r="D153" s="7">
        <f>COUNTIF('384对'!$X$338:$X$385,"A")</f>
        <v/>
      </c>
      <c r="E153" s="7">
        <f>COUNTIF('384对'!$X$338:$X$385,"C")</f>
        <v/>
      </c>
      <c r="F153" s="7">
        <f>COUNTIF('384对'!$X$338:$X$385,"G")</f>
        <v/>
      </c>
      <c r="G153" s="7">
        <f>COUNTIF('384对'!$X$338:$X$385,"T")</f>
        <v/>
      </c>
      <c r="H153" s="8">
        <f>(E153+F153)/48</f>
        <v/>
      </c>
      <c r="I153" s="8">
        <f>(D153+E153)/48</f>
        <v/>
      </c>
      <c r="J153" s="8">
        <f>(D153+G153)/48</f>
        <v/>
      </c>
      <c r="K153" s="7">
        <f>IF(AND(H153&gt;=0.4,H153&lt;=0.6,I153&gt;=0.4,I153&lt;=0.6,J153&gt;=0.4,J153&lt;=0.6,MIN(D153:G153)&gt;=7.2),"是","否")</f>
        <v/>
      </c>
    </row>
    <row r="154">
      <c r="A154" s="7" t="inlineStr">
        <is>
          <t>48 组 8</t>
        </is>
      </c>
      <c r="B154" s="7" t="inlineStr">
        <is>
          <t>i7</t>
        </is>
      </c>
      <c r="C154" s="7" t="n">
        <v>3</v>
      </c>
      <c r="D154" s="7">
        <f>COUNTIF('384对'!$Y$338:$Y$385,"A")</f>
        <v/>
      </c>
      <c r="E154" s="7">
        <f>COUNTIF('384对'!$Y$338:$Y$385,"C")</f>
        <v/>
      </c>
      <c r="F154" s="7">
        <f>COUNTIF('384对'!$Y$338:$Y$385,"G")</f>
        <v/>
      </c>
      <c r="G154" s="7">
        <f>COUNTIF('384对'!$Y$338:$Y$385,"T")</f>
        <v/>
      </c>
      <c r="H154" s="8">
        <f>(E154+F154)/48</f>
        <v/>
      </c>
      <c r="I154" s="8">
        <f>(D154+E154)/48</f>
        <v/>
      </c>
      <c r="J154" s="8">
        <f>(D154+G154)/48</f>
        <v/>
      </c>
      <c r="K154" s="7">
        <f>IF(AND(H154&gt;=0.4,H154&lt;=0.6,I154&gt;=0.4,I154&lt;=0.6,J154&gt;=0.4,J154&lt;=0.6,MIN(D154:G154)&gt;=7.2),"是","否")</f>
        <v/>
      </c>
    </row>
    <row r="155">
      <c r="A155" s="7" t="inlineStr">
        <is>
          <t>48 组 8</t>
        </is>
      </c>
      <c r="B155" s="7" t="inlineStr">
        <is>
          <t>i7</t>
        </is>
      </c>
      <c r="C155" s="7" t="n">
        <v>4</v>
      </c>
      <c r="D155" s="7">
        <f>COUNTIF('384对'!$Z$338:$Z$385,"A")</f>
        <v/>
      </c>
      <c r="E155" s="7">
        <f>COUNTIF('384对'!$Z$338:$Z$385,"C")</f>
        <v/>
      </c>
      <c r="F155" s="7">
        <f>COUNTIF('384对'!$Z$338:$Z$385,"G")</f>
        <v/>
      </c>
      <c r="G155" s="7">
        <f>COUNTIF('384对'!$Z$338:$Z$385,"T")</f>
        <v/>
      </c>
      <c r="H155" s="8">
        <f>(E155+F155)/48</f>
        <v/>
      </c>
      <c r="I155" s="8">
        <f>(D155+E155)/48</f>
        <v/>
      </c>
      <c r="J155" s="8">
        <f>(D155+G155)/48</f>
        <v/>
      </c>
      <c r="K155" s="7">
        <f>IF(AND(H155&gt;=0.4,H155&lt;=0.6,I155&gt;=0.4,I155&lt;=0.6,J155&gt;=0.4,J155&lt;=0.6,MIN(D155:G155)&gt;=7.2),"是","否")</f>
        <v/>
      </c>
    </row>
    <row r="156">
      <c r="A156" s="7" t="inlineStr">
        <is>
          <t>48 组 8</t>
        </is>
      </c>
      <c r="B156" s="7" t="inlineStr">
        <is>
          <t>i7</t>
        </is>
      </c>
      <c r="C156" s="7" t="n">
        <v>5</v>
      </c>
      <c r="D156" s="7">
        <f>COUNTIF('384对'!$AA$338:$AA$385,"A")</f>
        <v/>
      </c>
      <c r="E156" s="7">
        <f>COUNTIF('384对'!$AA$338:$AA$385,"C")</f>
        <v/>
      </c>
      <c r="F156" s="7">
        <f>COUNTIF('384对'!$AA$338:$AA$385,"G")</f>
        <v/>
      </c>
      <c r="G156" s="7">
        <f>COUNTIF('384对'!$AA$338:$AA$385,"T")</f>
        <v/>
      </c>
      <c r="H156" s="8">
        <f>(E156+F156)/48</f>
        <v/>
      </c>
      <c r="I156" s="8">
        <f>(D156+E156)/48</f>
        <v/>
      </c>
      <c r="J156" s="8">
        <f>(D156+G156)/48</f>
        <v/>
      </c>
      <c r="K156" s="7">
        <f>IF(AND(H156&gt;=0.4,H156&lt;=0.6,I156&gt;=0.4,I156&lt;=0.6,J156&gt;=0.4,J156&lt;=0.6,MIN(D156:G156)&gt;=7.2),"是","否")</f>
        <v/>
      </c>
    </row>
    <row r="157">
      <c r="A157" s="7" t="inlineStr">
        <is>
          <t>48 组 8</t>
        </is>
      </c>
      <c r="B157" s="7" t="inlineStr">
        <is>
          <t>i7</t>
        </is>
      </c>
      <c r="C157" s="7" t="n">
        <v>6</v>
      </c>
      <c r="D157" s="7">
        <f>COUNTIF('384对'!$AB$338:$AB$385,"A")</f>
        <v/>
      </c>
      <c r="E157" s="7">
        <f>COUNTIF('384对'!$AB$338:$AB$385,"C")</f>
        <v/>
      </c>
      <c r="F157" s="7">
        <f>COUNTIF('384对'!$AB$338:$AB$385,"G")</f>
        <v/>
      </c>
      <c r="G157" s="7">
        <f>COUNTIF('384对'!$AB$338:$AB$385,"T")</f>
        <v/>
      </c>
      <c r="H157" s="8">
        <f>(E157+F157)/48</f>
        <v/>
      </c>
      <c r="I157" s="8">
        <f>(D157+E157)/48</f>
        <v/>
      </c>
      <c r="J157" s="8">
        <f>(D157+G157)/48</f>
        <v/>
      </c>
      <c r="K157" s="7">
        <f>IF(AND(H157&gt;=0.4,H157&lt;=0.6,I157&gt;=0.4,I157&lt;=0.6,J157&gt;=0.4,J157&lt;=0.6,MIN(D157:G157)&gt;=7.2),"是","否")</f>
        <v/>
      </c>
    </row>
    <row r="158">
      <c r="A158" s="7" t="inlineStr">
        <is>
          <t>48 组 8</t>
        </is>
      </c>
      <c r="B158" s="7" t="inlineStr">
        <is>
          <t>i7</t>
        </is>
      </c>
      <c r="C158" s="7" t="n">
        <v>7</v>
      </c>
      <c r="D158" s="7">
        <f>COUNTIF('384对'!$AC$338:$AC$385,"A")</f>
        <v/>
      </c>
      <c r="E158" s="7">
        <f>COUNTIF('384对'!$AC$338:$AC$385,"C")</f>
        <v/>
      </c>
      <c r="F158" s="7">
        <f>COUNTIF('384对'!$AC$338:$AC$385,"G")</f>
        <v/>
      </c>
      <c r="G158" s="7">
        <f>COUNTIF('384对'!$AC$338:$AC$385,"T")</f>
        <v/>
      </c>
      <c r="H158" s="8">
        <f>(E158+F158)/48</f>
        <v/>
      </c>
      <c r="I158" s="8">
        <f>(D158+E158)/48</f>
        <v/>
      </c>
      <c r="J158" s="8">
        <f>(D158+G158)/48</f>
        <v/>
      </c>
      <c r="K158" s="7">
        <f>IF(AND(H158&gt;=0.4,H158&lt;=0.6,I158&gt;=0.4,I158&lt;=0.6,J158&gt;=0.4,J158&lt;=0.6,MIN(D158:G158)&gt;=7.2),"是","否")</f>
        <v/>
      </c>
    </row>
    <row r="159">
      <c r="A159" s="7" t="inlineStr">
        <is>
          <t>48 组 8</t>
        </is>
      </c>
      <c r="B159" s="7" t="inlineStr">
        <is>
          <t>i7</t>
        </is>
      </c>
      <c r="C159" s="7" t="n">
        <v>8</v>
      </c>
      <c r="D159" s="7">
        <f>COUNTIF('384对'!$AD$338:$AD$385,"A")</f>
        <v/>
      </c>
      <c r="E159" s="7">
        <f>COUNTIF('384对'!$AD$338:$AD$385,"C")</f>
        <v/>
      </c>
      <c r="F159" s="7">
        <f>COUNTIF('384对'!$AD$338:$AD$385,"G")</f>
        <v/>
      </c>
      <c r="G159" s="7">
        <f>COUNTIF('384对'!$AD$338:$AD$385,"T")</f>
        <v/>
      </c>
      <c r="H159" s="8">
        <f>(E159+F159)/48</f>
        <v/>
      </c>
      <c r="I159" s="8">
        <f>(D159+E159)/48</f>
        <v/>
      </c>
      <c r="J159" s="8">
        <f>(D159+G159)/48</f>
        <v/>
      </c>
      <c r="K159" s="7">
        <f>IF(AND(H159&gt;=0.4,H159&lt;=0.6,I159&gt;=0.4,I159&lt;=0.6,J159&gt;=0.4,J159&lt;=0.6,MIN(D159:G159)&gt;=7.2),"是","否")</f>
        <v/>
      </c>
    </row>
    <row r="160">
      <c r="A160" s="7" t="inlineStr">
        <is>
          <t>48 组 8</t>
        </is>
      </c>
      <c r="B160" s="7" t="inlineStr">
        <is>
          <t>i7</t>
        </is>
      </c>
      <c r="C160" s="7" t="n">
        <v>9</v>
      </c>
      <c r="D160" s="7">
        <f>COUNTIF('384对'!$AE$338:$AE$385,"A")</f>
        <v/>
      </c>
      <c r="E160" s="7">
        <f>COUNTIF('384对'!$AE$338:$AE$385,"C")</f>
        <v/>
      </c>
      <c r="F160" s="7">
        <f>COUNTIF('384对'!$AE$338:$AE$385,"G")</f>
        <v/>
      </c>
      <c r="G160" s="7">
        <f>COUNTIF('384对'!$AE$338:$AE$385,"T")</f>
        <v/>
      </c>
      <c r="H160" s="8">
        <f>(E160+F160)/48</f>
        <v/>
      </c>
      <c r="I160" s="8">
        <f>(D160+E160)/48</f>
        <v/>
      </c>
      <c r="J160" s="8">
        <f>(D160+G160)/48</f>
        <v/>
      </c>
      <c r="K160" s="7">
        <f>IF(AND(H160&gt;=0.4,H160&lt;=0.6,I160&gt;=0.4,I160&lt;=0.6,J160&gt;=0.4,J160&lt;=0.6,MIN(D160:G160)&gt;=7.2),"是","否")</f>
        <v/>
      </c>
    </row>
    <row r="161">
      <c r="A161" s="7" t="inlineStr">
        <is>
          <t>48 组 8</t>
        </is>
      </c>
      <c r="B161" s="7" t="inlineStr">
        <is>
          <t>i7</t>
        </is>
      </c>
      <c r="C161" s="7" t="n">
        <v>10</v>
      </c>
      <c r="D161" s="7">
        <f>COUNTIF('384对'!$AF$338:$AF$385,"A")</f>
        <v/>
      </c>
      <c r="E161" s="7">
        <f>COUNTIF('384对'!$AF$338:$AF$385,"C")</f>
        <v/>
      </c>
      <c r="F161" s="7">
        <f>COUNTIF('384对'!$AF$338:$AF$385,"G")</f>
        <v/>
      </c>
      <c r="G161" s="7">
        <f>COUNTIF('384对'!$AF$338:$AF$385,"T")</f>
        <v/>
      </c>
      <c r="H161" s="8">
        <f>(E161+F161)/48</f>
        <v/>
      </c>
      <c r="I161" s="8">
        <f>(D161+E161)/48</f>
        <v/>
      </c>
      <c r="J161" s="8">
        <f>(D161+G161)/48</f>
        <v/>
      </c>
      <c r="K161" s="7">
        <f>IF(AND(H161&gt;=0.4,H161&lt;=0.6,I161&gt;=0.4,I161&lt;=0.6,J161&gt;=0.4,J161&lt;=0.6,MIN(D161:G161)&gt;=7.2),"是","否")</f>
        <v/>
      </c>
    </row>
    <row r="162">
      <c r="A162" s="7" t="inlineStr">
        <is>
          <t>96 块 1</t>
        </is>
      </c>
      <c r="B162" s="7" t="inlineStr">
        <is>
          <t>i5</t>
        </is>
      </c>
      <c r="C162" s="7" t="n">
        <v>1</v>
      </c>
      <c r="D162" s="7">
        <f>COUNTIF('384对'!$M$2:$M$97,"A")</f>
        <v/>
      </c>
      <c r="E162" s="7">
        <f>COUNTIF('384对'!$M$2:$M$97,"C")</f>
        <v/>
      </c>
      <c r="F162" s="7">
        <f>COUNTIF('384对'!$M$2:$M$97,"G")</f>
        <v/>
      </c>
      <c r="G162" s="7">
        <f>COUNTIF('384对'!$M$2:$M$97,"T")</f>
        <v/>
      </c>
      <c r="H162" s="8">
        <f>(E162+F162)/96</f>
        <v/>
      </c>
      <c r="I162" s="8">
        <f>(D162+E162)/96</f>
        <v/>
      </c>
      <c r="J162" s="8">
        <f>(D162+G162)/96</f>
        <v/>
      </c>
      <c r="K162" s="7">
        <f>IF(AND(H162&gt;=0.4,H162&lt;=0.6,I162&gt;=0.4,I162&lt;=0.6,J162&gt;=0.4,J162&lt;=0.6,MIN(D162:G162)&gt;=14.4),"是","否")</f>
        <v/>
      </c>
    </row>
    <row r="163">
      <c r="A163" s="7" t="inlineStr">
        <is>
          <t>96 块 1</t>
        </is>
      </c>
      <c r="B163" s="7" t="inlineStr">
        <is>
          <t>i5</t>
        </is>
      </c>
      <c r="C163" s="7" t="n">
        <v>2</v>
      </c>
      <c r="D163" s="7">
        <f>COUNTIF('384对'!$N$2:$N$97,"A")</f>
        <v/>
      </c>
      <c r="E163" s="7">
        <f>COUNTIF('384对'!$N$2:$N$97,"C")</f>
        <v/>
      </c>
      <c r="F163" s="7">
        <f>COUNTIF('384对'!$N$2:$N$97,"G")</f>
        <v/>
      </c>
      <c r="G163" s="7">
        <f>COUNTIF('384对'!$N$2:$N$97,"T")</f>
        <v/>
      </c>
      <c r="H163" s="8">
        <f>(E163+F163)/96</f>
        <v/>
      </c>
      <c r="I163" s="8">
        <f>(D163+E163)/96</f>
        <v/>
      </c>
      <c r="J163" s="8">
        <f>(D163+G163)/96</f>
        <v/>
      </c>
      <c r="K163" s="7">
        <f>IF(AND(H163&gt;=0.4,H163&lt;=0.6,I163&gt;=0.4,I163&lt;=0.6,J163&gt;=0.4,J163&lt;=0.6,MIN(D163:G163)&gt;=14.4),"是","否")</f>
        <v/>
      </c>
    </row>
    <row r="164">
      <c r="A164" s="7" t="inlineStr">
        <is>
          <t>96 块 1</t>
        </is>
      </c>
      <c r="B164" s="7" t="inlineStr">
        <is>
          <t>i5</t>
        </is>
      </c>
      <c r="C164" s="7" t="n">
        <v>3</v>
      </c>
      <c r="D164" s="7">
        <f>COUNTIF('384对'!$O$2:$O$97,"A")</f>
        <v/>
      </c>
      <c r="E164" s="7">
        <f>COUNTIF('384对'!$O$2:$O$97,"C")</f>
        <v/>
      </c>
      <c r="F164" s="7">
        <f>COUNTIF('384对'!$O$2:$O$97,"G")</f>
        <v/>
      </c>
      <c r="G164" s="7">
        <f>COUNTIF('384对'!$O$2:$O$97,"T")</f>
        <v/>
      </c>
      <c r="H164" s="8">
        <f>(E164+F164)/96</f>
        <v/>
      </c>
      <c r="I164" s="8">
        <f>(D164+E164)/96</f>
        <v/>
      </c>
      <c r="J164" s="8">
        <f>(D164+G164)/96</f>
        <v/>
      </c>
      <c r="K164" s="7">
        <f>IF(AND(H164&gt;=0.4,H164&lt;=0.6,I164&gt;=0.4,I164&lt;=0.6,J164&gt;=0.4,J164&lt;=0.6,MIN(D164:G164)&gt;=14.4),"是","否")</f>
        <v/>
      </c>
    </row>
    <row r="165">
      <c r="A165" s="7" t="inlineStr">
        <is>
          <t>96 块 1</t>
        </is>
      </c>
      <c r="B165" s="7" t="inlineStr">
        <is>
          <t>i5</t>
        </is>
      </c>
      <c r="C165" s="7" t="n">
        <v>4</v>
      </c>
      <c r="D165" s="7">
        <f>COUNTIF('384对'!$P$2:$P$97,"A")</f>
        <v/>
      </c>
      <c r="E165" s="7">
        <f>COUNTIF('384对'!$P$2:$P$97,"C")</f>
        <v/>
      </c>
      <c r="F165" s="7">
        <f>COUNTIF('384对'!$P$2:$P$97,"G")</f>
        <v/>
      </c>
      <c r="G165" s="7">
        <f>COUNTIF('384对'!$P$2:$P$97,"T")</f>
        <v/>
      </c>
      <c r="H165" s="8">
        <f>(E165+F165)/96</f>
        <v/>
      </c>
      <c r="I165" s="8">
        <f>(D165+E165)/96</f>
        <v/>
      </c>
      <c r="J165" s="8">
        <f>(D165+G165)/96</f>
        <v/>
      </c>
      <c r="K165" s="7">
        <f>IF(AND(H165&gt;=0.4,H165&lt;=0.6,I165&gt;=0.4,I165&lt;=0.6,J165&gt;=0.4,J165&lt;=0.6,MIN(D165:G165)&gt;=14.4),"是","否")</f>
        <v/>
      </c>
    </row>
    <row r="166">
      <c r="A166" s="7" t="inlineStr">
        <is>
          <t>96 块 1</t>
        </is>
      </c>
      <c r="B166" s="7" t="inlineStr">
        <is>
          <t>i5</t>
        </is>
      </c>
      <c r="C166" s="7" t="n">
        <v>5</v>
      </c>
      <c r="D166" s="7">
        <f>COUNTIF('384对'!$Q$2:$Q$97,"A")</f>
        <v/>
      </c>
      <c r="E166" s="7">
        <f>COUNTIF('384对'!$Q$2:$Q$97,"C")</f>
        <v/>
      </c>
      <c r="F166" s="7">
        <f>COUNTIF('384对'!$Q$2:$Q$97,"G")</f>
        <v/>
      </c>
      <c r="G166" s="7">
        <f>COUNTIF('384对'!$Q$2:$Q$97,"T")</f>
        <v/>
      </c>
      <c r="H166" s="8">
        <f>(E166+F166)/96</f>
        <v/>
      </c>
      <c r="I166" s="8">
        <f>(D166+E166)/96</f>
        <v/>
      </c>
      <c r="J166" s="8">
        <f>(D166+G166)/96</f>
        <v/>
      </c>
      <c r="K166" s="7">
        <f>IF(AND(H166&gt;=0.4,H166&lt;=0.6,I166&gt;=0.4,I166&lt;=0.6,J166&gt;=0.4,J166&lt;=0.6,MIN(D166:G166)&gt;=14.4),"是","否")</f>
        <v/>
      </c>
    </row>
    <row r="167">
      <c r="A167" s="7" t="inlineStr">
        <is>
          <t>96 块 1</t>
        </is>
      </c>
      <c r="B167" s="7" t="inlineStr">
        <is>
          <t>i5</t>
        </is>
      </c>
      <c r="C167" s="7" t="n">
        <v>6</v>
      </c>
      <c r="D167" s="7">
        <f>COUNTIF('384对'!$R$2:$R$97,"A")</f>
        <v/>
      </c>
      <c r="E167" s="7">
        <f>COUNTIF('384对'!$R$2:$R$97,"C")</f>
        <v/>
      </c>
      <c r="F167" s="7">
        <f>COUNTIF('384对'!$R$2:$R$97,"G")</f>
        <v/>
      </c>
      <c r="G167" s="7">
        <f>COUNTIF('384对'!$R$2:$R$97,"T")</f>
        <v/>
      </c>
      <c r="H167" s="8">
        <f>(E167+F167)/96</f>
        <v/>
      </c>
      <c r="I167" s="8">
        <f>(D167+E167)/96</f>
        <v/>
      </c>
      <c r="J167" s="8">
        <f>(D167+G167)/96</f>
        <v/>
      </c>
      <c r="K167" s="7">
        <f>IF(AND(H167&gt;=0.4,H167&lt;=0.6,I167&gt;=0.4,I167&lt;=0.6,J167&gt;=0.4,J167&lt;=0.6,MIN(D167:G167)&gt;=14.4),"是","否")</f>
        <v/>
      </c>
    </row>
    <row r="168">
      <c r="A168" s="7" t="inlineStr">
        <is>
          <t>96 块 1</t>
        </is>
      </c>
      <c r="B168" s="7" t="inlineStr">
        <is>
          <t>i5</t>
        </is>
      </c>
      <c r="C168" s="7" t="n">
        <v>7</v>
      </c>
      <c r="D168" s="7">
        <f>COUNTIF('384对'!$S$2:$S$97,"A")</f>
        <v/>
      </c>
      <c r="E168" s="7">
        <f>COUNTIF('384对'!$S$2:$S$97,"C")</f>
        <v/>
      </c>
      <c r="F168" s="7">
        <f>COUNTIF('384对'!$S$2:$S$97,"G")</f>
        <v/>
      </c>
      <c r="G168" s="7">
        <f>COUNTIF('384对'!$S$2:$S$97,"T")</f>
        <v/>
      </c>
      <c r="H168" s="8">
        <f>(E168+F168)/96</f>
        <v/>
      </c>
      <c r="I168" s="8">
        <f>(D168+E168)/96</f>
        <v/>
      </c>
      <c r="J168" s="8">
        <f>(D168+G168)/96</f>
        <v/>
      </c>
      <c r="K168" s="7">
        <f>IF(AND(H168&gt;=0.4,H168&lt;=0.6,I168&gt;=0.4,I168&lt;=0.6,J168&gt;=0.4,J168&lt;=0.6,MIN(D168:G168)&gt;=14.4),"是","否")</f>
        <v/>
      </c>
    </row>
    <row r="169">
      <c r="A169" s="7" t="inlineStr">
        <is>
          <t>96 块 1</t>
        </is>
      </c>
      <c r="B169" s="7" t="inlineStr">
        <is>
          <t>i5</t>
        </is>
      </c>
      <c r="C169" s="7" t="n">
        <v>8</v>
      </c>
      <c r="D169" s="7">
        <f>COUNTIF('384对'!$T$2:$T$97,"A")</f>
        <v/>
      </c>
      <c r="E169" s="7">
        <f>COUNTIF('384对'!$T$2:$T$97,"C")</f>
        <v/>
      </c>
      <c r="F169" s="7">
        <f>COUNTIF('384对'!$T$2:$T$97,"G")</f>
        <v/>
      </c>
      <c r="G169" s="7">
        <f>COUNTIF('384对'!$T$2:$T$97,"T")</f>
        <v/>
      </c>
      <c r="H169" s="8">
        <f>(E169+F169)/96</f>
        <v/>
      </c>
      <c r="I169" s="8">
        <f>(D169+E169)/96</f>
        <v/>
      </c>
      <c r="J169" s="8">
        <f>(D169+G169)/96</f>
        <v/>
      </c>
      <c r="K169" s="7">
        <f>IF(AND(H169&gt;=0.4,H169&lt;=0.6,I169&gt;=0.4,I169&lt;=0.6,J169&gt;=0.4,J169&lt;=0.6,MIN(D169:G169)&gt;=14.4),"是","否")</f>
        <v/>
      </c>
    </row>
    <row r="170">
      <c r="A170" s="7" t="inlineStr">
        <is>
          <t>96 块 1</t>
        </is>
      </c>
      <c r="B170" s="7" t="inlineStr">
        <is>
          <t>i5</t>
        </is>
      </c>
      <c r="C170" s="7" t="n">
        <v>9</v>
      </c>
      <c r="D170" s="7">
        <f>COUNTIF('384对'!$U$2:$U$97,"A")</f>
        <v/>
      </c>
      <c r="E170" s="7">
        <f>COUNTIF('384对'!$U$2:$U$97,"C")</f>
        <v/>
      </c>
      <c r="F170" s="7">
        <f>COUNTIF('384对'!$U$2:$U$97,"G")</f>
        <v/>
      </c>
      <c r="G170" s="7">
        <f>COUNTIF('384对'!$U$2:$U$97,"T")</f>
        <v/>
      </c>
      <c r="H170" s="8">
        <f>(E170+F170)/96</f>
        <v/>
      </c>
      <c r="I170" s="8">
        <f>(D170+E170)/96</f>
        <v/>
      </c>
      <c r="J170" s="8">
        <f>(D170+G170)/96</f>
        <v/>
      </c>
      <c r="K170" s="7">
        <f>IF(AND(H170&gt;=0.4,H170&lt;=0.6,I170&gt;=0.4,I170&lt;=0.6,J170&gt;=0.4,J170&lt;=0.6,MIN(D170:G170)&gt;=14.4),"是","否")</f>
        <v/>
      </c>
    </row>
    <row r="171">
      <c r="A171" s="7" t="inlineStr">
        <is>
          <t>96 块 1</t>
        </is>
      </c>
      <c r="B171" s="7" t="inlineStr">
        <is>
          <t>i5</t>
        </is>
      </c>
      <c r="C171" s="7" t="n">
        <v>10</v>
      </c>
      <c r="D171" s="7">
        <f>COUNTIF('384对'!$V$2:$V$97,"A")</f>
        <v/>
      </c>
      <c r="E171" s="7">
        <f>COUNTIF('384对'!$V$2:$V$97,"C")</f>
        <v/>
      </c>
      <c r="F171" s="7">
        <f>COUNTIF('384对'!$V$2:$V$97,"G")</f>
        <v/>
      </c>
      <c r="G171" s="7">
        <f>COUNTIF('384对'!$V$2:$V$97,"T")</f>
        <v/>
      </c>
      <c r="H171" s="8">
        <f>(E171+F171)/96</f>
        <v/>
      </c>
      <c r="I171" s="8">
        <f>(D171+E171)/96</f>
        <v/>
      </c>
      <c r="J171" s="8">
        <f>(D171+G171)/96</f>
        <v/>
      </c>
      <c r="K171" s="7">
        <f>IF(AND(H171&gt;=0.4,H171&lt;=0.6,I171&gt;=0.4,I171&lt;=0.6,J171&gt;=0.4,J171&lt;=0.6,MIN(D171:G171)&gt;=14.4),"是","否")</f>
        <v/>
      </c>
    </row>
    <row r="172">
      <c r="A172" s="7" t="inlineStr">
        <is>
          <t>96 块 1</t>
        </is>
      </c>
      <c r="B172" s="7" t="inlineStr">
        <is>
          <t>i7</t>
        </is>
      </c>
      <c r="C172" s="7" t="n">
        <v>1</v>
      </c>
      <c r="D172" s="7">
        <f>COUNTIF('384对'!$W$2:$W$97,"A")</f>
        <v/>
      </c>
      <c r="E172" s="7">
        <f>COUNTIF('384对'!$W$2:$W$97,"C")</f>
        <v/>
      </c>
      <c r="F172" s="7">
        <f>COUNTIF('384对'!$W$2:$W$97,"G")</f>
        <v/>
      </c>
      <c r="G172" s="7">
        <f>COUNTIF('384对'!$W$2:$W$97,"T")</f>
        <v/>
      </c>
      <c r="H172" s="8">
        <f>(E172+F172)/96</f>
        <v/>
      </c>
      <c r="I172" s="8">
        <f>(D172+E172)/96</f>
        <v/>
      </c>
      <c r="J172" s="8">
        <f>(D172+G172)/96</f>
        <v/>
      </c>
      <c r="K172" s="7">
        <f>IF(AND(H172&gt;=0.4,H172&lt;=0.6,I172&gt;=0.4,I172&lt;=0.6,J172&gt;=0.4,J172&lt;=0.6,MIN(D172:G172)&gt;=14.4),"是","否")</f>
        <v/>
      </c>
    </row>
    <row r="173">
      <c r="A173" s="7" t="inlineStr">
        <is>
          <t>96 块 1</t>
        </is>
      </c>
      <c r="B173" s="7" t="inlineStr">
        <is>
          <t>i7</t>
        </is>
      </c>
      <c r="C173" s="7" t="n">
        <v>2</v>
      </c>
      <c r="D173" s="7">
        <f>COUNTIF('384对'!$X$2:$X$97,"A")</f>
        <v/>
      </c>
      <c r="E173" s="7">
        <f>COUNTIF('384对'!$X$2:$X$97,"C")</f>
        <v/>
      </c>
      <c r="F173" s="7">
        <f>COUNTIF('384对'!$X$2:$X$97,"G")</f>
        <v/>
      </c>
      <c r="G173" s="7">
        <f>COUNTIF('384对'!$X$2:$X$97,"T")</f>
        <v/>
      </c>
      <c r="H173" s="8">
        <f>(E173+F173)/96</f>
        <v/>
      </c>
      <c r="I173" s="8">
        <f>(D173+E173)/96</f>
        <v/>
      </c>
      <c r="J173" s="8">
        <f>(D173+G173)/96</f>
        <v/>
      </c>
      <c r="K173" s="7">
        <f>IF(AND(H173&gt;=0.4,H173&lt;=0.6,I173&gt;=0.4,I173&lt;=0.6,J173&gt;=0.4,J173&lt;=0.6,MIN(D173:G173)&gt;=14.4),"是","否")</f>
        <v/>
      </c>
    </row>
    <row r="174">
      <c r="A174" s="7" t="inlineStr">
        <is>
          <t>96 块 1</t>
        </is>
      </c>
      <c r="B174" s="7" t="inlineStr">
        <is>
          <t>i7</t>
        </is>
      </c>
      <c r="C174" s="7" t="n">
        <v>3</v>
      </c>
      <c r="D174" s="7">
        <f>COUNTIF('384对'!$Y$2:$Y$97,"A")</f>
        <v/>
      </c>
      <c r="E174" s="7">
        <f>COUNTIF('384对'!$Y$2:$Y$97,"C")</f>
        <v/>
      </c>
      <c r="F174" s="7">
        <f>COUNTIF('384对'!$Y$2:$Y$97,"G")</f>
        <v/>
      </c>
      <c r="G174" s="7">
        <f>COUNTIF('384对'!$Y$2:$Y$97,"T")</f>
        <v/>
      </c>
      <c r="H174" s="8">
        <f>(E174+F174)/96</f>
        <v/>
      </c>
      <c r="I174" s="8">
        <f>(D174+E174)/96</f>
        <v/>
      </c>
      <c r="J174" s="8">
        <f>(D174+G174)/96</f>
        <v/>
      </c>
      <c r="K174" s="7">
        <f>IF(AND(H174&gt;=0.4,H174&lt;=0.6,I174&gt;=0.4,I174&lt;=0.6,J174&gt;=0.4,J174&lt;=0.6,MIN(D174:G174)&gt;=14.4),"是","否")</f>
        <v/>
      </c>
    </row>
    <row r="175">
      <c r="A175" s="7" t="inlineStr">
        <is>
          <t>96 块 1</t>
        </is>
      </c>
      <c r="B175" s="7" t="inlineStr">
        <is>
          <t>i7</t>
        </is>
      </c>
      <c r="C175" s="7" t="n">
        <v>4</v>
      </c>
      <c r="D175" s="7">
        <f>COUNTIF('384对'!$Z$2:$Z$97,"A")</f>
        <v/>
      </c>
      <c r="E175" s="7">
        <f>COUNTIF('384对'!$Z$2:$Z$97,"C")</f>
        <v/>
      </c>
      <c r="F175" s="7">
        <f>COUNTIF('384对'!$Z$2:$Z$97,"G")</f>
        <v/>
      </c>
      <c r="G175" s="7">
        <f>COUNTIF('384对'!$Z$2:$Z$97,"T")</f>
        <v/>
      </c>
      <c r="H175" s="8">
        <f>(E175+F175)/96</f>
        <v/>
      </c>
      <c r="I175" s="8">
        <f>(D175+E175)/96</f>
        <v/>
      </c>
      <c r="J175" s="8">
        <f>(D175+G175)/96</f>
        <v/>
      </c>
      <c r="K175" s="7">
        <f>IF(AND(H175&gt;=0.4,H175&lt;=0.6,I175&gt;=0.4,I175&lt;=0.6,J175&gt;=0.4,J175&lt;=0.6,MIN(D175:G175)&gt;=14.4),"是","否")</f>
        <v/>
      </c>
    </row>
    <row r="176">
      <c r="A176" s="7" t="inlineStr">
        <is>
          <t>96 块 1</t>
        </is>
      </c>
      <c r="B176" s="7" t="inlineStr">
        <is>
          <t>i7</t>
        </is>
      </c>
      <c r="C176" s="7" t="n">
        <v>5</v>
      </c>
      <c r="D176" s="7">
        <f>COUNTIF('384对'!$AA$2:$AA$97,"A")</f>
        <v/>
      </c>
      <c r="E176" s="7">
        <f>COUNTIF('384对'!$AA$2:$AA$97,"C")</f>
        <v/>
      </c>
      <c r="F176" s="7">
        <f>COUNTIF('384对'!$AA$2:$AA$97,"G")</f>
        <v/>
      </c>
      <c r="G176" s="7">
        <f>COUNTIF('384对'!$AA$2:$AA$97,"T")</f>
        <v/>
      </c>
      <c r="H176" s="8">
        <f>(E176+F176)/96</f>
        <v/>
      </c>
      <c r="I176" s="8">
        <f>(D176+E176)/96</f>
        <v/>
      </c>
      <c r="J176" s="8">
        <f>(D176+G176)/96</f>
        <v/>
      </c>
      <c r="K176" s="7">
        <f>IF(AND(H176&gt;=0.4,H176&lt;=0.6,I176&gt;=0.4,I176&lt;=0.6,J176&gt;=0.4,J176&lt;=0.6,MIN(D176:G176)&gt;=14.4),"是","否")</f>
        <v/>
      </c>
    </row>
    <row r="177">
      <c r="A177" s="7" t="inlineStr">
        <is>
          <t>96 块 1</t>
        </is>
      </c>
      <c r="B177" s="7" t="inlineStr">
        <is>
          <t>i7</t>
        </is>
      </c>
      <c r="C177" s="7" t="n">
        <v>6</v>
      </c>
      <c r="D177" s="7">
        <f>COUNTIF('384对'!$AB$2:$AB$97,"A")</f>
        <v/>
      </c>
      <c r="E177" s="7">
        <f>COUNTIF('384对'!$AB$2:$AB$97,"C")</f>
        <v/>
      </c>
      <c r="F177" s="7">
        <f>COUNTIF('384对'!$AB$2:$AB$97,"G")</f>
        <v/>
      </c>
      <c r="G177" s="7">
        <f>COUNTIF('384对'!$AB$2:$AB$97,"T")</f>
        <v/>
      </c>
      <c r="H177" s="8">
        <f>(E177+F177)/96</f>
        <v/>
      </c>
      <c r="I177" s="8">
        <f>(D177+E177)/96</f>
        <v/>
      </c>
      <c r="J177" s="8">
        <f>(D177+G177)/96</f>
        <v/>
      </c>
      <c r="K177" s="7">
        <f>IF(AND(H177&gt;=0.4,H177&lt;=0.6,I177&gt;=0.4,I177&lt;=0.6,J177&gt;=0.4,J177&lt;=0.6,MIN(D177:G177)&gt;=14.4),"是","否")</f>
        <v/>
      </c>
    </row>
    <row r="178">
      <c r="A178" s="7" t="inlineStr">
        <is>
          <t>96 块 1</t>
        </is>
      </c>
      <c r="B178" s="7" t="inlineStr">
        <is>
          <t>i7</t>
        </is>
      </c>
      <c r="C178" s="7" t="n">
        <v>7</v>
      </c>
      <c r="D178" s="7">
        <f>COUNTIF('384对'!$AC$2:$AC$97,"A")</f>
        <v/>
      </c>
      <c r="E178" s="7">
        <f>COUNTIF('384对'!$AC$2:$AC$97,"C")</f>
        <v/>
      </c>
      <c r="F178" s="7">
        <f>COUNTIF('384对'!$AC$2:$AC$97,"G")</f>
        <v/>
      </c>
      <c r="G178" s="7">
        <f>COUNTIF('384对'!$AC$2:$AC$97,"T")</f>
        <v/>
      </c>
      <c r="H178" s="8">
        <f>(E178+F178)/96</f>
        <v/>
      </c>
      <c r="I178" s="8">
        <f>(D178+E178)/96</f>
        <v/>
      </c>
      <c r="J178" s="8">
        <f>(D178+G178)/96</f>
        <v/>
      </c>
      <c r="K178" s="7">
        <f>IF(AND(H178&gt;=0.4,H178&lt;=0.6,I178&gt;=0.4,I178&lt;=0.6,J178&gt;=0.4,J178&lt;=0.6,MIN(D178:G178)&gt;=14.4),"是","否")</f>
        <v/>
      </c>
    </row>
    <row r="179">
      <c r="A179" s="7" t="inlineStr">
        <is>
          <t>96 块 1</t>
        </is>
      </c>
      <c r="B179" s="7" t="inlineStr">
        <is>
          <t>i7</t>
        </is>
      </c>
      <c r="C179" s="7" t="n">
        <v>8</v>
      </c>
      <c r="D179" s="7">
        <f>COUNTIF('384对'!$AD$2:$AD$97,"A")</f>
        <v/>
      </c>
      <c r="E179" s="7">
        <f>COUNTIF('384对'!$AD$2:$AD$97,"C")</f>
        <v/>
      </c>
      <c r="F179" s="7">
        <f>COUNTIF('384对'!$AD$2:$AD$97,"G")</f>
        <v/>
      </c>
      <c r="G179" s="7">
        <f>COUNTIF('384对'!$AD$2:$AD$97,"T")</f>
        <v/>
      </c>
      <c r="H179" s="8">
        <f>(E179+F179)/96</f>
        <v/>
      </c>
      <c r="I179" s="8">
        <f>(D179+E179)/96</f>
        <v/>
      </c>
      <c r="J179" s="8">
        <f>(D179+G179)/96</f>
        <v/>
      </c>
      <c r="K179" s="7">
        <f>IF(AND(H179&gt;=0.4,H179&lt;=0.6,I179&gt;=0.4,I179&lt;=0.6,J179&gt;=0.4,J179&lt;=0.6,MIN(D179:G179)&gt;=14.4),"是","否")</f>
        <v/>
      </c>
    </row>
    <row r="180">
      <c r="A180" s="7" t="inlineStr">
        <is>
          <t>96 块 1</t>
        </is>
      </c>
      <c r="B180" s="7" t="inlineStr">
        <is>
          <t>i7</t>
        </is>
      </c>
      <c r="C180" s="7" t="n">
        <v>9</v>
      </c>
      <c r="D180" s="7">
        <f>COUNTIF('384对'!$AE$2:$AE$97,"A")</f>
        <v/>
      </c>
      <c r="E180" s="7">
        <f>COUNTIF('384对'!$AE$2:$AE$97,"C")</f>
        <v/>
      </c>
      <c r="F180" s="7">
        <f>COUNTIF('384对'!$AE$2:$AE$97,"G")</f>
        <v/>
      </c>
      <c r="G180" s="7">
        <f>COUNTIF('384对'!$AE$2:$AE$97,"T")</f>
        <v/>
      </c>
      <c r="H180" s="8">
        <f>(E180+F180)/96</f>
        <v/>
      </c>
      <c r="I180" s="8">
        <f>(D180+E180)/96</f>
        <v/>
      </c>
      <c r="J180" s="8">
        <f>(D180+G180)/96</f>
        <v/>
      </c>
      <c r="K180" s="7">
        <f>IF(AND(H180&gt;=0.4,H180&lt;=0.6,I180&gt;=0.4,I180&lt;=0.6,J180&gt;=0.4,J180&lt;=0.6,MIN(D180:G180)&gt;=14.4),"是","否")</f>
        <v/>
      </c>
    </row>
    <row r="181">
      <c r="A181" s="7" t="inlineStr">
        <is>
          <t>96 块 1</t>
        </is>
      </c>
      <c r="B181" s="7" t="inlineStr">
        <is>
          <t>i7</t>
        </is>
      </c>
      <c r="C181" s="7" t="n">
        <v>10</v>
      </c>
      <c r="D181" s="7">
        <f>COUNTIF('384对'!$AF$2:$AF$97,"A")</f>
        <v/>
      </c>
      <c r="E181" s="7">
        <f>COUNTIF('384对'!$AF$2:$AF$97,"C")</f>
        <v/>
      </c>
      <c r="F181" s="7">
        <f>COUNTIF('384对'!$AF$2:$AF$97,"G")</f>
        <v/>
      </c>
      <c r="G181" s="7">
        <f>COUNTIF('384对'!$AF$2:$AF$97,"T")</f>
        <v/>
      </c>
      <c r="H181" s="8">
        <f>(E181+F181)/96</f>
        <v/>
      </c>
      <c r="I181" s="8">
        <f>(D181+E181)/96</f>
        <v/>
      </c>
      <c r="J181" s="8">
        <f>(D181+G181)/96</f>
        <v/>
      </c>
      <c r="K181" s="7">
        <f>IF(AND(H181&gt;=0.4,H181&lt;=0.6,I181&gt;=0.4,I181&lt;=0.6,J181&gt;=0.4,J181&lt;=0.6,MIN(D181:G181)&gt;=14.4),"是","否")</f>
        <v/>
      </c>
    </row>
    <row r="182">
      <c r="A182" s="7" t="inlineStr">
        <is>
          <t>96 块 2</t>
        </is>
      </c>
      <c r="B182" s="7" t="inlineStr">
        <is>
          <t>i5</t>
        </is>
      </c>
      <c r="C182" s="7" t="n">
        <v>1</v>
      </c>
      <c r="D182" s="7">
        <f>COUNTIF('384对'!$M$98:$M$193,"A")</f>
        <v/>
      </c>
      <c r="E182" s="7">
        <f>COUNTIF('384对'!$M$98:$M$193,"C")</f>
        <v/>
      </c>
      <c r="F182" s="7">
        <f>COUNTIF('384对'!$M$98:$M$193,"G")</f>
        <v/>
      </c>
      <c r="G182" s="7">
        <f>COUNTIF('384对'!$M$98:$M$193,"T")</f>
        <v/>
      </c>
      <c r="H182" s="8">
        <f>(E182+F182)/96</f>
        <v/>
      </c>
      <c r="I182" s="8">
        <f>(D182+E182)/96</f>
        <v/>
      </c>
      <c r="J182" s="8">
        <f>(D182+G182)/96</f>
        <v/>
      </c>
      <c r="K182" s="7">
        <f>IF(AND(H182&gt;=0.4,H182&lt;=0.6,I182&gt;=0.4,I182&lt;=0.6,J182&gt;=0.4,J182&lt;=0.6,MIN(D182:G182)&gt;=14.4),"是","否")</f>
        <v/>
      </c>
    </row>
    <row r="183">
      <c r="A183" s="7" t="inlineStr">
        <is>
          <t>96 块 2</t>
        </is>
      </c>
      <c r="B183" s="7" t="inlineStr">
        <is>
          <t>i5</t>
        </is>
      </c>
      <c r="C183" s="7" t="n">
        <v>2</v>
      </c>
      <c r="D183" s="7">
        <f>COUNTIF('384对'!$N$98:$N$193,"A")</f>
        <v/>
      </c>
      <c r="E183" s="7">
        <f>COUNTIF('384对'!$N$98:$N$193,"C")</f>
        <v/>
      </c>
      <c r="F183" s="7">
        <f>COUNTIF('384对'!$N$98:$N$193,"G")</f>
        <v/>
      </c>
      <c r="G183" s="7">
        <f>COUNTIF('384对'!$N$98:$N$193,"T")</f>
        <v/>
      </c>
      <c r="H183" s="8">
        <f>(E183+F183)/96</f>
        <v/>
      </c>
      <c r="I183" s="8">
        <f>(D183+E183)/96</f>
        <v/>
      </c>
      <c r="J183" s="8">
        <f>(D183+G183)/96</f>
        <v/>
      </c>
      <c r="K183" s="7">
        <f>IF(AND(H183&gt;=0.4,H183&lt;=0.6,I183&gt;=0.4,I183&lt;=0.6,J183&gt;=0.4,J183&lt;=0.6,MIN(D183:G183)&gt;=14.4),"是","否")</f>
        <v/>
      </c>
    </row>
    <row r="184">
      <c r="A184" s="7" t="inlineStr">
        <is>
          <t>96 块 2</t>
        </is>
      </c>
      <c r="B184" s="7" t="inlineStr">
        <is>
          <t>i5</t>
        </is>
      </c>
      <c r="C184" s="7" t="n">
        <v>3</v>
      </c>
      <c r="D184" s="7">
        <f>COUNTIF('384对'!$O$98:$O$193,"A")</f>
        <v/>
      </c>
      <c r="E184" s="7">
        <f>COUNTIF('384对'!$O$98:$O$193,"C")</f>
        <v/>
      </c>
      <c r="F184" s="7">
        <f>COUNTIF('384对'!$O$98:$O$193,"G")</f>
        <v/>
      </c>
      <c r="G184" s="7">
        <f>COUNTIF('384对'!$O$98:$O$193,"T")</f>
        <v/>
      </c>
      <c r="H184" s="8">
        <f>(E184+F184)/96</f>
        <v/>
      </c>
      <c r="I184" s="8">
        <f>(D184+E184)/96</f>
        <v/>
      </c>
      <c r="J184" s="8">
        <f>(D184+G184)/96</f>
        <v/>
      </c>
      <c r="K184" s="7">
        <f>IF(AND(H184&gt;=0.4,H184&lt;=0.6,I184&gt;=0.4,I184&lt;=0.6,J184&gt;=0.4,J184&lt;=0.6,MIN(D184:G184)&gt;=14.4),"是","否")</f>
        <v/>
      </c>
    </row>
    <row r="185">
      <c r="A185" s="7" t="inlineStr">
        <is>
          <t>96 块 2</t>
        </is>
      </c>
      <c r="B185" s="7" t="inlineStr">
        <is>
          <t>i5</t>
        </is>
      </c>
      <c r="C185" s="7" t="n">
        <v>4</v>
      </c>
      <c r="D185" s="7">
        <f>COUNTIF('384对'!$P$98:$P$193,"A")</f>
        <v/>
      </c>
      <c r="E185" s="7">
        <f>COUNTIF('384对'!$P$98:$P$193,"C")</f>
        <v/>
      </c>
      <c r="F185" s="7">
        <f>COUNTIF('384对'!$P$98:$P$193,"G")</f>
        <v/>
      </c>
      <c r="G185" s="7">
        <f>COUNTIF('384对'!$P$98:$P$193,"T")</f>
        <v/>
      </c>
      <c r="H185" s="8">
        <f>(E185+F185)/96</f>
        <v/>
      </c>
      <c r="I185" s="8">
        <f>(D185+E185)/96</f>
        <v/>
      </c>
      <c r="J185" s="8">
        <f>(D185+G185)/96</f>
        <v/>
      </c>
      <c r="K185" s="7">
        <f>IF(AND(H185&gt;=0.4,H185&lt;=0.6,I185&gt;=0.4,I185&lt;=0.6,J185&gt;=0.4,J185&lt;=0.6,MIN(D185:G185)&gt;=14.4),"是","否")</f>
        <v/>
      </c>
    </row>
    <row r="186">
      <c r="A186" s="7" t="inlineStr">
        <is>
          <t>96 块 2</t>
        </is>
      </c>
      <c r="B186" s="7" t="inlineStr">
        <is>
          <t>i5</t>
        </is>
      </c>
      <c r="C186" s="7" t="n">
        <v>5</v>
      </c>
      <c r="D186" s="7">
        <f>COUNTIF('384对'!$Q$98:$Q$193,"A")</f>
        <v/>
      </c>
      <c r="E186" s="7">
        <f>COUNTIF('384对'!$Q$98:$Q$193,"C")</f>
        <v/>
      </c>
      <c r="F186" s="7">
        <f>COUNTIF('384对'!$Q$98:$Q$193,"G")</f>
        <v/>
      </c>
      <c r="G186" s="7">
        <f>COUNTIF('384对'!$Q$98:$Q$193,"T")</f>
        <v/>
      </c>
      <c r="H186" s="8">
        <f>(E186+F186)/96</f>
        <v/>
      </c>
      <c r="I186" s="8">
        <f>(D186+E186)/96</f>
        <v/>
      </c>
      <c r="J186" s="8">
        <f>(D186+G186)/96</f>
        <v/>
      </c>
      <c r="K186" s="7">
        <f>IF(AND(H186&gt;=0.4,H186&lt;=0.6,I186&gt;=0.4,I186&lt;=0.6,J186&gt;=0.4,J186&lt;=0.6,MIN(D186:G186)&gt;=14.4),"是","否")</f>
        <v/>
      </c>
    </row>
    <row r="187">
      <c r="A187" s="7" t="inlineStr">
        <is>
          <t>96 块 2</t>
        </is>
      </c>
      <c r="B187" s="7" t="inlineStr">
        <is>
          <t>i5</t>
        </is>
      </c>
      <c r="C187" s="7" t="n">
        <v>6</v>
      </c>
      <c r="D187" s="7">
        <f>COUNTIF('384对'!$R$98:$R$193,"A")</f>
        <v/>
      </c>
      <c r="E187" s="7">
        <f>COUNTIF('384对'!$R$98:$R$193,"C")</f>
        <v/>
      </c>
      <c r="F187" s="7">
        <f>COUNTIF('384对'!$R$98:$R$193,"G")</f>
        <v/>
      </c>
      <c r="G187" s="7">
        <f>COUNTIF('384对'!$R$98:$R$193,"T")</f>
        <v/>
      </c>
      <c r="H187" s="8">
        <f>(E187+F187)/96</f>
        <v/>
      </c>
      <c r="I187" s="8">
        <f>(D187+E187)/96</f>
        <v/>
      </c>
      <c r="J187" s="8">
        <f>(D187+G187)/96</f>
        <v/>
      </c>
      <c r="K187" s="7">
        <f>IF(AND(H187&gt;=0.4,H187&lt;=0.6,I187&gt;=0.4,I187&lt;=0.6,J187&gt;=0.4,J187&lt;=0.6,MIN(D187:G187)&gt;=14.4),"是","否")</f>
        <v/>
      </c>
    </row>
    <row r="188">
      <c r="A188" s="7" t="inlineStr">
        <is>
          <t>96 块 2</t>
        </is>
      </c>
      <c r="B188" s="7" t="inlineStr">
        <is>
          <t>i5</t>
        </is>
      </c>
      <c r="C188" s="7" t="n">
        <v>7</v>
      </c>
      <c r="D188" s="7">
        <f>COUNTIF('384对'!$S$98:$S$193,"A")</f>
        <v/>
      </c>
      <c r="E188" s="7">
        <f>COUNTIF('384对'!$S$98:$S$193,"C")</f>
        <v/>
      </c>
      <c r="F188" s="7">
        <f>COUNTIF('384对'!$S$98:$S$193,"G")</f>
        <v/>
      </c>
      <c r="G188" s="7">
        <f>COUNTIF('384对'!$S$98:$S$193,"T")</f>
        <v/>
      </c>
      <c r="H188" s="8">
        <f>(E188+F188)/96</f>
        <v/>
      </c>
      <c r="I188" s="8">
        <f>(D188+E188)/96</f>
        <v/>
      </c>
      <c r="J188" s="8">
        <f>(D188+G188)/96</f>
        <v/>
      </c>
      <c r="K188" s="7">
        <f>IF(AND(H188&gt;=0.4,H188&lt;=0.6,I188&gt;=0.4,I188&lt;=0.6,J188&gt;=0.4,J188&lt;=0.6,MIN(D188:G188)&gt;=14.4),"是","否")</f>
        <v/>
      </c>
    </row>
    <row r="189">
      <c r="A189" s="7" t="inlineStr">
        <is>
          <t>96 块 2</t>
        </is>
      </c>
      <c r="B189" s="7" t="inlineStr">
        <is>
          <t>i5</t>
        </is>
      </c>
      <c r="C189" s="7" t="n">
        <v>8</v>
      </c>
      <c r="D189" s="7">
        <f>COUNTIF('384对'!$T$98:$T$193,"A")</f>
        <v/>
      </c>
      <c r="E189" s="7">
        <f>COUNTIF('384对'!$T$98:$T$193,"C")</f>
        <v/>
      </c>
      <c r="F189" s="7">
        <f>COUNTIF('384对'!$T$98:$T$193,"G")</f>
        <v/>
      </c>
      <c r="G189" s="7">
        <f>COUNTIF('384对'!$T$98:$T$193,"T")</f>
        <v/>
      </c>
      <c r="H189" s="8">
        <f>(E189+F189)/96</f>
        <v/>
      </c>
      <c r="I189" s="8">
        <f>(D189+E189)/96</f>
        <v/>
      </c>
      <c r="J189" s="8">
        <f>(D189+G189)/96</f>
        <v/>
      </c>
      <c r="K189" s="7">
        <f>IF(AND(H189&gt;=0.4,H189&lt;=0.6,I189&gt;=0.4,I189&lt;=0.6,J189&gt;=0.4,J189&lt;=0.6,MIN(D189:G189)&gt;=14.4),"是","否")</f>
        <v/>
      </c>
    </row>
    <row r="190">
      <c r="A190" s="7" t="inlineStr">
        <is>
          <t>96 块 2</t>
        </is>
      </c>
      <c r="B190" s="7" t="inlineStr">
        <is>
          <t>i5</t>
        </is>
      </c>
      <c r="C190" s="7" t="n">
        <v>9</v>
      </c>
      <c r="D190" s="7">
        <f>COUNTIF('384对'!$U$98:$U$193,"A")</f>
        <v/>
      </c>
      <c r="E190" s="7">
        <f>COUNTIF('384对'!$U$98:$U$193,"C")</f>
        <v/>
      </c>
      <c r="F190" s="7">
        <f>COUNTIF('384对'!$U$98:$U$193,"G")</f>
        <v/>
      </c>
      <c r="G190" s="7">
        <f>COUNTIF('384对'!$U$98:$U$193,"T")</f>
        <v/>
      </c>
      <c r="H190" s="8">
        <f>(E190+F190)/96</f>
        <v/>
      </c>
      <c r="I190" s="8">
        <f>(D190+E190)/96</f>
        <v/>
      </c>
      <c r="J190" s="8">
        <f>(D190+G190)/96</f>
        <v/>
      </c>
      <c r="K190" s="7">
        <f>IF(AND(H190&gt;=0.4,H190&lt;=0.6,I190&gt;=0.4,I190&lt;=0.6,J190&gt;=0.4,J190&lt;=0.6,MIN(D190:G190)&gt;=14.4),"是","否")</f>
        <v/>
      </c>
    </row>
    <row r="191">
      <c r="A191" s="7" t="inlineStr">
        <is>
          <t>96 块 2</t>
        </is>
      </c>
      <c r="B191" s="7" t="inlineStr">
        <is>
          <t>i5</t>
        </is>
      </c>
      <c r="C191" s="7" t="n">
        <v>10</v>
      </c>
      <c r="D191" s="7">
        <f>COUNTIF('384对'!$V$98:$V$193,"A")</f>
        <v/>
      </c>
      <c r="E191" s="7">
        <f>COUNTIF('384对'!$V$98:$V$193,"C")</f>
        <v/>
      </c>
      <c r="F191" s="7">
        <f>COUNTIF('384对'!$V$98:$V$193,"G")</f>
        <v/>
      </c>
      <c r="G191" s="7">
        <f>COUNTIF('384对'!$V$98:$V$193,"T")</f>
        <v/>
      </c>
      <c r="H191" s="8">
        <f>(E191+F191)/96</f>
        <v/>
      </c>
      <c r="I191" s="8">
        <f>(D191+E191)/96</f>
        <v/>
      </c>
      <c r="J191" s="8">
        <f>(D191+G191)/96</f>
        <v/>
      </c>
      <c r="K191" s="7">
        <f>IF(AND(H191&gt;=0.4,H191&lt;=0.6,I191&gt;=0.4,I191&lt;=0.6,J191&gt;=0.4,J191&lt;=0.6,MIN(D191:G191)&gt;=14.4),"是","否")</f>
        <v/>
      </c>
    </row>
    <row r="192">
      <c r="A192" s="7" t="inlineStr">
        <is>
          <t>96 块 2</t>
        </is>
      </c>
      <c r="B192" s="7" t="inlineStr">
        <is>
          <t>i7</t>
        </is>
      </c>
      <c r="C192" s="7" t="n">
        <v>1</v>
      </c>
      <c r="D192" s="7">
        <f>COUNTIF('384对'!$W$98:$W$193,"A")</f>
        <v/>
      </c>
      <c r="E192" s="7">
        <f>COUNTIF('384对'!$W$98:$W$193,"C")</f>
        <v/>
      </c>
      <c r="F192" s="7">
        <f>COUNTIF('384对'!$W$98:$W$193,"G")</f>
        <v/>
      </c>
      <c r="G192" s="7">
        <f>COUNTIF('384对'!$W$98:$W$193,"T")</f>
        <v/>
      </c>
      <c r="H192" s="8">
        <f>(E192+F192)/96</f>
        <v/>
      </c>
      <c r="I192" s="8">
        <f>(D192+E192)/96</f>
        <v/>
      </c>
      <c r="J192" s="8">
        <f>(D192+G192)/96</f>
        <v/>
      </c>
      <c r="K192" s="7">
        <f>IF(AND(H192&gt;=0.4,H192&lt;=0.6,I192&gt;=0.4,I192&lt;=0.6,J192&gt;=0.4,J192&lt;=0.6,MIN(D192:G192)&gt;=14.4),"是","否")</f>
        <v/>
      </c>
    </row>
    <row r="193">
      <c r="A193" s="7" t="inlineStr">
        <is>
          <t>96 块 2</t>
        </is>
      </c>
      <c r="B193" s="7" t="inlineStr">
        <is>
          <t>i7</t>
        </is>
      </c>
      <c r="C193" s="7" t="n">
        <v>2</v>
      </c>
      <c r="D193" s="7">
        <f>COUNTIF('384对'!$X$98:$X$193,"A")</f>
        <v/>
      </c>
      <c r="E193" s="7">
        <f>COUNTIF('384对'!$X$98:$X$193,"C")</f>
        <v/>
      </c>
      <c r="F193" s="7">
        <f>COUNTIF('384对'!$X$98:$X$193,"G")</f>
        <v/>
      </c>
      <c r="G193" s="7">
        <f>COUNTIF('384对'!$X$98:$X$193,"T")</f>
        <v/>
      </c>
      <c r="H193" s="8">
        <f>(E193+F193)/96</f>
        <v/>
      </c>
      <c r="I193" s="8">
        <f>(D193+E193)/96</f>
        <v/>
      </c>
      <c r="J193" s="8">
        <f>(D193+G193)/96</f>
        <v/>
      </c>
      <c r="K193" s="7">
        <f>IF(AND(H193&gt;=0.4,H193&lt;=0.6,I193&gt;=0.4,I193&lt;=0.6,J193&gt;=0.4,J193&lt;=0.6,MIN(D193:G193)&gt;=14.4),"是","否")</f>
        <v/>
      </c>
    </row>
    <row r="194">
      <c r="A194" s="7" t="inlineStr">
        <is>
          <t>96 块 2</t>
        </is>
      </c>
      <c r="B194" s="7" t="inlineStr">
        <is>
          <t>i7</t>
        </is>
      </c>
      <c r="C194" s="7" t="n">
        <v>3</v>
      </c>
      <c r="D194" s="7">
        <f>COUNTIF('384对'!$Y$98:$Y$193,"A")</f>
        <v/>
      </c>
      <c r="E194" s="7">
        <f>COUNTIF('384对'!$Y$98:$Y$193,"C")</f>
        <v/>
      </c>
      <c r="F194" s="7">
        <f>COUNTIF('384对'!$Y$98:$Y$193,"G")</f>
        <v/>
      </c>
      <c r="G194" s="7">
        <f>COUNTIF('384对'!$Y$98:$Y$193,"T")</f>
        <v/>
      </c>
      <c r="H194" s="8">
        <f>(E194+F194)/96</f>
        <v/>
      </c>
      <c r="I194" s="8">
        <f>(D194+E194)/96</f>
        <v/>
      </c>
      <c r="J194" s="8">
        <f>(D194+G194)/96</f>
        <v/>
      </c>
      <c r="K194" s="7">
        <f>IF(AND(H194&gt;=0.4,H194&lt;=0.6,I194&gt;=0.4,I194&lt;=0.6,J194&gt;=0.4,J194&lt;=0.6,MIN(D194:G194)&gt;=14.4),"是","否")</f>
        <v/>
      </c>
    </row>
    <row r="195">
      <c r="A195" s="7" t="inlineStr">
        <is>
          <t>96 块 2</t>
        </is>
      </c>
      <c r="B195" s="7" t="inlineStr">
        <is>
          <t>i7</t>
        </is>
      </c>
      <c r="C195" s="7" t="n">
        <v>4</v>
      </c>
      <c r="D195" s="7">
        <f>COUNTIF('384对'!$Z$98:$Z$193,"A")</f>
        <v/>
      </c>
      <c r="E195" s="7">
        <f>COUNTIF('384对'!$Z$98:$Z$193,"C")</f>
        <v/>
      </c>
      <c r="F195" s="7">
        <f>COUNTIF('384对'!$Z$98:$Z$193,"G")</f>
        <v/>
      </c>
      <c r="G195" s="7">
        <f>COUNTIF('384对'!$Z$98:$Z$193,"T")</f>
        <v/>
      </c>
      <c r="H195" s="8">
        <f>(E195+F195)/96</f>
        <v/>
      </c>
      <c r="I195" s="8">
        <f>(D195+E195)/96</f>
        <v/>
      </c>
      <c r="J195" s="8">
        <f>(D195+G195)/96</f>
        <v/>
      </c>
      <c r="K195" s="7">
        <f>IF(AND(H195&gt;=0.4,H195&lt;=0.6,I195&gt;=0.4,I195&lt;=0.6,J195&gt;=0.4,J195&lt;=0.6,MIN(D195:G195)&gt;=14.4),"是","否")</f>
        <v/>
      </c>
    </row>
    <row r="196">
      <c r="A196" s="7" t="inlineStr">
        <is>
          <t>96 块 2</t>
        </is>
      </c>
      <c r="B196" s="7" t="inlineStr">
        <is>
          <t>i7</t>
        </is>
      </c>
      <c r="C196" s="7" t="n">
        <v>5</v>
      </c>
      <c r="D196" s="7">
        <f>COUNTIF('384对'!$AA$98:$AA$193,"A")</f>
        <v/>
      </c>
      <c r="E196" s="7">
        <f>COUNTIF('384对'!$AA$98:$AA$193,"C")</f>
        <v/>
      </c>
      <c r="F196" s="7">
        <f>COUNTIF('384对'!$AA$98:$AA$193,"G")</f>
        <v/>
      </c>
      <c r="G196" s="7">
        <f>COUNTIF('384对'!$AA$98:$AA$193,"T")</f>
        <v/>
      </c>
      <c r="H196" s="8">
        <f>(E196+F196)/96</f>
        <v/>
      </c>
      <c r="I196" s="8">
        <f>(D196+E196)/96</f>
        <v/>
      </c>
      <c r="J196" s="8">
        <f>(D196+G196)/96</f>
        <v/>
      </c>
      <c r="K196" s="7">
        <f>IF(AND(H196&gt;=0.4,H196&lt;=0.6,I196&gt;=0.4,I196&lt;=0.6,J196&gt;=0.4,J196&lt;=0.6,MIN(D196:G196)&gt;=14.4),"是","否")</f>
        <v/>
      </c>
    </row>
    <row r="197">
      <c r="A197" s="7" t="inlineStr">
        <is>
          <t>96 块 2</t>
        </is>
      </c>
      <c r="B197" s="7" t="inlineStr">
        <is>
          <t>i7</t>
        </is>
      </c>
      <c r="C197" s="7" t="n">
        <v>6</v>
      </c>
      <c r="D197" s="7">
        <f>COUNTIF('384对'!$AB$98:$AB$193,"A")</f>
        <v/>
      </c>
      <c r="E197" s="7">
        <f>COUNTIF('384对'!$AB$98:$AB$193,"C")</f>
        <v/>
      </c>
      <c r="F197" s="7">
        <f>COUNTIF('384对'!$AB$98:$AB$193,"G")</f>
        <v/>
      </c>
      <c r="G197" s="7">
        <f>COUNTIF('384对'!$AB$98:$AB$193,"T")</f>
        <v/>
      </c>
      <c r="H197" s="8">
        <f>(E197+F197)/96</f>
        <v/>
      </c>
      <c r="I197" s="8">
        <f>(D197+E197)/96</f>
        <v/>
      </c>
      <c r="J197" s="8">
        <f>(D197+G197)/96</f>
        <v/>
      </c>
      <c r="K197" s="7">
        <f>IF(AND(H197&gt;=0.4,H197&lt;=0.6,I197&gt;=0.4,I197&lt;=0.6,J197&gt;=0.4,J197&lt;=0.6,MIN(D197:G197)&gt;=14.4),"是","否")</f>
        <v/>
      </c>
    </row>
    <row r="198">
      <c r="A198" s="7" t="inlineStr">
        <is>
          <t>96 块 2</t>
        </is>
      </c>
      <c r="B198" s="7" t="inlineStr">
        <is>
          <t>i7</t>
        </is>
      </c>
      <c r="C198" s="7" t="n">
        <v>7</v>
      </c>
      <c r="D198" s="7">
        <f>COUNTIF('384对'!$AC$98:$AC$193,"A")</f>
        <v/>
      </c>
      <c r="E198" s="7">
        <f>COUNTIF('384对'!$AC$98:$AC$193,"C")</f>
        <v/>
      </c>
      <c r="F198" s="7">
        <f>COUNTIF('384对'!$AC$98:$AC$193,"G")</f>
        <v/>
      </c>
      <c r="G198" s="7">
        <f>COUNTIF('384对'!$AC$98:$AC$193,"T")</f>
        <v/>
      </c>
      <c r="H198" s="8">
        <f>(E198+F198)/96</f>
        <v/>
      </c>
      <c r="I198" s="8">
        <f>(D198+E198)/96</f>
        <v/>
      </c>
      <c r="J198" s="8">
        <f>(D198+G198)/96</f>
        <v/>
      </c>
      <c r="K198" s="7">
        <f>IF(AND(H198&gt;=0.4,H198&lt;=0.6,I198&gt;=0.4,I198&lt;=0.6,J198&gt;=0.4,J198&lt;=0.6,MIN(D198:G198)&gt;=14.4),"是","否")</f>
        <v/>
      </c>
    </row>
    <row r="199">
      <c r="A199" s="7" t="inlineStr">
        <is>
          <t>96 块 2</t>
        </is>
      </c>
      <c r="B199" s="7" t="inlineStr">
        <is>
          <t>i7</t>
        </is>
      </c>
      <c r="C199" s="7" t="n">
        <v>8</v>
      </c>
      <c r="D199" s="7">
        <f>COUNTIF('384对'!$AD$98:$AD$193,"A")</f>
        <v/>
      </c>
      <c r="E199" s="7">
        <f>COUNTIF('384对'!$AD$98:$AD$193,"C")</f>
        <v/>
      </c>
      <c r="F199" s="7">
        <f>COUNTIF('384对'!$AD$98:$AD$193,"G")</f>
        <v/>
      </c>
      <c r="G199" s="7">
        <f>COUNTIF('384对'!$AD$98:$AD$193,"T")</f>
        <v/>
      </c>
      <c r="H199" s="8">
        <f>(E199+F199)/96</f>
        <v/>
      </c>
      <c r="I199" s="8">
        <f>(D199+E199)/96</f>
        <v/>
      </c>
      <c r="J199" s="8">
        <f>(D199+G199)/96</f>
        <v/>
      </c>
      <c r="K199" s="7">
        <f>IF(AND(H199&gt;=0.4,H199&lt;=0.6,I199&gt;=0.4,I199&lt;=0.6,J199&gt;=0.4,J199&lt;=0.6,MIN(D199:G199)&gt;=14.4),"是","否")</f>
        <v/>
      </c>
    </row>
    <row r="200">
      <c r="A200" s="7" t="inlineStr">
        <is>
          <t>96 块 2</t>
        </is>
      </c>
      <c r="B200" s="7" t="inlineStr">
        <is>
          <t>i7</t>
        </is>
      </c>
      <c r="C200" s="7" t="n">
        <v>9</v>
      </c>
      <c r="D200" s="7">
        <f>COUNTIF('384对'!$AE$98:$AE$193,"A")</f>
        <v/>
      </c>
      <c r="E200" s="7">
        <f>COUNTIF('384对'!$AE$98:$AE$193,"C")</f>
        <v/>
      </c>
      <c r="F200" s="7">
        <f>COUNTIF('384对'!$AE$98:$AE$193,"G")</f>
        <v/>
      </c>
      <c r="G200" s="7">
        <f>COUNTIF('384对'!$AE$98:$AE$193,"T")</f>
        <v/>
      </c>
      <c r="H200" s="8">
        <f>(E200+F200)/96</f>
        <v/>
      </c>
      <c r="I200" s="8">
        <f>(D200+E200)/96</f>
        <v/>
      </c>
      <c r="J200" s="8">
        <f>(D200+G200)/96</f>
        <v/>
      </c>
      <c r="K200" s="7">
        <f>IF(AND(H200&gt;=0.4,H200&lt;=0.6,I200&gt;=0.4,I200&lt;=0.6,J200&gt;=0.4,J200&lt;=0.6,MIN(D200:G200)&gt;=14.4),"是","否")</f>
        <v/>
      </c>
    </row>
    <row r="201">
      <c r="A201" s="7" t="inlineStr">
        <is>
          <t>96 块 2</t>
        </is>
      </c>
      <c r="B201" s="7" t="inlineStr">
        <is>
          <t>i7</t>
        </is>
      </c>
      <c r="C201" s="7" t="n">
        <v>10</v>
      </c>
      <c r="D201" s="7">
        <f>COUNTIF('384对'!$AF$98:$AF$193,"A")</f>
        <v/>
      </c>
      <c r="E201" s="7">
        <f>COUNTIF('384对'!$AF$98:$AF$193,"C")</f>
        <v/>
      </c>
      <c r="F201" s="7">
        <f>COUNTIF('384对'!$AF$98:$AF$193,"G")</f>
        <v/>
      </c>
      <c r="G201" s="7">
        <f>COUNTIF('384对'!$AF$98:$AF$193,"T")</f>
        <v/>
      </c>
      <c r="H201" s="8">
        <f>(E201+F201)/96</f>
        <v/>
      </c>
      <c r="I201" s="8">
        <f>(D201+E201)/96</f>
        <v/>
      </c>
      <c r="J201" s="8">
        <f>(D201+G201)/96</f>
        <v/>
      </c>
      <c r="K201" s="7">
        <f>IF(AND(H201&gt;=0.4,H201&lt;=0.6,I201&gt;=0.4,I201&lt;=0.6,J201&gt;=0.4,J201&lt;=0.6,MIN(D201:G201)&gt;=14.4),"是","否")</f>
        <v/>
      </c>
    </row>
    <row r="202">
      <c r="A202" s="7" t="inlineStr">
        <is>
          <t>96 块 3</t>
        </is>
      </c>
      <c r="B202" s="7" t="inlineStr">
        <is>
          <t>i5</t>
        </is>
      </c>
      <c r="C202" s="7" t="n">
        <v>1</v>
      </c>
      <c r="D202" s="7">
        <f>COUNTIF('384对'!$M$194:$M$289,"A")</f>
        <v/>
      </c>
      <c r="E202" s="7">
        <f>COUNTIF('384对'!$M$194:$M$289,"C")</f>
        <v/>
      </c>
      <c r="F202" s="7">
        <f>COUNTIF('384对'!$M$194:$M$289,"G")</f>
        <v/>
      </c>
      <c r="G202" s="7">
        <f>COUNTIF('384对'!$M$194:$M$289,"T")</f>
        <v/>
      </c>
      <c r="H202" s="8">
        <f>(E202+F202)/96</f>
        <v/>
      </c>
      <c r="I202" s="8">
        <f>(D202+E202)/96</f>
        <v/>
      </c>
      <c r="J202" s="8">
        <f>(D202+G202)/96</f>
        <v/>
      </c>
      <c r="K202" s="7">
        <f>IF(AND(H202&gt;=0.4,H202&lt;=0.6,I202&gt;=0.4,I202&lt;=0.6,J202&gt;=0.4,J202&lt;=0.6,MIN(D202:G202)&gt;=14.4),"是","否")</f>
        <v/>
      </c>
    </row>
    <row r="203">
      <c r="A203" s="7" t="inlineStr">
        <is>
          <t>96 块 3</t>
        </is>
      </c>
      <c r="B203" s="7" t="inlineStr">
        <is>
          <t>i5</t>
        </is>
      </c>
      <c r="C203" s="7" t="n">
        <v>2</v>
      </c>
      <c r="D203" s="7">
        <f>COUNTIF('384对'!$N$194:$N$289,"A")</f>
        <v/>
      </c>
      <c r="E203" s="7">
        <f>COUNTIF('384对'!$N$194:$N$289,"C")</f>
        <v/>
      </c>
      <c r="F203" s="7">
        <f>COUNTIF('384对'!$N$194:$N$289,"G")</f>
        <v/>
      </c>
      <c r="G203" s="7">
        <f>COUNTIF('384对'!$N$194:$N$289,"T")</f>
        <v/>
      </c>
      <c r="H203" s="8">
        <f>(E203+F203)/96</f>
        <v/>
      </c>
      <c r="I203" s="8">
        <f>(D203+E203)/96</f>
        <v/>
      </c>
      <c r="J203" s="8">
        <f>(D203+G203)/96</f>
        <v/>
      </c>
      <c r="K203" s="7">
        <f>IF(AND(H203&gt;=0.4,H203&lt;=0.6,I203&gt;=0.4,I203&lt;=0.6,J203&gt;=0.4,J203&lt;=0.6,MIN(D203:G203)&gt;=14.4),"是","否")</f>
        <v/>
      </c>
    </row>
    <row r="204">
      <c r="A204" s="7" t="inlineStr">
        <is>
          <t>96 块 3</t>
        </is>
      </c>
      <c r="B204" s="7" t="inlineStr">
        <is>
          <t>i5</t>
        </is>
      </c>
      <c r="C204" s="7" t="n">
        <v>3</v>
      </c>
      <c r="D204" s="7">
        <f>COUNTIF('384对'!$O$194:$O$289,"A")</f>
        <v/>
      </c>
      <c r="E204" s="7">
        <f>COUNTIF('384对'!$O$194:$O$289,"C")</f>
        <v/>
      </c>
      <c r="F204" s="7">
        <f>COUNTIF('384对'!$O$194:$O$289,"G")</f>
        <v/>
      </c>
      <c r="G204" s="7">
        <f>COUNTIF('384对'!$O$194:$O$289,"T")</f>
        <v/>
      </c>
      <c r="H204" s="8">
        <f>(E204+F204)/96</f>
        <v/>
      </c>
      <c r="I204" s="8">
        <f>(D204+E204)/96</f>
        <v/>
      </c>
      <c r="J204" s="8">
        <f>(D204+G204)/96</f>
        <v/>
      </c>
      <c r="K204" s="7">
        <f>IF(AND(H204&gt;=0.4,H204&lt;=0.6,I204&gt;=0.4,I204&lt;=0.6,J204&gt;=0.4,J204&lt;=0.6,MIN(D204:G204)&gt;=14.4),"是","否")</f>
        <v/>
      </c>
    </row>
    <row r="205">
      <c r="A205" s="7" t="inlineStr">
        <is>
          <t>96 块 3</t>
        </is>
      </c>
      <c r="B205" s="7" t="inlineStr">
        <is>
          <t>i5</t>
        </is>
      </c>
      <c r="C205" s="7" t="n">
        <v>4</v>
      </c>
      <c r="D205" s="7">
        <f>COUNTIF('384对'!$P$194:$P$289,"A")</f>
        <v/>
      </c>
      <c r="E205" s="7">
        <f>COUNTIF('384对'!$P$194:$P$289,"C")</f>
        <v/>
      </c>
      <c r="F205" s="7">
        <f>COUNTIF('384对'!$P$194:$P$289,"G")</f>
        <v/>
      </c>
      <c r="G205" s="7">
        <f>COUNTIF('384对'!$P$194:$P$289,"T")</f>
        <v/>
      </c>
      <c r="H205" s="8">
        <f>(E205+F205)/96</f>
        <v/>
      </c>
      <c r="I205" s="8">
        <f>(D205+E205)/96</f>
        <v/>
      </c>
      <c r="J205" s="8">
        <f>(D205+G205)/96</f>
        <v/>
      </c>
      <c r="K205" s="7">
        <f>IF(AND(H205&gt;=0.4,H205&lt;=0.6,I205&gt;=0.4,I205&lt;=0.6,J205&gt;=0.4,J205&lt;=0.6,MIN(D205:G205)&gt;=14.4),"是","否")</f>
        <v/>
      </c>
    </row>
    <row r="206">
      <c r="A206" s="7" t="inlineStr">
        <is>
          <t>96 块 3</t>
        </is>
      </c>
      <c r="B206" s="7" t="inlineStr">
        <is>
          <t>i5</t>
        </is>
      </c>
      <c r="C206" s="7" t="n">
        <v>5</v>
      </c>
      <c r="D206" s="7">
        <f>COUNTIF('384对'!$Q$194:$Q$289,"A")</f>
        <v/>
      </c>
      <c r="E206" s="7">
        <f>COUNTIF('384对'!$Q$194:$Q$289,"C")</f>
        <v/>
      </c>
      <c r="F206" s="7">
        <f>COUNTIF('384对'!$Q$194:$Q$289,"G")</f>
        <v/>
      </c>
      <c r="G206" s="7">
        <f>COUNTIF('384对'!$Q$194:$Q$289,"T")</f>
        <v/>
      </c>
      <c r="H206" s="8">
        <f>(E206+F206)/96</f>
        <v/>
      </c>
      <c r="I206" s="8">
        <f>(D206+E206)/96</f>
        <v/>
      </c>
      <c r="J206" s="8">
        <f>(D206+G206)/96</f>
        <v/>
      </c>
      <c r="K206" s="7">
        <f>IF(AND(H206&gt;=0.4,H206&lt;=0.6,I206&gt;=0.4,I206&lt;=0.6,J206&gt;=0.4,J206&lt;=0.6,MIN(D206:G206)&gt;=14.4),"是","否")</f>
        <v/>
      </c>
    </row>
    <row r="207">
      <c r="A207" s="7" t="inlineStr">
        <is>
          <t>96 块 3</t>
        </is>
      </c>
      <c r="B207" s="7" t="inlineStr">
        <is>
          <t>i5</t>
        </is>
      </c>
      <c r="C207" s="7" t="n">
        <v>6</v>
      </c>
      <c r="D207" s="7">
        <f>COUNTIF('384对'!$R$194:$R$289,"A")</f>
        <v/>
      </c>
      <c r="E207" s="7">
        <f>COUNTIF('384对'!$R$194:$R$289,"C")</f>
        <v/>
      </c>
      <c r="F207" s="7">
        <f>COUNTIF('384对'!$R$194:$R$289,"G")</f>
        <v/>
      </c>
      <c r="G207" s="7">
        <f>COUNTIF('384对'!$R$194:$R$289,"T")</f>
        <v/>
      </c>
      <c r="H207" s="8">
        <f>(E207+F207)/96</f>
        <v/>
      </c>
      <c r="I207" s="8">
        <f>(D207+E207)/96</f>
        <v/>
      </c>
      <c r="J207" s="8">
        <f>(D207+G207)/96</f>
        <v/>
      </c>
      <c r="K207" s="7">
        <f>IF(AND(H207&gt;=0.4,H207&lt;=0.6,I207&gt;=0.4,I207&lt;=0.6,J207&gt;=0.4,J207&lt;=0.6,MIN(D207:G207)&gt;=14.4),"是","否")</f>
        <v/>
      </c>
    </row>
    <row r="208">
      <c r="A208" s="7" t="inlineStr">
        <is>
          <t>96 块 3</t>
        </is>
      </c>
      <c r="B208" s="7" t="inlineStr">
        <is>
          <t>i5</t>
        </is>
      </c>
      <c r="C208" s="7" t="n">
        <v>7</v>
      </c>
      <c r="D208" s="7">
        <f>COUNTIF('384对'!$S$194:$S$289,"A")</f>
        <v/>
      </c>
      <c r="E208" s="7">
        <f>COUNTIF('384对'!$S$194:$S$289,"C")</f>
        <v/>
      </c>
      <c r="F208" s="7">
        <f>COUNTIF('384对'!$S$194:$S$289,"G")</f>
        <v/>
      </c>
      <c r="G208" s="7">
        <f>COUNTIF('384对'!$S$194:$S$289,"T")</f>
        <v/>
      </c>
      <c r="H208" s="8">
        <f>(E208+F208)/96</f>
        <v/>
      </c>
      <c r="I208" s="8">
        <f>(D208+E208)/96</f>
        <v/>
      </c>
      <c r="J208" s="8">
        <f>(D208+G208)/96</f>
        <v/>
      </c>
      <c r="K208" s="7">
        <f>IF(AND(H208&gt;=0.4,H208&lt;=0.6,I208&gt;=0.4,I208&lt;=0.6,J208&gt;=0.4,J208&lt;=0.6,MIN(D208:G208)&gt;=14.4),"是","否")</f>
        <v/>
      </c>
    </row>
    <row r="209">
      <c r="A209" s="7" t="inlineStr">
        <is>
          <t>96 块 3</t>
        </is>
      </c>
      <c r="B209" s="7" t="inlineStr">
        <is>
          <t>i5</t>
        </is>
      </c>
      <c r="C209" s="7" t="n">
        <v>8</v>
      </c>
      <c r="D209" s="7">
        <f>COUNTIF('384对'!$T$194:$T$289,"A")</f>
        <v/>
      </c>
      <c r="E209" s="7">
        <f>COUNTIF('384对'!$T$194:$T$289,"C")</f>
        <v/>
      </c>
      <c r="F209" s="7">
        <f>COUNTIF('384对'!$T$194:$T$289,"G")</f>
        <v/>
      </c>
      <c r="G209" s="7">
        <f>COUNTIF('384对'!$T$194:$T$289,"T")</f>
        <v/>
      </c>
      <c r="H209" s="8">
        <f>(E209+F209)/96</f>
        <v/>
      </c>
      <c r="I209" s="8">
        <f>(D209+E209)/96</f>
        <v/>
      </c>
      <c r="J209" s="8">
        <f>(D209+G209)/96</f>
        <v/>
      </c>
      <c r="K209" s="7">
        <f>IF(AND(H209&gt;=0.4,H209&lt;=0.6,I209&gt;=0.4,I209&lt;=0.6,J209&gt;=0.4,J209&lt;=0.6,MIN(D209:G209)&gt;=14.4),"是","否")</f>
        <v/>
      </c>
    </row>
    <row r="210">
      <c r="A210" s="7" t="inlineStr">
        <is>
          <t>96 块 3</t>
        </is>
      </c>
      <c r="B210" s="7" t="inlineStr">
        <is>
          <t>i5</t>
        </is>
      </c>
      <c r="C210" s="7" t="n">
        <v>9</v>
      </c>
      <c r="D210" s="7">
        <f>COUNTIF('384对'!$U$194:$U$289,"A")</f>
        <v/>
      </c>
      <c r="E210" s="7">
        <f>COUNTIF('384对'!$U$194:$U$289,"C")</f>
        <v/>
      </c>
      <c r="F210" s="7">
        <f>COUNTIF('384对'!$U$194:$U$289,"G")</f>
        <v/>
      </c>
      <c r="G210" s="7">
        <f>COUNTIF('384对'!$U$194:$U$289,"T")</f>
        <v/>
      </c>
      <c r="H210" s="8">
        <f>(E210+F210)/96</f>
        <v/>
      </c>
      <c r="I210" s="8">
        <f>(D210+E210)/96</f>
        <v/>
      </c>
      <c r="J210" s="8">
        <f>(D210+G210)/96</f>
        <v/>
      </c>
      <c r="K210" s="7">
        <f>IF(AND(H210&gt;=0.4,H210&lt;=0.6,I210&gt;=0.4,I210&lt;=0.6,J210&gt;=0.4,J210&lt;=0.6,MIN(D210:G210)&gt;=14.4),"是","否")</f>
        <v/>
      </c>
    </row>
    <row r="211">
      <c r="A211" s="7" t="inlineStr">
        <is>
          <t>96 块 3</t>
        </is>
      </c>
      <c r="B211" s="7" t="inlineStr">
        <is>
          <t>i5</t>
        </is>
      </c>
      <c r="C211" s="7" t="n">
        <v>10</v>
      </c>
      <c r="D211" s="7">
        <f>COUNTIF('384对'!$V$194:$V$289,"A")</f>
        <v/>
      </c>
      <c r="E211" s="7">
        <f>COUNTIF('384对'!$V$194:$V$289,"C")</f>
        <v/>
      </c>
      <c r="F211" s="7">
        <f>COUNTIF('384对'!$V$194:$V$289,"G")</f>
        <v/>
      </c>
      <c r="G211" s="7">
        <f>COUNTIF('384对'!$V$194:$V$289,"T")</f>
        <v/>
      </c>
      <c r="H211" s="8">
        <f>(E211+F211)/96</f>
        <v/>
      </c>
      <c r="I211" s="8">
        <f>(D211+E211)/96</f>
        <v/>
      </c>
      <c r="J211" s="8">
        <f>(D211+G211)/96</f>
        <v/>
      </c>
      <c r="K211" s="7">
        <f>IF(AND(H211&gt;=0.4,H211&lt;=0.6,I211&gt;=0.4,I211&lt;=0.6,J211&gt;=0.4,J211&lt;=0.6,MIN(D211:G211)&gt;=14.4),"是","否")</f>
        <v/>
      </c>
    </row>
    <row r="212">
      <c r="A212" s="7" t="inlineStr">
        <is>
          <t>96 块 3</t>
        </is>
      </c>
      <c r="B212" s="7" t="inlineStr">
        <is>
          <t>i7</t>
        </is>
      </c>
      <c r="C212" s="7" t="n">
        <v>1</v>
      </c>
      <c r="D212" s="7">
        <f>COUNTIF('384对'!$W$194:$W$289,"A")</f>
        <v/>
      </c>
      <c r="E212" s="7">
        <f>COUNTIF('384对'!$W$194:$W$289,"C")</f>
        <v/>
      </c>
      <c r="F212" s="7">
        <f>COUNTIF('384对'!$W$194:$W$289,"G")</f>
        <v/>
      </c>
      <c r="G212" s="7">
        <f>COUNTIF('384对'!$W$194:$W$289,"T")</f>
        <v/>
      </c>
      <c r="H212" s="8">
        <f>(E212+F212)/96</f>
        <v/>
      </c>
      <c r="I212" s="8">
        <f>(D212+E212)/96</f>
        <v/>
      </c>
      <c r="J212" s="8">
        <f>(D212+G212)/96</f>
        <v/>
      </c>
      <c r="K212" s="7">
        <f>IF(AND(H212&gt;=0.4,H212&lt;=0.6,I212&gt;=0.4,I212&lt;=0.6,J212&gt;=0.4,J212&lt;=0.6,MIN(D212:G212)&gt;=14.4),"是","否")</f>
        <v/>
      </c>
    </row>
    <row r="213">
      <c r="A213" s="7" t="inlineStr">
        <is>
          <t>96 块 3</t>
        </is>
      </c>
      <c r="B213" s="7" t="inlineStr">
        <is>
          <t>i7</t>
        </is>
      </c>
      <c r="C213" s="7" t="n">
        <v>2</v>
      </c>
      <c r="D213" s="7">
        <f>COUNTIF('384对'!$X$194:$X$289,"A")</f>
        <v/>
      </c>
      <c r="E213" s="7">
        <f>COUNTIF('384对'!$X$194:$X$289,"C")</f>
        <v/>
      </c>
      <c r="F213" s="7">
        <f>COUNTIF('384对'!$X$194:$X$289,"G")</f>
        <v/>
      </c>
      <c r="G213" s="7">
        <f>COUNTIF('384对'!$X$194:$X$289,"T")</f>
        <v/>
      </c>
      <c r="H213" s="8">
        <f>(E213+F213)/96</f>
        <v/>
      </c>
      <c r="I213" s="8">
        <f>(D213+E213)/96</f>
        <v/>
      </c>
      <c r="J213" s="8">
        <f>(D213+G213)/96</f>
        <v/>
      </c>
      <c r="K213" s="7">
        <f>IF(AND(H213&gt;=0.4,H213&lt;=0.6,I213&gt;=0.4,I213&lt;=0.6,J213&gt;=0.4,J213&lt;=0.6,MIN(D213:G213)&gt;=14.4),"是","否")</f>
        <v/>
      </c>
    </row>
    <row r="214">
      <c r="A214" s="7" t="inlineStr">
        <is>
          <t>96 块 3</t>
        </is>
      </c>
      <c r="B214" s="7" t="inlineStr">
        <is>
          <t>i7</t>
        </is>
      </c>
      <c r="C214" s="7" t="n">
        <v>3</v>
      </c>
      <c r="D214" s="7">
        <f>COUNTIF('384对'!$Y$194:$Y$289,"A")</f>
        <v/>
      </c>
      <c r="E214" s="7">
        <f>COUNTIF('384对'!$Y$194:$Y$289,"C")</f>
        <v/>
      </c>
      <c r="F214" s="7">
        <f>COUNTIF('384对'!$Y$194:$Y$289,"G")</f>
        <v/>
      </c>
      <c r="G214" s="7">
        <f>COUNTIF('384对'!$Y$194:$Y$289,"T")</f>
        <v/>
      </c>
      <c r="H214" s="8">
        <f>(E214+F214)/96</f>
        <v/>
      </c>
      <c r="I214" s="8">
        <f>(D214+E214)/96</f>
        <v/>
      </c>
      <c r="J214" s="8">
        <f>(D214+G214)/96</f>
        <v/>
      </c>
      <c r="K214" s="7">
        <f>IF(AND(H214&gt;=0.4,H214&lt;=0.6,I214&gt;=0.4,I214&lt;=0.6,J214&gt;=0.4,J214&lt;=0.6,MIN(D214:G214)&gt;=14.4),"是","否")</f>
        <v/>
      </c>
    </row>
    <row r="215">
      <c r="A215" s="7" t="inlineStr">
        <is>
          <t>96 块 3</t>
        </is>
      </c>
      <c r="B215" s="7" t="inlineStr">
        <is>
          <t>i7</t>
        </is>
      </c>
      <c r="C215" s="7" t="n">
        <v>4</v>
      </c>
      <c r="D215" s="7">
        <f>COUNTIF('384对'!$Z$194:$Z$289,"A")</f>
        <v/>
      </c>
      <c r="E215" s="7">
        <f>COUNTIF('384对'!$Z$194:$Z$289,"C")</f>
        <v/>
      </c>
      <c r="F215" s="7">
        <f>COUNTIF('384对'!$Z$194:$Z$289,"G")</f>
        <v/>
      </c>
      <c r="G215" s="7">
        <f>COUNTIF('384对'!$Z$194:$Z$289,"T")</f>
        <v/>
      </c>
      <c r="H215" s="8">
        <f>(E215+F215)/96</f>
        <v/>
      </c>
      <c r="I215" s="8">
        <f>(D215+E215)/96</f>
        <v/>
      </c>
      <c r="J215" s="8">
        <f>(D215+G215)/96</f>
        <v/>
      </c>
      <c r="K215" s="7">
        <f>IF(AND(H215&gt;=0.4,H215&lt;=0.6,I215&gt;=0.4,I215&lt;=0.6,J215&gt;=0.4,J215&lt;=0.6,MIN(D215:G215)&gt;=14.4),"是","否")</f>
        <v/>
      </c>
    </row>
    <row r="216">
      <c r="A216" s="7" t="inlineStr">
        <is>
          <t>96 块 3</t>
        </is>
      </c>
      <c r="B216" s="7" t="inlineStr">
        <is>
          <t>i7</t>
        </is>
      </c>
      <c r="C216" s="7" t="n">
        <v>5</v>
      </c>
      <c r="D216" s="7">
        <f>COUNTIF('384对'!$AA$194:$AA$289,"A")</f>
        <v/>
      </c>
      <c r="E216" s="7">
        <f>COUNTIF('384对'!$AA$194:$AA$289,"C")</f>
        <v/>
      </c>
      <c r="F216" s="7">
        <f>COUNTIF('384对'!$AA$194:$AA$289,"G")</f>
        <v/>
      </c>
      <c r="G216" s="7">
        <f>COUNTIF('384对'!$AA$194:$AA$289,"T")</f>
        <v/>
      </c>
      <c r="H216" s="8">
        <f>(E216+F216)/96</f>
        <v/>
      </c>
      <c r="I216" s="8">
        <f>(D216+E216)/96</f>
        <v/>
      </c>
      <c r="J216" s="8">
        <f>(D216+G216)/96</f>
        <v/>
      </c>
      <c r="K216" s="7">
        <f>IF(AND(H216&gt;=0.4,H216&lt;=0.6,I216&gt;=0.4,I216&lt;=0.6,J216&gt;=0.4,J216&lt;=0.6,MIN(D216:G216)&gt;=14.4),"是","否")</f>
        <v/>
      </c>
    </row>
    <row r="217">
      <c r="A217" s="7" t="inlineStr">
        <is>
          <t>96 块 3</t>
        </is>
      </c>
      <c r="B217" s="7" t="inlineStr">
        <is>
          <t>i7</t>
        </is>
      </c>
      <c r="C217" s="7" t="n">
        <v>6</v>
      </c>
      <c r="D217" s="7">
        <f>COUNTIF('384对'!$AB$194:$AB$289,"A")</f>
        <v/>
      </c>
      <c r="E217" s="7">
        <f>COUNTIF('384对'!$AB$194:$AB$289,"C")</f>
        <v/>
      </c>
      <c r="F217" s="7">
        <f>COUNTIF('384对'!$AB$194:$AB$289,"G")</f>
        <v/>
      </c>
      <c r="G217" s="7">
        <f>COUNTIF('384对'!$AB$194:$AB$289,"T")</f>
        <v/>
      </c>
      <c r="H217" s="8">
        <f>(E217+F217)/96</f>
        <v/>
      </c>
      <c r="I217" s="8">
        <f>(D217+E217)/96</f>
        <v/>
      </c>
      <c r="J217" s="8">
        <f>(D217+G217)/96</f>
        <v/>
      </c>
      <c r="K217" s="7">
        <f>IF(AND(H217&gt;=0.4,H217&lt;=0.6,I217&gt;=0.4,I217&lt;=0.6,J217&gt;=0.4,J217&lt;=0.6,MIN(D217:G217)&gt;=14.4),"是","否")</f>
        <v/>
      </c>
    </row>
    <row r="218">
      <c r="A218" s="7" t="inlineStr">
        <is>
          <t>96 块 3</t>
        </is>
      </c>
      <c r="B218" s="7" t="inlineStr">
        <is>
          <t>i7</t>
        </is>
      </c>
      <c r="C218" s="7" t="n">
        <v>7</v>
      </c>
      <c r="D218" s="7">
        <f>COUNTIF('384对'!$AC$194:$AC$289,"A")</f>
        <v/>
      </c>
      <c r="E218" s="7">
        <f>COUNTIF('384对'!$AC$194:$AC$289,"C")</f>
        <v/>
      </c>
      <c r="F218" s="7">
        <f>COUNTIF('384对'!$AC$194:$AC$289,"G")</f>
        <v/>
      </c>
      <c r="G218" s="7">
        <f>COUNTIF('384对'!$AC$194:$AC$289,"T")</f>
        <v/>
      </c>
      <c r="H218" s="8">
        <f>(E218+F218)/96</f>
        <v/>
      </c>
      <c r="I218" s="8">
        <f>(D218+E218)/96</f>
        <v/>
      </c>
      <c r="J218" s="8">
        <f>(D218+G218)/96</f>
        <v/>
      </c>
      <c r="K218" s="7">
        <f>IF(AND(H218&gt;=0.4,H218&lt;=0.6,I218&gt;=0.4,I218&lt;=0.6,J218&gt;=0.4,J218&lt;=0.6,MIN(D218:G218)&gt;=14.4),"是","否")</f>
        <v/>
      </c>
    </row>
    <row r="219">
      <c r="A219" s="7" t="inlineStr">
        <is>
          <t>96 块 3</t>
        </is>
      </c>
      <c r="B219" s="7" t="inlineStr">
        <is>
          <t>i7</t>
        </is>
      </c>
      <c r="C219" s="7" t="n">
        <v>8</v>
      </c>
      <c r="D219" s="7">
        <f>COUNTIF('384对'!$AD$194:$AD$289,"A")</f>
        <v/>
      </c>
      <c r="E219" s="7">
        <f>COUNTIF('384对'!$AD$194:$AD$289,"C")</f>
        <v/>
      </c>
      <c r="F219" s="7">
        <f>COUNTIF('384对'!$AD$194:$AD$289,"G")</f>
        <v/>
      </c>
      <c r="G219" s="7">
        <f>COUNTIF('384对'!$AD$194:$AD$289,"T")</f>
        <v/>
      </c>
      <c r="H219" s="8">
        <f>(E219+F219)/96</f>
        <v/>
      </c>
      <c r="I219" s="8">
        <f>(D219+E219)/96</f>
        <v/>
      </c>
      <c r="J219" s="8">
        <f>(D219+G219)/96</f>
        <v/>
      </c>
      <c r="K219" s="7">
        <f>IF(AND(H219&gt;=0.4,H219&lt;=0.6,I219&gt;=0.4,I219&lt;=0.6,J219&gt;=0.4,J219&lt;=0.6,MIN(D219:G219)&gt;=14.4),"是","否")</f>
        <v/>
      </c>
    </row>
    <row r="220">
      <c r="A220" s="7" t="inlineStr">
        <is>
          <t>96 块 3</t>
        </is>
      </c>
      <c r="B220" s="7" t="inlineStr">
        <is>
          <t>i7</t>
        </is>
      </c>
      <c r="C220" s="7" t="n">
        <v>9</v>
      </c>
      <c r="D220" s="7">
        <f>COUNTIF('384对'!$AE$194:$AE$289,"A")</f>
        <v/>
      </c>
      <c r="E220" s="7">
        <f>COUNTIF('384对'!$AE$194:$AE$289,"C")</f>
        <v/>
      </c>
      <c r="F220" s="7">
        <f>COUNTIF('384对'!$AE$194:$AE$289,"G")</f>
        <v/>
      </c>
      <c r="G220" s="7">
        <f>COUNTIF('384对'!$AE$194:$AE$289,"T")</f>
        <v/>
      </c>
      <c r="H220" s="8">
        <f>(E220+F220)/96</f>
        <v/>
      </c>
      <c r="I220" s="8">
        <f>(D220+E220)/96</f>
        <v/>
      </c>
      <c r="J220" s="8">
        <f>(D220+G220)/96</f>
        <v/>
      </c>
      <c r="K220" s="7">
        <f>IF(AND(H220&gt;=0.4,H220&lt;=0.6,I220&gt;=0.4,I220&lt;=0.6,J220&gt;=0.4,J220&lt;=0.6,MIN(D220:G220)&gt;=14.4),"是","否")</f>
        <v/>
      </c>
    </row>
    <row r="221">
      <c r="A221" s="7" t="inlineStr">
        <is>
          <t>96 块 3</t>
        </is>
      </c>
      <c r="B221" s="7" t="inlineStr">
        <is>
          <t>i7</t>
        </is>
      </c>
      <c r="C221" s="7" t="n">
        <v>10</v>
      </c>
      <c r="D221" s="7">
        <f>COUNTIF('384对'!$AF$194:$AF$289,"A")</f>
        <v/>
      </c>
      <c r="E221" s="7">
        <f>COUNTIF('384对'!$AF$194:$AF$289,"C")</f>
        <v/>
      </c>
      <c r="F221" s="7">
        <f>COUNTIF('384对'!$AF$194:$AF$289,"G")</f>
        <v/>
      </c>
      <c r="G221" s="7">
        <f>COUNTIF('384对'!$AF$194:$AF$289,"T")</f>
        <v/>
      </c>
      <c r="H221" s="8">
        <f>(E221+F221)/96</f>
        <v/>
      </c>
      <c r="I221" s="8">
        <f>(D221+E221)/96</f>
        <v/>
      </c>
      <c r="J221" s="8">
        <f>(D221+G221)/96</f>
        <v/>
      </c>
      <c r="K221" s="7">
        <f>IF(AND(H221&gt;=0.4,H221&lt;=0.6,I221&gt;=0.4,I221&lt;=0.6,J221&gt;=0.4,J221&lt;=0.6,MIN(D221:G221)&gt;=14.4),"是","否")</f>
        <v/>
      </c>
    </row>
    <row r="222">
      <c r="A222" s="7" t="inlineStr">
        <is>
          <t>96 块 4</t>
        </is>
      </c>
      <c r="B222" s="7" t="inlineStr">
        <is>
          <t>i5</t>
        </is>
      </c>
      <c r="C222" s="7" t="n">
        <v>1</v>
      </c>
      <c r="D222" s="7">
        <f>COUNTIF('384对'!$M$290:$M$385,"A")</f>
        <v/>
      </c>
      <c r="E222" s="7">
        <f>COUNTIF('384对'!$M$290:$M$385,"C")</f>
        <v/>
      </c>
      <c r="F222" s="7">
        <f>COUNTIF('384对'!$M$290:$M$385,"G")</f>
        <v/>
      </c>
      <c r="G222" s="7">
        <f>COUNTIF('384对'!$M$290:$M$385,"T")</f>
        <v/>
      </c>
      <c r="H222" s="8">
        <f>(E222+F222)/96</f>
        <v/>
      </c>
      <c r="I222" s="8">
        <f>(D222+E222)/96</f>
        <v/>
      </c>
      <c r="J222" s="8">
        <f>(D222+G222)/96</f>
        <v/>
      </c>
      <c r="K222" s="7">
        <f>IF(AND(H222&gt;=0.4,H222&lt;=0.6,I222&gt;=0.4,I222&lt;=0.6,J222&gt;=0.4,J222&lt;=0.6,MIN(D222:G222)&gt;=14.4),"是","否")</f>
        <v/>
      </c>
    </row>
    <row r="223">
      <c r="A223" s="7" t="inlineStr">
        <is>
          <t>96 块 4</t>
        </is>
      </c>
      <c r="B223" s="7" t="inlineStr">
        <is>
          <t>i5</t>
        </is>
      </c>
      <c r="C223" s="7" t="n">
        <v>2</v>
      </c>
      <c r="D223" s="7">
        <f>COUNTIF('384对'!$N$290:$N$385,"A")</f>
        <v/>
      </c>
      <c r="E223" s="7">
        <f>COUNTIF('384对'!$N$290:$N$385,"C")</f>
        <v/>
      </c>
      <c r="F223" s="7">
        <f>COUNTIF('384对'!$N$290:$N$385,"G")</f>
        <v/>
      </c>
      <c r="G223" s="7">
        <f>COUNTIF('384对'!$N$290:$N$385,"T")</f>
        <v/>
      </c>
      <c r="H223" s="8">
        <f>(E223+F223)/96</f>
        <v/>
      </c>
      <c r="I223" s="8">
        <f>(D223+E223)/96</f>
        <v/>
      </c>
      <c r="J223" s="8">
        <f>(D223+G223)/96</f>
        <v/>
      </c>
      <c r="K223" s="7">
        <f>IF(AND(H223&gt;=0.4,H223&lt;=0.6,I223&gt;=0.4,I223&lt;=0.6,J223&gt;=0.4,J223&lt;=0.6,MIN(D223:G223)&gt;=14.4),"是","否")</f>
        <v/>
      </c>
    </row>
    <row r="224">
      <c r="A224" s="7" t="inlineStr">
        <is>
          <t>96 块 4</t>
        </is>
      </c>
      <c r="B224" s="7" t="inlineStr">
        <is>
          <t>i5</t>
        </is>
      </c>
      <c r="C224" s="7" t="n">
        <v>3</v>
      </c>
      <c r="D224" s="7">
        <f>COUNTIF('384对'!$O$290:$O$385,"A")</f>
        <v/>
      </c>
      <c r="E224" s="7">
        <f>COUNTIF('384对'!$O$290:$O$385,"C")</f>
        <v/>
      </c>
      <c r="F224" s="7">
        <f>COUNTIF('384对'!$O$290:$O$385,"G")</f>
        <v/>
      </c>
      <c r="G224" s="7">
        <f>COUNTIF('384对'!$O$290:$O$385,"T")</f>
        <v/>
      </c>
      <c r="H224" s="8">
        <f>(E224+F224)/96</f>
        <v/>
      </c>
      <c r="I224" s="8">
        <f>(D224+E224)/96</f>
        <v/>
      </c>
      <c r="J224" s="8">
        <f>(D224+G224)/96</f>
        <v/>
      </c>
      <c r="K224" s="7">
        <f>IF(AND(H224&gt;=0.4,H224&lt;=0.6,I224&gt;=0.4,I224&lt;=0.6,J224&gt;=0.4,J224&lt;=0.6,MIN(D224:G224)&gt;=14.4),"是","否")</f>
        <v/>
      </c>
    </row>
    <row r="225">
      <c r="A225" s="7" t="inlineStr">
        <is>
          <t>96 块 4</t>
        </is>
      </c>
      <c r="B225" s="7" t="inlineStr">
        <is>
          <t>i5</t>
        </is>
      </c>
      <c r="C225" s="7" t="n">
        <v>4</v>
      </c>
      <c r="D225" s="7">
        <f>COUNTIF('384对'!$P$290:$P$385,"A")</f>
        <v/>
      </c>
      <c r="E225" s="7">
        <f>COUNTIF('384对'!$P$290:$P$385,"C")</f>
        <v/>
      </c>
      <c r="F225" s="7">
        <f>COUNTIF('384对'!$P$290:$P$385,"G")</f>
        <v/>
      </c>
      <c r="G225" s="7">
        <f>COUNTIF('384对'!$P$290:$P$385,"T")</f>
        <v/>
      </c>
      <c r="H225" s="8">
        <f>(E225+F225)/96</f>
        <v/>
      </c>
      <c r="I225" s="8">
        <f>(D225+E225)/96</f>
        <v/>
      </c>
      <c r="J225" s="8">
        <f>(D225+G225)/96</f>
        <v/>
      </c>
      <c r="K225" s="7">
        <f>IF(AND(H225&gt;=0.4,H225&lt;=0.6,I225&gt;=0.4,I225&lt;=0.6,J225&gt;=0.4,J225&lt;=0.6,MIN(D225:G225)&gt;=14.4),"是","否")</f>
        <v/>
      </c>
    </row>
    <row r="226">
      <c r="A226" s="7" t="inlineStr">
        <is>
          <t>96 块 4</t>
        </is>
      </c>
      <c r="B226" s="7" t="inlineStr">
        <is>
          <t>i5</t>
        </is>
      </c>
      <c r="C226" s="7" t="n">
        <v>5</v>
      </c>
      <c r="D226" s="7">
        <f>COUNTIF('384对'!$Q$290:$Q$385,"A")</f>
        <v/>
      </c>
      <c r="E226" s="7">
        <f>COUNTIF('384对'!$Q$290:$Q$385,"C")</f>
        <v/>
      </c>
      <c r="F226" s="7">
        <f>COUNTIF('384对'!$Q$290:$Q$385,"G")</f>
        <v/>
      </c>
      <c r="G226" s="7">
        <f>COUNTIF('384对'!$Q$290:$Q$385,"T")</f>
        <v/>
      </c>
      <c r="H226" s="8">
        <f>(E226+F226)/96</f>
        <v/>
      </c>
      <c r="I226" s="8">
        <f>(D226+E226)/96</f>
        <v/>
      </c>
      <c r="J226" s="8">
        <f>(D226+G226)/96</f>
        <v/>
      </c>
      <c r="K226" s="7">
        <f>IF(AND(H226&gt;=0.4,H226&lt;=0.6,I226&gt;=0.4,I226&lt;=0.6,J226&gt;=0.4,J226&lt;=0.6,MIN(D226:G226)&gt;=14.4),"是","否")</f>
        <v/>
      </c>
    </row>
    <row r="227">
      <c r="A227" s="7" t="inlineStr">
        <is>
          <t>96 块 4</t>
        </is>
      </c>
      <c r="B227" s="7" t="inlineStr">
        <is>
          <t>i5</t>
        </is>
      </c>
      <c r="C227" s="7" t="n">
        <v>6</v>
      </c>
      <c r="D227" s="7">
        <f>COUNTIF('384对'!$R$290:$R$385,"A")</f>
        <v/>
      </c>
      <c r="E227" s="7">
        <f>COUNTIF('384对'!$R$290:$R$385,"C")</f>
        <v/>
      </c>
      <c r="F227" s="7">
        <f>COUNTIF('384对'!$R$290:$R$385,"G")</f>
        <v/>
      </c>
      <c r="G227" s="7">
        <f>COUNTIF('384对'!$R$290:$R$385,"T")</f>
        <v/>
      </c>
      <c r="H227" s="8">
        <f>(E227+F227)/96</f>
        <v/>
      </c>
      <c r="I227" s="8">
        <f>(D227+E227)/96</f>
        <v/>
      </c>
      <c r="J227" s="8">
        <f>(D227+G227)/96</f>
        <v/>
      </c>
      <c r="K227" s="7">
        <f>IF(AND(H227&gt;=0.4,H227&lt;=0.6,I227&gt;=0.4,I227&lt;=0.6,J227&gt;=0.4,J227&lt;=0.6,MIN(D227:G227)&gt;=14.4),"是","否")</f>
        <v/>
      </c>
    </row>
    <row r="228">
      <c r="A228" s="7" t="inlineStr">
        <is>
          <t>96 块 4</t>
        </is>
      </c>
      <c r="B228" s="7" t="inlineStr">
        <is>
          <t>i5</t>
        </is>
      </c>
      <c r="C228" s="7" t="n">
        <v>7</v>
      </c>
      <c r="D228" s="7">
        <f>COUNTIF('384对'!$S$290:$S$385,"A")</f>
        <v/>
      </c>
      <c r="E228" s="7">
        <f>COUNTIF('384对'!$S$290:$S$385,"C")</f>
        <v/>
      </c>
      <c r="F228" s="7">
        <f>COUNTIF('384对'!$S$290:$S$385,"G")</f>
        <v/>
      </c>
      <c r="G228" s="7">
        <f>COUNTIF('384对'!$S$290:$S$385,"T")</f>
        <v/>
      </c>
      <c r="H228" s="8">
        <f>(E228+F228)/96</f>
        <v/>
      </c>
      <c r="I228" s="8">
        <f>(D228+E228)/96</f>
        <v/>
      </c>
      <c r="J228" s="8">
        <f>(D228+G228)/96</f>
        <v/>
      </c>
      <c r="K228" s="7">
        <f>IF(AND(H228&gt;=0.4,H228&lt;=0.6,I228&gt;=0.4,I228&lt;=0.6,J228&gt;=0.4,J228&lt;=0.6,MIN(D228:G228)&gt;=14.4),"是","否")</f>
        <v/>
      </c>
    </row>
    <row r="229">
      <c r="A229" s="7" t="inlineStr">
        <is>
          <t>96 块 4</t>
        </is>
      </c>
      <c r="B229" s="7" t="inlineStr">
        <is>
          <t>i5</t>
        </is>
      </c>
      <c r="C229" s="7" t="n">
        <v>8</v>
      </c>
      <c r="D229" s="7">
        <f>COUNTIF('384对'!$T$290:$T$385,"A")</f>
        <v/>
      </c>
      <c r="E229" s="7">
        <f>COUNTIF('384对'!$T$290:$T$385,"C")</f>
        <v/>
      </c>
      <c r="F229" s="7">
        <f>COUNTIF('384对'!$T$290:$T$385,"G")</f>
        <v/>
      </c>
      <c r="G229" s="7">
        <f>COUNTIF('384对'!$T$290:$T$385,"T")</f>
        <v/>
      </c>
      <c r="H229" s="8">
        <f>(E229+F229)/96</f>
        <v/>
      </c>
      <c r="I229" s="8">
        <f>(D229+E229)/96</f>
        <v/>
      </c>
      <c r="J229" s="8">
        <f>(D229+G229)/96</f>
        <v/>
      </c>
      <c r="K229" s="7">
        <f>IF(AND(H229&gt;=0.4,H229&lt;=0.6,I229&gt;=0.4,I229&lt;=0.6,J229&gt;=0.4,J229&lt;=0.6,MIN(D229:G229)&gt;=14.4),"是","否")</f>
        <v/>
      </c>
    </row>
    <row r="230">
      <c r="A230" s="7" t="inlineStr">
        <is>
          <t>96 块 4</t>
        </is>
      </c>
      <c r="B230" s="7" t="inlineStr">
        <is>
          <t>i5</t>
        </is>
      </c>
      <c r="C230" s="7" t="n">
        <v>9</v>
      </c>
      <c r="D230" s="7">
        <f>COUNTIF('384对'!$U$290:$U$385,"A")</f>
        <v/>
      </c>
      <c r="E230" s="7">
        <f>COUNTIF('384对'!$U$290:$U$385,"C")</f>
        <v/>
      </c>
      <c r="F230" s="7">
        <f>COUNTIF('384对'!$U$290:$U$385,"G")</f>
        <v/>
      </c>
      <c r="G230" s="7">
        <f>COUNTIF('384对'!$U$290:$U$385,"T")</f>
        <v/>
      </c>
      <c r="H230" s="8">
        <f>(E230+F230)/96</f>
        <v/>
      </c>
      <c r="I230" s="8">
        <f>(D230+E230)/96</f>
        <v/>
      </c>
      <c r="J230" s="8">
        <f>(D230+G230)/96</f>
        <v/>
      </c>
      <c r="K230" s="7">
        <f>IF(AND(H230&gt;=0.4,H230&lt;=0.6,I230&gt;=0.4,I230&lt;=0.6,J230&gt;=0.4,J230&lt;=0.6,MIN(D230:G230)&gt;=14.4),"是","否")</f>
        <v/>
      </c>
    </row>
    <row r="231">
      <c r="A231" s="7" t="inlineStr">
        <is>
          <t>96 块 4</t>
        </is>
      </c>
      <c r="B231" s="7" t="inlineStr">
        <is>
          <t>i5</t>
        </is>
      </c>
      <c r="C231" s="7" t="n">
        <v>10</v>
      </c>
      <c r="D231" s="7">
        <f>COUNTIF('384对'!$V$290:$V$385,"A")</f>
        <v/>
      </c>
      <c r="E231" s="7">
        <f>COUNTIF('384对'!$V$290:$V$385,"C")</f>
        <v/>
      </c>
      <c r="F231" s="7">
        <f>COUNTIF('384对'!$V$290:$V$385,"G")</f>
        <v/>
      </c>
      <c r="G231" s="7">
        <f>COUNTIF('384对'!$V$290:$V$385,"T")</f>
        <v/>
      </c>
      <c r="H231" s="8">
        <f>(E231+F231)/96</f>
        <v/>
      </c>
      <c r="I231" s="8">
        <f>(D231+E231)/96</f>
        <v/>
      </c>
      <c r="J231" s="8">
        <f>(D231+G231)/96</f>
        <v/>
      </c>
      <c r="K231" s="7">
        <f>IF(AND(H231&gt;=0.4,H231&lt;=0.6,I231&gt;=0.4,I231&lt;=0.6,J231&gt;=0.4,J231&lt;=0.6,MIN(D231:G231)&gt;=14.4),"是","否")</f>
        <v/>
      </c>
    </row>
    <row r="232">
      <c r="A232" s="7" t="inlineStr">
        <is>
          <t>96 块 4</t>
        </is>
      </c>
      <c r="B232" s="7" t="inlineStr">
        <is>
          <t>i7</t>
        </is>
      </c>
      <c r="C232" s="7" t="n">
        <v>1</v>
      </c>
      <c r="D232" s="7">
        <f>COUNTIF('384对'!$W$290:$W$385,"A")</f>
        <v/>
      </c>
      <c r="E232" s="7">
        <f>COUNTIF('384对'!$W$290:$W$385,"C")</f>
        <v/>
      </c>
      <c r="F232" s="7">
        <f>COUNTIF('384对'!$W$290:$W$385,"G")</f>
        <v/>
      </c>
      <c r="G232" s="7">
        <f>COUNTIF('384对'!$W$290:$W$385,"T")</f>
        <v/>
      </c>
      <c r="H232" s="8">
        <f>(E232+F232)/96</f>
        <v/>
      </c>
      <c r="I232" s="8">
        <f>(D232+E232)/96</f>
        <v/>
      </c>
      <c r="J232" s="8">
        <f>(D232+G232)/96</f>
        <v/>
      </c>
      <c r="K232" s="7">
        <f>IF(AND(H232&gt;=0.4,H232&lt;=0.6,I232&gt;=0.4,I232&lt;=0.6,J232&gt;=0.4,J232&lt;=0.6,MIN(D232:G232)&gt;=14.4),"是","否")</f>
        <v/>
      </c>
    </row>
    <row r="233">
      <c r="A233" s="7" t="inlineStr">
        <is>
          <t>96 块 4</t>
        </is>
      </c>
      <c r="B233" s="7" t="inlineStr">
        <is>
          <t>i7</t>
        </is>
      </c>
      <c r="C233" s="7" t="n">
        <v>2</v>
      </c>
      <c r="D233" s="7">
        <f>COUNTIF('384对'!$X$290:$X$385,"A")</f>
        <v/>
      </c>
      <c r="E233" s="7">
        <f>COUNTIF('384对'!$X$290:$X$385,"C")</f>
        <v/>
      </c>
      <c r="F233" s="7">
        <f>COUNTIF('384对'!$X$290:$X$385,"G")</f>
        <v/>
      </c>
      <c r="G233" s="7">
        <f>COUNTIF('384对'!$X$290:$X$385,"T")</f>
        <v/>
      </c>
      <c r="H233" s="8">
        <f>(E233+F233)/96</f>
        <v/>
      </c>
      <c r="I233" s="8">
        <f>(D233+E233)/96</f>
        <v/>
      </c>
      <c r="J233" s="8">
        <f>(D233+G233)/96</f>
        <v/>
      </c>
      <c r="K233" s="7">
        <f>IF(AND(H233&gt;=0.4,H233&lt;=0.6,I233&gt;=0.4,I233&lt;=0.6,J233&gt;=0.4,J233&lt;=0.6,MIN(D233:G233)&gt;=14.4),"是","否")</f>
        <v/>
      </c>
    </row>
    <row r="234">
      <c r="A234" s="7" t="inlineStr">
        <is>
          <t>96 块 4</t>
        </is>
      </c>
      <c r="B234" s="7" t="inlineStr">
        <is>
          <t>i7</t>
        </is>
      </c>
      <c r="C234" s="7" t="n">
        <v>3</v>
      </c>
      <c r="D234" s="7">
        <f>COUNTIF('384对'!$Y$290:$Y$385,"A")</f>
        <v/>
      </c>
      <c r="E234" s="7">
        <f>COUNTIF('384对'!$Y$290:$Y$385,"C")</f>
        <v/>
      </c>
      <c r="F234" s="7">
        <f>COUNTIF('384对'!$Y$290:$Y$385,"G")</f>
        <v/>
      </c>
      <c r="G234" s="7">
        <f>COUNTIF('384对'!$Y$290:$Y$385,"T")</f>
        <v/>
      </c>
      <c r="H234" s="8">
        <f>(E234+F234)/96</f>
        <v/>
      </c>
      <c r="I234" s="8">
        <f>(D234+E234)/96</f>
        <v/>
      </c>
      <c r="J234" s="8">
        <f>(D234+G234)/96</f>
        <v/>
      </c>
      <c r="K234" s="7">
        <f>IF(AND(H234&gt;=0.4,H234&lt;=0.6,I234&gt;=0.4,I234&lt;=0.6,J234&gt;=0.4,J234&lt;=0.6,MIN(D234:G234)&gt;=14.4),"是","否")</f>
        <v/>
      </c>
    </row>
    <row r="235">
      <c r="A235" s="7" t="inlineStr">
        <is>
          <t>96 块 4</t>
        </is>
      </c>
      <c r="B235" s="7" t="inlineStr">
        <is>
          <t>i7</t>
        </is>
      </c>
      <c r="C235" s="7" t="n">
        <v>4</v>
      </c>
      <c r="D235" s="7">
        <f>COUNTIF('384对'!$Z$290:$Z$385,"A")</f>
        <v/>
      </c>
      <c r="E235" s="7">
        <f>COUNTIF('384对'!$Z$290:$Z$385,"C")</f>
        <v/>
      </c>
      <c r="F235" s="7">
        <f>COUNTIF('384对'!$Z$290:$Z$385,"G")</f>
        <v/>
      </c>
      <c r="G235" s="7">
        <f>COUNTIF('384对'!$Z$290:$Z$385,"T")</f>
        <v/>
      </c>
      <c r="H235" s="8">
        <f>(E235+F235)/96</f>
        <v/>
      </c>
      <c r="I235" s="8">
        <f>(D235+E235)/96</f>
        <v/>
      </c>
      <c r="J235" s="8">
        <f>(D235+G235)/96</f>
        <v/>
      </c>
      <c r="K235" s="7">
        <f>IF(AND(H235&gt;=0.4,H235&lt;=0.6,I235&gt;=0.4,I235&lt;=0.6,J235&gt;=0.4,J235&lt;=0.6,MIN(D235:G235)&gt;=14.4),"是","否")</f>
        <v/>
      </c>
    </row>
    <row r="236">
      <c r="A236" s="7" t="inlineStr">
        <is>
          <t>96 块 4</t>
        </is>
      </c>
      <c r="B236" s="7" t="inlineStr">
        <is>
          <t>i7</t>
        </is>
      </c>
      <c r="C236" s="7" t="n">
        <v>5</v>
      </c>
      <c r="D236" s="7">
        <f>COUNTIF('384对'!$AA$290:$AA$385,"A")</f>
        <v/>
      </c>
      <c r="E236" s="7">
        <f>COUNTIF('384对'!$AA$290:$AA$385,"C")</f>
        <v/>
      </c>
      <c r="F236" s="7">
        <f>COUNTIF('384对'!$AA$290:$AA$385,"G")</f>
        <v/>
      </c>
      <c r="G236" s="7">
        <f>COUNTIF('384对'!$AA$290:$AA$385,"T")</f>
        <v/>
      </c>
      <c r="H236" s="8">
        <f>(E236+F236)/96</f>
        <v/>
      </c>
      <c r="I236" s="8">
        <f>(D236+E236)/96</f>
        <v/>
      </c>
      <c r="J236" s="8">
        <f>(D236+G236)/96</f>
        <v/>
      </c>
      <c r="K236" s="7">
        <f>IF(AND(H236&gt;=0.4,H236&lt;=0.6,I236&gt;=0.4,I236&lt;=0.6,J236&gt;=0.4,J236&lt;=0.6,MIN(D236:G236)&gt;=14.4),"是","否")</f>
        <v/>
      </c>
    </row>
    <row r="237">
      <c r="A237" s="7" t="inlineStr">
        <is>
          <t>96 块 4</t>
        </is>
      </c>
      <c r="B237" s="7" t="inlineStr">
        <is>
          <t>i7</t>
        </is>
      </c>
      <c r="C237" s="7" t="n">
        <v>6</v>
      </c>
      <c r="D237" s="7">
        <f>COUNTIF('384对'!$AB$290:$AB$385,"A")</f>
        <v/>
      </c>
      <c r="E237" s="7">
        <f>COUNTIF('384对'!$AB$290:$AB$385,"C")</f>
        <v/>
      </c>
      <c r="F237" s="7">
        <f>COUNTIF('384对'!$AB$290:$AB$385,"G")</f>
        <v/>
      </c>
      <c r="G237" s="7">
        <f>COUNTIF('384对'!$AB$290:$AB$385,"T")</f>
        <v/>
      </c>
      <c r="H237" s="8">
        <f>(E237+F237)/96</f>
        <v/>
      </c>
      <c r="I237" s="8">
        <f>(D237+E237)/96</f>
        <v/>
      </c>
      <c r="J237" s="8">
        <f>(D237+G237)/96</f>
        <v/>
      </c>
      <c r="K237" s="7">
        <f>IF(AND(H237&gt;=0.4,H237&lt;=0.6,I237&gt;=0.4,I237&lt;=0.6,J237&gt;=0.4,J237&lt;=0.6,MIN(D237:G237)&gt;=14.4),"是","否")</f>
        <v/>
      </c>
    </row>
    <row r="238">
      <c r="A238" s="7" t="inlineStr">
        <is>
          <t>96 块 4</t>
        </is>
      </c>
      <c r="B238" s="7" t="inlineStr">
        <is>
          <t>i7</t>
        </is>
      </c>
      <c r="C238" s="7" t="n">
        <v>7</v>
      </c>
      <c r="D238" s="7">
        <f>COUNTIF('384对'!$AC$290:$AC$385,"A")</f>
        <v/>
      </c>
      <c r="E238" s="7">
        <f>COUNTIF('384对'!$AC$290:$AC$385,"C")</f>
        <v/>
      </c>
      <c r="F238" s="7">
        <f>COUNTIF('384对'!$AC$290:$AC$385,"G")</f>
        <v/>
      </c>
      <c r="G238" s="7">
        <f>COUNTIF('384对'!$AC$290:$AC$385,"T")</f>
        <v/>
      </c>
      <c r="H238" s="8">
        <f>(E238+F238)/96</f>
        <v/>
      </c>
      <c r="I238" s="8">
        <f>(D238+E238)/96</f>
        <v/>
      </c>
      <c r="J238" s="8">
        <f>(D238+G238)/96</f>
        <v/>
      </c>
      <c r="K238" s="7">
        <f>IF(AND(H238&gt;=0.4,H238&lt;=0.6,I238&gt;=0.4,I238&lt;=0.6,J238&gt;=0.4,J238&lt;=0.6,MIN(D238:G238)&gt;=14.4),"是","否")</f>
        <v/>
      </c>
    </row>
    <row r="239">
      <c r="A239" s="7" t="inlineStr">
        <is>
          <t>96 块 4</t>
        </is>
      </c>
      <c r="B239" s="7" t="inlineStr">
        <is>
          <t>i7</t>
        </is>
      </c>
      <c r="C239" s="7" t="n">
        <v>8</v>
      </c>
      <c r="D239" s="7">
        <f>COUNTIF('384对'!$AD$290:$AD$385,"A")</f>
        <v/>
      </c>
      <c r="E239" s="7">
        <f>COUNTIF('384对'!$AD$290:$AD$385,"C")</f>
        <v/>
      </c>
      <c r="F239" s="7">
        <f>COUNTIF('384对'!$AD$290:$AD$385,"G")</f>
        <v/>
      </c>
      <c r="G239" s="7">
        <f>COUNTIF('384对'!$AD$290:$AD$385,"T")</f>
        <v/>
      </c>
      <c r="H239" s="8">
        <f>(E239+F239)/96</f>
        <v/>
      </c>
      <c r="I239" s="8">
        <f>(D239+E239)/96</f>
        <v/>
      </c>
      <c r="J239" s="8">
        <f>(D239+G239)/96</f>
        <v/>
      </c>
      <c r="K239" s="7">
        <f>IF(AND(H239&gt;=0.4,H239&lt;=0.6,I239&gt;=0.4,I239&lt;=0.6,J239&gt;=0.4,J239&lt;=0.6,MIN(D239:G239)&gt;=14.4),"是","否")</f>
        <v/>
      </c>
    </row>
    <row r="240">
      <c r="A240" s="7" t="inlineStr">
        <is>
          <t>96 块 4</t>
        </is>
      </c>
      <c r="B240" s="7" t="inlineStr">
        <is>
          <t>i7</t>
        </is>
      </c>
      <c r="C240" s="7" t="n">
        <v>9</v>
      </c>
      <c r="D240" s="7">
        <f>COUNTIF('384对'!$AE$290:$AE$385,"A")</f>
        <v/>
      </c>
      <c r="E240" s="7">
        <f>COUNTIF('384对'!$AE$290:$AE$385,"C")</f>
        <v/>
      </c>
      <c r="F240" s="7">
        <f>COUNTIF('384对'!$AE$290:$AE$385,"G")</f>
        <v/>
      </c>
      <c r="G240" s="7">
        <f>COUNTIF('384对'!$AE$290:$AE$385,"T")</f>
        <v/>
      </c>
      <c r="H240" s="8">
        <f>(E240+F240)/96</f>
        <v/>
      </c>
      <c r="I240" s="8">
        <f>(D240+E240)/96</f>
        <v/>
      </c>
      <c r="J240" s="8">
        <f>(D240+G240)/96</f>
        <v/>
      </c>
      <c r="K240" s="7">
        <f>IF(AND(H240&gt;=0.4,H240&lt;=0.6,I240&gt;=0.4,I240&lt;=0.6,J240&gt;=0.4,J240&lt;=0.6,MIN(D240:G240)&gt;=14.4),"是","否")</f>
        <v/>
      </c>
    </row>
    <row r="241">
      <c r="A241" s="7" t="inlineStr">
        <is>
          <t>96 块 4</t>
        </is>
      </c>
      <c r="B241" s="7" t="inlineStr">
        <is>
          <t>i7</t>
        </is>
      </c>
      <c r="C241" s="7" t="n">
        <v>10</v>
      </c>
      <c r="D241" s="7">
        <f>COUNTIF('384对'!$AF$290:$AF$385,"A")</f>
        <v/>
      </c>
      <c r="E241" s="7">
        <f>COUNTIF('384对'!$AF$290:$AF$385,"C")</f>
        <v/>
      </c>
      <c r="F241" s="7">
        <f>COUNTIF('384对'!$AF$290:$AF$385,"G")</f>
        <v/>
      </c>
      <c r="G241" s="7">
        <f>COUNTIF('384对'!$AF$290:$AF$385,"T")</f>
        <v/>
      </c>
      <c r="H241" s="8">
        <f>(E241+F241)/96</f>
        <v/>
      </c>
      <c r="I241" s="8">
        <f>(D241+E241)/96</f>
        <v/>
      </c>
      <c r="J241" s="8">
        <f>(D241+G241)/96</f>
        <v/>
      </c>
      <c r="K241" s="7">
        <f>IF(AND(H241&gt;=0.4,H241&lt;=0.6,I241&gt;=0.4,I241&lt;=0.6,J241&gt;=0.4,J241&lt;=0.6,MIN(D241:G241)&gt;=14.4),"是","否")</f>
        <v/>
      </c>
    </row>
    <row r="242">
      <c r="A242" s="7" t="inlineStr">
        <is>
          <t>全部 384</t>
        </is>
      </c>
      <c r="B242" s="7" t="inlineStr">
        <is>
          <t>i5</t>
        </is>
      </c>
      <c r="C242" s="7" t="n">
        <v>1</v>
      </c>
      <c r="D242" s="7">
        <f>COUNTIF('384对'!$M$2:$M$385,"A")</f>
        <v/>
      </c>
      <c r="E242" s="7">
        <f>COUNTIF('384对'!$M$2:$M$385,"C")</f>
        <v/>
      </c>
      <c r="F242" s="7">
        <f>COUNTIF('384对'!$M$2:$M$385,"G")</f>
        <v/>
      </c>
      <c r="G242" s="7">
        <f>COUNTIF('384对'!$M$2:$M$385,"T")</f>
        <v/>
      </c>
      <c r="H242" s="8">
        <f>(E242+F242)/384</f>
        <v/>
      </c>
      <c r="I242" s="8">
        <f>(D242+E242)/384</f>
        <v/>
      </c>
      <c r="J242" s="8">
        <f>(D242+G242)/384</f>
        <v/>
      </c>
      <c r="K242" s="7">
        <f>IF(AND(H242&gt;=0.4,H242&lt;=0.6,I242&gt;=0.4,I242&lt;=0.6,J242&gt;=0.4,J242&lt;=0.6,MIN(D242:G242)&gt;=57.6),"是","否")</f>
        <v/>
      </c>
    </row>
    <row r="243">
      <c r="A243" s="7" t="inlineStr">
        <is>
          <t>全部 384</t>
        </is>
      </c>
      <c r="B243" s="7" t="inlineStr">
        <is>
          <t>i5</t>
        </is>
      </c>
      <c r="C243" s="7" t="n">
        <v>2</v>
      </c>
      <c r="D243" s="7">
        <f>COUNTIF('384对'!$N$2:$N$385,"A")</f>
        <v/>
      </c>
      <c r="E243" s="7">
        <f>COUNTIF('384对'!$N$2:$N$385,"C")</f>
        <v/>
      </c>
      <c r="F243" s="7">
        <f>COUNTIF('384对'!$N$2:$N$385,"G")</f>
        <v/>
      </c>
      <c r="G243" s="7">
        <f>COUNTIF('384对'!$N$2:$N$385,"T")</f>
        <v/>
      </c>
      <c r="H243" s="8">
        <f>(E243+F243)/384</f>
        <v/>
      </c>
      <c r="I243" s="8">
        <f>(D243+E243)/384</f>
        <v/>
      </c>
      <c r="J243" s="8">
        <f>(D243+G243)/384</f>
        <v/>
      </c>
      <c r="K243" s="7">
        <f>IF(AND(H243&gt;=0.4,H243&lt;=0.6,I243&gt;=0.4,I243&lt;=0.6,J243&gt;=0.4,J243&lt;=0.6,MIN(D243:G243)&gt;=57.6),"是","否")</f>
        <v/>
      </c>
    </row>
    <row r="244">
      <c r="A244" s="7" t="inlineStr">
        <is>
          <t>全部 384</t>
        </is>
      </c>
      <c r="B244" s="7" t="inlineStr">
        <is>
          <t>i5</t>
        </is>
      </c>
      <c r="C244" s="7" t="n">
        <v>3</v>
      </c>
      <c r="D244" s="7">
        <f>COUNTIF('384对'!$O$2:$O$385,"A")</f>
        <v/>
      </c>
      <c r="E244" s="7">
        <f>COUNTIF('384对'!$O$2:$O$385,"C")</f>
        <v/>
      </c>
      <c r="F244" s="7">
        <f>COUNTIF('384对'!$O$2:$O$385,"G")</f>
        <v/>
      </c>
      <c r="G244" s="7">
        <f>COUNTIF('384对'!$O$2:$O$385,"T")</f>
        <v/>
      </c>
      <c r="H244" s="8">
        <f>(E244+F244)/384</f>
        <v/>
      </c>
      <c r="I244" s="8">
        <f>(D244+E244)/384</f>
        <v/>
      </c>
      <c r="J244" s="8">
        <f>(D244+G244)/384</f>
        <v/>
      </c>
      <c r="K244" s="7">
        <f>IF(AND(H244&gt;=0.4,H244&lt;=0.6,I244&gt;=0.4,I244&lt;=0.6,J244&gt;=0.4,J244&lt;=0.6,MIN(D244:G244)&gt;=57.6),"是","否")</f>
        <v/>
      </c>
    </row>
    <row r="245">
      <c r="A245" s="7" t="inlineStr">
        <is>
          <t>全部 384</t>
        </is>
      </c>
      <c r="B245" s="7" t="inlineStr">
        <is>
          <t>i5</t>
        </is>
      </c>
      <c r="C245" s="7" t="n">
        <v>4</v>
      </c>
      <c r="D245" s="7">
        <f>COUNTIF('384对'!$P$2:$P$385,"A")</f>
        <v/>
      </c>
      <c r="E245" s="7">
        <f>COUNTIF('384对'!$P$2:$P$385,"C")</f>
        <v/>
      </c>
      <c r="F245" s="7">
        <f>COUNTIF('384对'!$P$2:$P$385,"G")</f>
        <v/>
      </c>
      <c r="G245" s="7">
        <f>COUNTIF('384对'!$P$2:$P$385,"T")</f>
        <v/>
      </c>
      <c r="H245" s="8">
        <f>(E245+F245)/384</f>
        <v/>
      </c>
      <c r="I245" s="8">
        <f>(D245+E245)/384</f>
        <v/>
      </c>
      <c r="J245" s="8">
        <f>(D245+G245)/384</f>
        <v/>
      </c>
      <c r="K245" s="7">
        <f>IF(AND(H245&gt;=0.4,H245&lt;=0.6,I245&gt;=0.4,I245&lt;=0.6,J245&gt;=0.4,J245&lt;=0.6,MIN(D245:G245)&gt;=57.6),"是","否")</f>
        <v/>
      </c>
    </row>
    <row r="246">
      <c r="A246" s="7" t="inlineStr">
        <is>
          <t>全部 384</t>
        </is>
      </c>
      <c r="B246" s="7" t="inlineStr">
        <is>
          <t>i5</t>
        </is>
      </c>
      <c r="C246" s="7" t="n">
        <v>5</v>
      </c>
      <c r="D246" s="7">
        <f>COUNTIF('384对'!$Q$2:$Q$385,"A")</f>
        <v/>
      </c>
      <c r="E246" s="7">
        <f>COUNTIF('384对'!$Q$2:$Q$385,"C")</f>
        <v/>
      </c>
      <c r="F246" s="7">
        <f>COUNTIF('384对'!$Q$2:$Q$385,"G")</f>
        <v/>
      </c>
      <c r="G246" s="7">
        <f>COUNTIF('384对'!$Q$2:$Q$385,"T")</f>
        <v/>
      </c>
      <c r="H246" s="8">
        <f>(E246+F246)/384</f>
        <v/>
      </c>
      <c r="I246" s="8">
        <f>(D246+E246)/384</f>
        <v/>
      </c>
      <c r="J246" s="8">
        <f>(D246+G246)/384</f>
        <v/>
      </c>
      <c r="K246" s="7">
        <f>IF(AND(H246&gt;=0.4,H246&lt;=0.6,I246&gt;=0.4,I246&lt;=0.6,J246&gt;=0.4,J246&lt;=0.6,MIN(D246:G246)&gt;=57.6),"是","否")</f>
        <v/>
      </c>
    </row>
    <row r="247">
      <c r="A247" s="7" t="inlineStr">
        <is>
          <t>全部 384</t>
        </is>
      </c>
      <c r="B247" s="7" t="inlineStr">
        <is>
          <t>i5</t>
        </is>
      </c>
      <c r="C247" s="7" t="n">
        <v>6</v>
      </c>
      <c r="D247" s="7">
        <f>COUNTIF('384对'!$R$2:$R$385,"A")</f>
        <v/>
      </c>
      <c r="E247" s="7">
        <f>COUNTIF('384对'!$R$2:$R$385,"C")</f>
        <v/>
      </c>
      <c r="F247" s="7">
        <f>COUNTIF('384对'!$R$2:$R$385,"G")</f>
        <v/>
      </c>
      <c r="G247" s="7">
        <f>COUNTIF('384对'!$R$2:$R$385,"T")</f>
        <v/>
      </c>
      <c r="H247" s="8">
        <f>(E247+F247)/384</f>
        <v/>
      </c>
      <c r="I247" s="8">
        <f>(D247+E247)/384</f>
        <v/>
      </c>
      <c r="J247" s="8">
        <f>(D247+G247)/384</f>
        <v/>
      </c>
      <c r="K247" s="7">
        <f>IF(AND(H247&gt;=0.4,H247&lt;=0.6,I247&gt;=0.4,I247&lt;=0.6,J247&gt;=0.4,J247&lt;=0.6,MIN(D247:G247)&gt;=57.6),"是","否")</f>
        <v/>
      </c>
    </row>
    <row r="248">
      <c r="A248" s="7" t="inlineStr">
        <is>
          <t>全部 384</t>
        </is>
      </c>
      <c r="B248" s="7" t="inlineStr">
        <is>
          <t>i5</t>
        </is>
      </c>
      <c r="C248" s="7" t="n">
        <v>7</v>
      </c>
      <c r="D248" s="7">
        <f>COUNTIF('384对'!$S$2:$S$385,"A")</f>
        <v/>
      </c>
      <c r="E248" s="7">
        <f>COUNTIF('384对'!$S$2:$S$385,"C")</f>
        <v/>
      </c>
      <c r="F248" s="7">
        <f>COUNTIF('384对'!$S$2:$S$385,"G")</f>
        <v/>
      </c>
      <c r="G248" s="7">
        <f>COUNTIF('384对'!$S$2:$S$385,"T")</f>
        <v/>
      </c>
      <c r="H248" s="8">
        <f>(E248+F248)/384</f>
        <v/>
      </c>
      <c r="I248" s="8">
        <f>(D248+E248)/384</f>
        <v/>
      </c>
      <c r="J248" s="8">
        <f>(D248+G248)/384</f>
        <v/>
      </c>
      <c r="K248" s="7">
        <f>IF(AND(H248&gt;=0.4,H248&lt;=0.6,I248&gt;=0.4,I248&lt;=0.6,J248&gt;=0.4,J248&lt;=0.6,MIN(D248:G248)&gt;=57.6),"是","否")</f>
        <v/>
      </c>
    </row>
    <row r="249">
      <c r="A249" s="7" t="inlineStr">
        <is>
          <t>全部 384</t>
        </is>
      </c>
      <c r="B249" s="7" t="inlineStr">
        <is>
          <t>i5</t>
        </is>
      </c>
      <c r="C249" s="7" t="n">
        <v>8</v>
      </c>
      <c r="D249" s="7">
        <f>COUNTIF('384对'!$T$2:$T$385,"A")</f>
        <v/>
      </c>
      <c r="E249" s="7">
        <f>COUNTIF('384对'!$T$2:$T$385,"C")</f>
        <v/>
      </c>
      <c r="F249" s="7">
        <f>COUNTIF('384对'!$T$2:$T$385,"G")</f>
        <v/>
      </c>
      <c r="G249" s="7">
        <f>COUNTIF('384对'!$T$2:$T$385,"T")</f>
        <v/>
      </c>
      <c r="H249" s="8">
        <f>(E249+F249)/384</f>
        <v/>
      </c>
      <c r="I249" s="8">
        <f>(D249+E249)/384</f>
        <v/>
      </c>
      <c r="J249" s="8">
        <f>(D249+G249)/384</f>
        <v/>
      </c>
      <c r="K249" s="7">
        <f>IF(AND(H249&gt;=0.4,H249&lt;=0.6,I249&gt;=0.4,I249&lt;=0.6,J249&gt;=0.4,J249&lt;=0.6,MIN(D249:G249)&gt;=57.6),"是","否")</f>
        <v/>
      </c>
    </row>
    <row r="250">
      <c r="A250" s="7" t="inlineStr">
        <is>
          <t>全部 384</t>
        </is>
      </c>
      <c r="B250" s="7" t="inlineStr">
        <is>
          <t>i5</t>
        </is>
      </c>
      <c r="C250" s="7" t="n">
        <v>9</v>
      </c>
      <c r="D250" s="7">
        <f>COUNTIF('384对'!$U$2:$U$385,"A")</f>
        <v/>
      </c>
      <c r="E250" s="7">
        <f>COUNTIF('384对'!$U$2:$U$385,"C")</f>
        <v/>
      </c>
      <c r="F250" s="7">
        <f>COUNTIF('384对'!$U$2:$U$385,"G")</f>
        <v/>
      </c>
      <c r="G250" s="7">
        <f>COUNTIF('384对'!$U$2:$U$385,"T")</f>
        <v/>
      </c>
      <c r="H250" s="8">
        <f>(E250+F250)/384</f>
        <v/>
      </c>
      <c r="I250" s="8">
        <f>(D250+E250)/384</f>
        <v/>
      </c>
      <c r="J250" s="8">
        <f>(D250+G250)/384</f>
        <v/>
      </c>
      <c r="K250" s="7">
        <f>IF(AND(H250&gt;=0.4,H250&lt;=0.6,I250&gt;=0.4,I250&lt;=0.6,J250&gt;=0.4,J250&lt;=0.6,MIN(D250:G250)&gt;=57.6),"是","否")</f>
        <v/>
      </c>
    </row>
    <row r="251">
      <c r="A251" s="7" t="inlineStr">
        <is>
          <t>全部 384</t>
        </is>
      </c>
      <c r="B251" s="7" t="inlineStr">
        <is>
          <t>i5</t>
        </is>
      </c>
      <c r="C251" s="7" t="n">
        <v>10</v>
      </c>
      <c r="D251" s="7">
        <f>COUNTIF('384对'!$V$2:$V$385,"A")</f>
        <v/>
      </c>
      <c r="E251" s="7">
        <f>COUNTIF('384对'!$V$2:$V$385,"C")</f>
        <v/>
      </c>
      <c r="F251" s="7">
        <f>COUNTIF('384对'!$V$2:$V$385,"G")</f>
        <v/>
      </c>
      <c r="G251" s="7">
        <f>COUNTIF('384对'!$V$2:$V$385,"T")</f>
        <v/>
      </c>
      <c r="H251" s="8">
        <f>(E251+F251)/384</f>
        <v/>
      </c>
      <c r="I251" s="8">
        <f>(D251+E251)/384</f>
        <v/>
      </c>
      <c r="J251" s="8">
        <f>(D251+G251)/384</f>
        <v/>
      </c>
      <c r="K251" s="7">
        <f>IF(AND(H251&gt;=0.4,H251&lt;=0.6,I251&gt;=0.4,I251&lt;=0.6,J251&gt;=0.4,J251&lt;=0.6,MIN(D251:G251)&gt;=57.6),"是","否")</f>
        <v/>
      </c>
    </row>
    <row r="252">
      <c r="A252" s="7" t="inlineStr">
        <is>
          <t>全部 384</t>
        </is>
      </c>
      <c r="B252" s="7" t="inlineStr">
        <is>
          <t>i7</t>
        </is>
      </c>
      <c r="C252" s="7" t="n">
        <v>1</v>
      </c>
      <c r="D252" s="7">
        <f>COUNTIF('384对'!$W$2:$W$385,"A")</f>
        <v/>
      </c>
      <c r="E252" s="7">
        <f>COUNTIF('384对'!$W$2:$W$385,"C")</f>
        <v/>
      </c>
      <c r="F252" s="7">
        <f>COUNTIF('384对'!$W$2:$W$385,"G")</f>
        <v/>
      </c>
      <c r="G252" s="7">
        <f>COUNTIF('384对'!$W$2:$W$385,"T")</f>
        <v/>
      </c>
      <c r="H252" s="8">
        <f>(E252+F252)/384</f>
        <v/>
      </c>
      <c r="I252" s="8">
        <f>(D252+E252)/384</f>
        <v/>
      </c>
      <c r="J252" s="8">
        <f>(D252+G252)/384</f>
        <v/>
      </c>
      <c r="K252" s="7">
        <f>IF(AND(H252&gt;=0.4,H252&lt;=0.6,I252&gt;=0.4,I252&lt;=0.6,J252&gt;=0.4,J252&lt;=0.6,MIN(D252:G252)&gt;=57.6),"是","否")</f>
        <v/>
      </c>
    </row>
    <row r="253">
      <c r="A253" s="7" t="inlineStr">
        <is>
          <t>全部 384</t>
        </is>
      </c>
      <c r="B253" s="7" t="inlineStr">
        <is>
          <t>i7</t>
        </is>
      </c>
      <c r="C253" s="7" t="n">
        <v>2</v>
      </c>
      <c r="D253" s="7">
        <f>COUNTIF('384对'!$X$2:$X$385,"A")</f>
        <v/>
      </c>
      <c r="E253" s="7">
        <f>COUNTIF('384对'!$X$2:$X$385,"C")</f>
        <v/>
      </c>
      <c r="F253" s="7">
        <f>COUNTIF('384对'!$X$2:$X$385,"G")</f>
        <v/>
      </c>
      <c r="G253" s="7">
        <f>COUNTIF('384对'!$X$2:$X$385,"T")</f>
        <v/>
      </c>
      <c r="H253" s="8">
        <f>(E253+F253)/384</f>
        <v/>
      </c>
      <c r="I253" s="8">
        <f>(D253+E253)/384</f>
        <v/>
      </c>
      <c r="J253" s="8">
        <f>(D253+G253)/384</f>
        <v/>
      </c>
      <c r="K253" s="7">
        <f>IF(AND(H253&gt;=0.4,H253&lt;=0.6,I253&gt;=0.4,I253&lt;=0.6,J253&gt;=0.4,J253&lt;=0.6,MIN(D253:G253)&gt;=57.6),"是","否")</f>
        <v/>
      </c>
    </row>
    <row r="254">
      <c r="A254" s="7" t="inlineStr">
        <is>
          <t>全部 384</t>
        </is>
      </c>
      <c r="B254" s="7" t="inlineStr">
        <is>
          <t>i7</t>
        </is>
      </c>
      <c r="C254" s="7" t="n">
        <v>3</v>
      </c>
      <c r="D254" s="7">
        <f>COUNTIF('384对'!$Y$2:$Y$385,"A")</f>
        <v/>
      </c>
      <c r="E254" s="7">
        <f>COUNTIF('384对'!$Y$2:$Y$385,"C")</f>
        <v/>
      </c>
      <c r="F254" s="7">
        <f>COUNTIF('384对'!$Y$2:$Y$385,"G")</f>
        <v/>
      </c>
      <c r="G254" s="7">
        <f>COUNTIF('384对'!$Y$2:$Y$385,"T")</f>
        <v/>
      </c>
      <c r="H254" s="8">
        <f>(E254+F254)/384</f>
        <v/>
      </c>
      <c r="I254" s="8">
        <f>(D254+E254)/384</f>
        <v/>
      </c>
      <c r="J254" s="8">
        <f>(D254+G254)/384</f>
        <v/>
      </c>
      <c r="K254" s="7">
        <f>IF(AND(H254&gt;=0.4,H254&lt;=0.6,I254&gt;=0.4,I254&lt;=0.6,J254&gt;=0.4,J254&lt;=0.6,MIN(D254:G254)&gt;=57.6),"是","否")</f>
        <v/>
      </c>
    </row>
    <row r="255">
      <c r="A255" s="7" t="inlineStr">
        <is>
          <t>全部 384</t>
        </is>
      </c>
      <c r="B255" s="7" t="inlineStr">
        <is>
          <t>i7</t>
        </is>
      </c>
      <c r="C255" s="7" t="n">
        <v>4</v>
      </c>
      <c r="D255" s="7">
        <f>COUNTIF('384对'!$Z$2:$Z$385,"A")</f>
        <v/>
      </c>
      <c r="E255" s="7">
        <f>COUNTIF('384对'!$Z$2:$Z$385,"C")</f>
        <v/>
      </c>
      <c r="F255" s="7">
        <f>COUNTIF('384对'!$Z$2:$Z$385,"G")</f>
        <v/>
      </c>
      <c r="G255" s="7">
        <f>COUNTIF('384对'!$Z$2:$Z$385,"T")</f>
        <v/>
      </c>
      <c r="H255" s="8">
        <f>(E255+F255)/384</f>
        <v/>
      </c>
      <c r="I255" s="8">
        <f>(D255+E255)/384</f>
        <v/>
      </c>
      <c r="J255" s="8">
        <f>(D255+G255)/384</f>
        <v/>
      </c>
      <c r="K255" s="7">
        <f>IF(AND(H255&gt;=0.4,H255&lt;=0.6,I255&gt;=0.4,I255&lt;=0.6,J255&gt;=0.4,J255&lt;=0.6,MIN(D255:G255)&gt;=57.6),"是","否")</f>
        <v/>
      </c>
    </row>
    <row r="256">
      <c r="A256" s="7" t="inlineStr">
        <is>
          <t>全部 384</t>
        </is>
      </c>
      <c r="B256" s="7" t="inlineStr">
        <is>
          <t>i7</t>
        </is>
      </c>
      <c r="C256" s="7" t="n">
        <v>5</v>
      </c>
      <c r="D256" s="7">
        <f>COUNTIF('384对'!$AA$2:$AA$385,"A")</f>
        <v/>
      </c>
      <c r="E256" s="7">
        <f>COUNTIF('384对'!$AA$2:$AA$385,"C")</f>
        <v/>
      </c>
      <c r="F256" s="7">
        <f>COUNTIF('384对'!$AA$2:$AA$385,"G")</f>
        <v/>
      </c>
      <c r="G256" s="7">
        <f>COUNTIF('384对'!$AA$2:$AA$385,"T")</f>
        <v/>
      </c>
      <c r="H256" s="8">
        <f>(E256+F256)/384</f>
        <v/>
      </c>
      <c r="I256" s="8">
        <f>(D256+E256)/384</f>
        <v/>
      </c>
      <c r="J256" s="8">
        <f>(D256+G256)/384</f>
        <v/>
      </c>
      <c r="K256" s="7">
        <f>IF(AND(H256&gt;=0.4,H256&lt;=0.6,I256&gt;=0.4,I256&lt;=0.6,J256&gt;=0.4,J256&lt;=0.6,MIN(D256:G256)&gt;=57.6),"是","否")</f>
        <v/>
      </c>
    </row>
    <row r="257">
      <c r="A257" s="7" t="inlineStr">
        <is>
          <t>全部 384</t>
        </is>
      </c>
      <c r="B257" s="7" t="inlineStr">
        <is>
          <t>i7</t>
        </is>
      </c>
      <c r="C257" s="7" t="n">
        <v>6</v>
      </c>
      <c r="D257" s="7">
        <f>COUNTIF('384对'!$AB$2:$AB$385,"A")</f>
        <v/>
      </c>
      <c r="E257" s="7">
        <f>COUNTIF('384对'!$AB$2:$AB$385,"C")</f>
        <v/>
      </c>
      <c r="F257" s="7">
        <f>COUNTIF('384对'!$AB$2:$AB$385,"G")</f>
        <v/>
      </c>
      <c r="G257" s="7">
        <f>COUNTIF('384对'!$AB$2:$AB$385,"T")</f>
        <v/>
      </c>
      <c r="H257" s="8">
        <f>(E257+F257)/384</f>
        <v/>
      </c>
      <c r="I257" s="8">
        <f>(D257+E257)/384</f>
        <v/>
      </c>
      <c r="J257" s="8">
        <f>(D257+G257)/384</f>
        <v/>
      </c>
      <c r="K257" s="7">
        <f>IF(AND(H257&gt;=0.4,H257&lt;=0.6,I257&gt;=0.4,I257&lt;=0.6,J257&gt;=0.4,J257&lt;=0.6,MIN(D257:G257)&gt;=57.6),"是","否")</f>
        <v/>
      </c>
    </row>
    <row r="258">
      <c r="A258" s="7" t="inlineStr">
        <is>
          <t>全部 384</t>
        </is>
      </c>
      <c r="B258" s="7" t="inlineStr">
        <is>
          <t>i7</t>
        </is>
      </c>
      <c r="C258" s="7" t="n">
        <v>7</v>
      </c>
      <c r="D258" s="7">
        <f>COUNTIF('384对'!$AC$2:$AC$385,"A")</f>
        <v/>
      </c>
      <c r="E258" s="7">
        <f>COUNTIF('384对'!$AC$2:$AC$385,"C")</f>
        <v/>
      </c>
      <c r="F258" s="7">
        <f>COUNTIF('384对'!$AC$2:$AC$385,"G")</f>
        <v/>
      </c>
      <c r="G258" s="7">
        <f>COUNTIF('384对'!$AC$2:$AC$385,"T")</f>
        <v/>
      </c>
      <c r="H258" s="8">
        <f>(E258+F258)/384</f>
        <v/>
      </c>
      <c r="I258" s="8">
        <f>(D258+E258)/384</f>
        <v/>
      </c>
      <c r="J258" s="8">
        <f>(D258+G258)/384</f>
        <v/>
      </c>
      <c r="K258" s="7">
        <f>IF(AND(H258&gt;=0.4,H258&lt;=0.6,I258&gt;=0.4,I258&lt;=0.6,J258&gt;=0.4,J258&lt;=0.6,MIN(D258:G258)&gt;=57.6),"是","否")</f>
        <v/>
      </c>
    </row>
    <row r="259">
      <c r="A259" s="7" t="inlineStr">
        <is>
          <t>全部 384</t>
        </is>
      </c>
      <c r="B259" s="7" t="inlineStr">
        <is>
          <t>i7</t>
        </is>
      </c>
      <c r="C259" s="7" t="n">
        <v>8</v>
      </c>
      <c r="D259" s="7">
        <f>COUNTIF('384对'!$AD$2:$AD$385,"A")</f>
        <v/>
      </c>
      <c r="E259" s="7">
        <f>COUNTIF('384对'!$AD$2:$AD$385,"C")</f>
        <v/>
      </c>
      <c r="F259" s="7">
        <f>COUNTIF('384对'!$AD$2:$AD$385,"G")</f>
        <v/>
      </c>
      <c r="G259" s="7">
        <f>COUNTIF('384对'!$AD$2:$AD$385,"T")</f>
        <v/>
      </c>
      <c r="H259" s="8">
        <f>(E259+F259)/384</f>
        <v/>
      </c>
      <c r="I259" s="8">
        <f>(D259+E259)/384</f>
        <v/>
      </c>
      <c r="J259" s="8">
        <f>(D259+G259)/384</f>
        <v/>
      </c>
      <c r="K259" s="7">
        <f>IF(AND(H259&gt;=0.4,H259&lt;=0.6,I259&gt;=0.4,I259&lt;=0.6,J259&gt;=0.4,J259&lt;=0.6,MIN(D259:G259)&gt;=57.6),"是","否")</f>
        <v/>
      </c>
    </row>
    <row r="260">
      <c r="A260" s="7" t="inlineStr">
        <is>
          <t>全部 384</t>
        </is>
      </c>
      <c r="B260" s="7" t="inlineStr">
        <is>
          <t>i7</t>
        </is>
      </c>
      <c r="C260" s="7" t="n">
        <v>9</v>
      </c>
      <c r="D260" s="7">
        <f>COUNTIF('384对'!$AE$2:$AE$385,"A")</f>
        <v/>
      </c>
      <c r="E260" s="7">
        <f>COUNTIF('384对'!$AE$2:$AE$385,"C")</f>
        <v/>
      </c>
      <c r="F260" s="7">
        <f>COUNTIF('384对'!$AE$2:$AE$385,"G")</f>
        <v/>
      </c>
      <c r="G260" s="7">
        <f>COUNTIF('384对'!$AE$2:$AE$385,"T")</f>
        <v/>
      </c>
      <c r="H260" s="8">
        <f>(E260+F260)/384</f>
        <v/>
      </c>
      <c r="I260" s="8">
        <f>(D260+E260)/384</f>
        <v/>
      </c>
      <c r="J260" s="8">
        <f>(D260+G260)/384</f>
        <v/>
      </c>
      <c r="K260" s="7">
        <f>IF(AND(H260&gt;=0.4,H260&lt;=0.6,I260&gt;=0.4,I260&lt;=0.6,J260&gt;=0.4,J260&lt;=0.6,MIN(D260:G260)&gt;=57.6),"是","否")</f>
        <v/>
      </c>
    </row>
    <row r="261">
      <c r="A261" s="7" t="inlineStr">
        <is>
          <t>全部 384</t>
        </is>
      </c>
      <c r="B261" s="7" t="inlineStr">
        <is>
          <t>i7</t>
        </is>
      </c>
      <c r="C261" s="7" t="n">
        <v>10</v>
      </c>
      <c r="D261" s="7">
        <f>COUNTIF('384对'!$AF$2:$AF$385,"A")</f>
        <v/>
      </c>
      <c r="E261" s="7">
        <f>COUNTIF('384对'!$AF$2:$AF$385,"C")</f>
        <v/>
      </c>
      <c r="F261" s="7">
        <f>COUNTIF('384对'!$AF$2:$AF$385,"G")</f>
        <v/>
      </c>
      <c r="G261" s="7">
        <f>COUNTIF('384对'!$AF$2:$AF$385,"T")</f>
        <v/>
      </c>
      <c r="H261" s="8">
        <f>(E261+F261)/384</f>
        <v/>
      </c>
      <c r="I261" s="8">
        <f>(D261+E261)/384</f>
        <v/>
      </c>
      <c r="J261" s="8">
        <f>(D261+G261)/384</f>
        <v/>
      </c>
      <c r="K261" s="7">
        <f>IF(AND(H261&gt;=0.4,H261&lt;=0.6,I261&gt;=0.4,I261&lt;=0.6,J261&gt;=0.4,J261&lt;=0.6,MIN(D261:G261)&gt;=57.6),"是","否")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2026-10-09T06:38:26Z</dcterms:created>
  <dcterms:modified xsi:type="dcterms:W3CDTF">2026-10-09T06:38:26Z</dcterms:modified>
</cp:coreProperties>
</file>