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订购总表" sheetId="2" state="visible" r:id="rId2"/>
    <sheet name="12 条池" sheetId="3" state="visible" r:id="rId3"/>
    <sheet name="16 条池" sheetId="4" state="visible" r:id="rId4"/>
    <sheet name="24 条池" sheetId="5" state="visible" r:id="rId5"/>
    <sheet name="名称对照" sheetId="6" state="visible" r:id="rId6"/>
    <sheet name="池比较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 &quot;nmol&quot;"/>
    <numFmt numFmtId="165" formatCode="0.0"/>
    <numFmt numFmtId="166" formatCode="0.0%"/>
    <numFmt numFmtId="167" formatCode="0.0000"/>
  </numFmts>
  <fonts count="8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color rgb="000000FF"/>
      <sz val="10"/>
    </font>
    <font>
      <name val="Consolas"/>
      <sz val="10"/>
    </font>
    <font>
      <name val="Arial"/>
      <i val="1"/>
      <sz val="9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/>
    </xf>
    <xf numFmtId="165" fontId="2" fillId="0" borderId="1" applyAlignment="1" pivotButton="0" quotePrefix="0" xfId="0">
      <alignment vertical="top"/>
    </xf>
    <xf numFmtId="2" fontId="2" fillId="0" borderId="1" applyAlignment="1" pivotButton="0" quotePrefix="0" xfId="0">
      <alignment vertical="top"/>
    </xf>
    <xf numFmtId="0" fontId="2" fillId="0" borderId="1" applyAlignment="1" pivotButton="0" quotePrefix="0" xfId="0">
      <alignment horizontal="center"/>
    </xf>
    <xf numFmtId="164" fontId="5" fillId="3" borderId="1" applyAlignment="1" pivotButton="0" quotePrefix="0" xfId="0">
      <alignment vertical="top"/>
    </xf>
    <xf numFmtId="0" fontId="5" fillId="3" borderId="1" applyAlignment="1" pivotButton="0" quotePrefix="0" xfId="0">
      <alignment vertical="top"/>
    </xf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7" fillId="0" borderId="0" pivotButton="0" quotePrefix="0" xfId="0"/>
    <xf numFmtId="0" fontId="1" fillId="0" borderId="0" pivotButton="0" quotePrefix="0" xfId="0"/>
    <xf numFmtId="0" fontId="5" fillId="3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6" fillId="0" borderId="1" pivotButton="0" quotePrefix="0" xfId="0"/>
    <xf numFmtId="166" fontId="5" fillId="0" borderId="1" pivotButton="0" quotePrefix="0" xfId="0"/>
    <xf numFmtId="2" fontId="2" fillId="0" borderId="1" pivotButton="0" quotePrefix="0" xfId="0"/>
    <xf numFmtId="166" fontId="2" fillId="0" borderId="1" pivotButton="0" quotePrefix="0" xfId="0"/>
    <xf numFmtId="2" fontId="3" fillId="0" borderId="0" pivotButton="0" quotePrefix="0" xfId="0"/>
    <xf numFmtId="167" fontId="2" fillId="0" borderId="1" applyAlignment="1" pivotButton="0" quotePrefix="0" xfId="0">
      <alignment vertical="top"/>
    </xf>
    <xf numFmtId="166" fontId="2" fillId="0" borderId="1" applyAlignment="1" pivotButton="0" quotePrefix="0" xfId="0">
      <alignment vertical="top"/>
    </xf>
    <xf numFmtId="3" fontId="2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16S 引物订购清单：12、16、24 条引物池</t>
        </is>
      </c>
    </row>
    <row r="2">
      <c r="A2" s="2" t="inlineStr">
        <is>
          <t>用途：一次订齐 24 条寡核苷酸；12、16、24 条三个池都是这 24 条的子集，按各池工作表里的体积配成 100 µL 的 10× 混合液。</t>
        </is>
      </c>
    </row>
    <row r="3">
      <c r="A3" s="2" t="inlineStr"/>
    </row>
    <row r="4">
      <c r="A4" s="3" t="inlineStr">
        <is>
          <t>工作表</t>
        </is>
      </c>
    </row>
    <row r="5">
      <c r="A5" s="2" t="inlineStr">
        <is>
          <t>订购总表：24 条寡核苷酸（含序列、位置、Tm、展开数、各池是否包含），可直接作为订购单。</t>
        </is>
      </c>
    </row>
    <row r="6">
      <c r="A6" s="2" t="inlineStr">
        <is>
          <t>12 条池 / 16 条池 / 24 条池：各池的配制表（每条引物加多少 µL 的母液、位点内比例、总量核对、加水量）。</t>
        </is>
      </c>
    </row>
    <row r="7">
      <c r="A7" s="2" t="inlineStr">
        <is>
          <t>池比较：三个池的评估摘要（来自计算评估，非实测）。</t>
        </is>
      </c>
    </row>
    <row r="8">
      <c r="A8" s="2" t="inlineStr">
        <is>
          <t>名称对照：订购名称与分析里旧名的对照。</t>
        </is>
      </c>
    </row>
    <row r="9">
      <c r="A9" s="2" t="inlineStr"/>
    </row>
    <row r="10">
      <c r="A10" s="3" t="inlineStr">
        <is>
          <t>颜色约定</t>
        </is>
      </c>
    </row>
    <row r="11">
      <c r="A11" s="2" t="inlineStr">
        <is>
          <t>蓝色字 = 输入（可以修改）：合成规模、纯化方式、母液浓度、10× 混合液体积、各引物位点内比例。黑色 = 公式，自动计算。黄色底 = 订购前需要你确认的设置。</t>
        </is>
      </c>
    </row>
    <row r="12">
      <c r="A12" s="2" t="inlineStr"/>
    </row>
    <row r="13">
      <c r="A13" s="3" t="inlineStr">
        <is>
          <t>订购注意</t>
        </is>
      </c>
    </row>
    <row r="14">
      <c r="A14" s="2" t="inlineStr">
        <is>
          <t>1. 序列用 IUPAC 简并码（R=A/G，Y=C/T，W=A/T，M=A/C，K=G/T，S=G/C，D=A/G/T，B=C/G/T，V=A/C/G），按“混合碱基”合成，每条订一个管，不要拆成单个展开序列。订购前请确认合成商支持这些简并碱基。</t>
        </is>
      </c>
    </row>
    <row r="15">
      <c r="A15" s="2" t="inlineStr">
        <is>
          <t>2. 序列只含基因特异部分，没有接头、UDP 或修饰；如果建库要在引物上加接头，请自己加，并重新检查 Tm 和二聚体（我没有评估带接头的版本）。</t>
        </is>
      </c>
    </row>
    <row r="16">
      <c r="A16" s="2" t="inlineStr">
        <is>
          <t>3. 合成规模和纯化方式不是我推荐的结果，是占位的默认值（25 nmol、标准脱盐），请按你的合成商和用量改成实际要求；含有较多简并碱基的引物，合成商可能建议更高的规模。</t>
        </is>
      </c>
    </row>
    <row r="17">
      <c r="A17" s="2" t="inlineStr">
        <is>
          <t>4. 订购名称按 6 个扩增子编号：16S-A1（V1·V2）、A2（V3）、A3（V4）、A4（V5）、A5（V6·V7）、A6（V8·V9），后面是 F（正向）/R（反向）和序号。V5 扩增子（A4）的正向引物与 V4 共用（16S-A3-F），所以 A4 只有反向引物。末尾 s = 支原体补充，.SNAP = 借鉴 Swift SNAP 的引物。名称全是 ASCII，可以直接用于订购；分析和早期页面里用过的旧名见“名称对照”工作表。</t>
        </is>
      </c>
    </row>
    <row r="18">
      <c r="A18" s="2" t="inlineStr">
        <is>
          <t>5. 配池：每个引物位点（共 11 个）总量相同；同位点内多条时按各自覆盖比例分，补充引物占 10%；24 条池里同位点的冗余引物（A1-F 与 V1_f；V5-R.1、V5-R.2 与 907R）按覆盖比例平分。</t>
        </is>
      </c>
    </row>
    <row r="19">
      <c r="A19" s="2" t="inlineStr">
        <is>
          <t>6. 这些设计是序列层面的计算结果（Greengenes 13_8 和 SILVA 128；匹配规则：最多 1 个错配、3′ 端 3 个碱基匹配），没有实验验证；退火温度建议先做梯度（大致 52–60 °C）。</t>
        </is>
      </c>
    </row>
    <row r="20">
      <c r="A20" s="2" t="inlineStr"/>
    </row>
    <row r="21">
      <c r="A21" s="2" t="inlineStr">
        <is>
          <t>数据来源：docs/primer_design/order_list_levels.csv、order_list_levels_long.csv，评估见 primer_order_list_levels.html。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26" customWidth="1" min="3" max="3"/>
    <col width="28" customWidth="1" min="4" max="4"/>
    <col width="8" customWidth="1" min="5" max="5"/>
    <col width="9" customWidth="1" min="6" max="6"/>
    <col width="9" customWidth="1" min="7" max="7"/>
    <col width="9" customWidth="1" min="8" max="8"/>
    <col width="12" customWidth="1" min="9" max="9"/>
    <col width="9" customWidth="1" min="10" max="10"/>
    <col width="14" customWidth="1" min="11" max="11"/>
    <col width="8" customWidth="1" min="12" max="12"/>
    <col width="9" customWidth="1" min="13" max="13"/>
    <col width="13" customWidth="1" min="14" max="14"/>
    <col width="14" customWidth="1" min="15" max="15"/>
    <col width="8" customWidth="1" min="16" max="16"/>
    <col width="8" customWidth="1" min="17" max="17"/>
    <col width="8" customWidth="1" min="18" max="18"/>
    <col width="10" customWidth="1" min="19" max="19"/>
    <col width="20" customWidth="1" min="20" max="20"/>
    <col width="8" customWidth="1" min="21" max="21"/>
    <col width="40" customWidth="1" min="22" max="22"/>
  </cols>
  <sheetData>
    <row r="1" ht="45" customHeight="1">
      <c r="A1" s="4" t="inlineStr">
        <is>
          <t>序号</t>
        </is>
      </c>
      <c r="B1" s="4" t="inlineStr">
        <is>
          <t>订购名称</t>
        </is>
      </c>
      <c r="C1" s="4" t="inlineStr">
        <is>
          <t>分析里的旧名</t>
        </is>
      </c>
      <c r="D1" s="4" t="inlineStr">
        <is>
          <t>序列 5′→3′（IUPAC）</t>
        </is>
      </c>
      <c r="E1" s="4" t="inlineStr">
        <is>
          <t>长度 nt</t>
        </is>
      </c>
      <c r="F1" s="4" t="inlineStr">
        <is>
          <t>引物位点</t>
        </is>
      </c>
      <c r="G1" s="4" t="inlineStr">
        <is>
          <t>区域</t>
        </is>
      </c>
      <c r="H1" s="4" t="inlineStr">
        <is>
          <t>方向</t>
        </is>
      </c>
      <c r="I1" s="4" t="inlineStr">
        <is>
          <t>E. coli 位置</t>
        </is>
      </c>
      <c r="J1" s="4" t="inlineStr">
        <is>
          <t>平均 Tm °C</t>
        </is>
      </c>
      <c r="K1" s="4" t="inlineStr">
        <is>
          <t>Tm 范围 °C（展开序列）</t>
        </is>
      </c>
      <c r="L1" s="4" t="inlineStr">
        <is>
          <t>GC 含量</t>
        </is>
      </c>
      <c r="M1" s="4" t="inlineStr">
        <is>
          <t>展开序列数</t>
        </is>
      </c>
      <c r="N1" s="4" t="inlineStr">
        <is>
          <t>类型</t>
        </is>
      </c>
      <c r="O1" s="4" t="inlineStr">
        <is>
          <t>人基因组位点 / 展开序列（≤2 错配）</t>
        </is>
      </c>
      <c r="P1" s="4" t="inlineStr">
        <is>
          <t>在 12 条池</t>
        </is>
      </c>
      <c r="Q1" s="4" t="inlineStr">
        <is>
          <t>在 16 条池</t>
        </is>
      </c>
      <c r="R1" s="4" t="inlineStr">
        <is>
          <t>在 24 条池</t>
        </is>
      </c>
      <c r="S1" s="4" t="inlineStr">
        <is>
          <t>合成规模</t>
        </is>
      </c>
      <c r="T1" s="4" t="inlineStr">
        <is>
          <t>纯化方式</t>
        </is>
      </c>
      <c r="U1" s="4" t="inlineStr">
        <is>
          <t>修饰</t>
        </is>
      </c>
      <c r="V1" s="4" t="inlineStr">
        <is>
          <t>备注</t>
        </is>
      </c>
    </row>
    <row r="2">
      <c r="A2" s="5" t="n">
        <v>1</v>
      </c>
      <c r="B2" s="5" t="inlineStr">
        <is>
          <t>16S-A1-F</t>
        </is>
      </c>
      <c r="C2" s="6" t="inlineStr">
        <is>
          <t>A1-F</t>
        </is>
      </c>
      <c r="D2" s="7" t="inlineStr">
        <is>
          <t>AGRGTTTGATYMTGGCT</t>
        </is>
      </c>
      <c r="E2" s="5">
        <f>LEN(D2)</f>
        <v/>
      </c>
      <c r="F2" s="5" t="inlineStr">
        <is>
          <t>A1-F</t>
        </is>
      </c>
      <c r="G2" s="5" t="inlineStr">
        <is>
          <t>V1·V2</t>
        </is>
      </c>
      <c r="H2" s="5" t="inlineStr">
        <is>
          <t>正向 F</t>
        </is>
      </c>
      <c r="I2" s="5" t="inlineStr">
        <is>
          <t>8–24</t>
        </is>
      </c>
      <c r="J2" s="8" t="n">
        <v>54.8</v>
      </c>
      <c r="K2" s="5" t="inlineStr">
        <is>
          <t>50.6–58.7</t>
        </is>
      </c>
      <c r="L2" s="9" t="n">
        <v>0.35</v>
      </c>
      <c r="M2" s="5" t="n">
        <v>8</v>
      </c>
      <c r="N2" s="5" t="inlineStr">
        <is>
          <t>核心/借鉴</t>
        </is>
      </c>
      <c r="O2" s="8" t="n">
        <v>291.1</v>
      </c>
      <c r="P2" s="10" t="inlineStr">
        <is>
          <t>✓</t>
        </is>
      </c>
      <c r="Q2" s="10" t="inlineStr"/>
      <c r="R2" s="10" t="inlineStr">
        <is>
          <t>✓</t>
        </is>
      </c>
      <c r="S2" s="11" t="n">
        <v>25</v>
      </c>
      <c r="T2" s="12" t="inlineStr">
        <is>
          <t>标准脱盐（Desalt）</t>
        </is>
      </c>
      <c r="U2" s="5" t="inlineStr">
        <is>
          <t>无</t>
        </is>
      </c>
      <c r="V2" s="6" t="inlineStr">
        <is>
          <t>与 16S-A1-F.SNAP 同位点，24 条池同时含两者</t>
        </is>
      </c>
    </row>
    <row r="3">
      <c r="A3" s="5" t="n">
        <v>2</v>
      </c>
      <c r="B3" s="5" t="inlineStr">
        <is>
          <t>16S-A1-F.SNAP</t>
        </is>
      </c>
      <c r="C3" s="6" t="inlineStr">
        <is>
          <t>A1-F.V1f（SNAP）</t>
        </is>
      </c>
      <c r="D3" s="7" t="inlineStr">
        <is>
          <t>GAGTTTGATCMTGGCTCAG</t>
        </is>
      </c>
      <c r="E3" s="5">
        <f>LEN(D3)</f>
        <v/>
      </c>
      <c r="F3" s="5" t="inlineStr">
        <is>
          <t>A1-F</t>
        </is>
      </c>
      <c r="G3" s="5" t="inlineStr">
        <is>
          <t>V1·V2</t>
        </is>
      </c>
      <c r="H3" s="5" t="inlineStr">
        <is>
          <t>正向 F</t>
        </is>
      </c>
      <c r="I3" s="5" t="inlineStr">
        <is>
          <t>9–27</t>
        </is>
      </c>
      <c r="J3" s="8" t="n">
        <v>58</v>
      </c>
      <c r="K3" s="5" t="inlineStr">
        <is>
          <t>57.1–58.9</t>
        </is>
      </c>
      <c r="L3" s="9" t="n">
        <v>0.47</v>
      </c>
      <c r="M3" s="5" t="n">
        <v>2</v>
      </c>
      <c r="N3" s="5" t="inlineStr">
        <is>
          <t>借鉴 Swift SNAP</t>
        </is>
      </c>
      <c r="O3" s="8" t="n">
        <v>25</v>
      </c>
      <c r="P3" s="10" t="inlineStr"/>
      <c r="Q3" s="10" t="inlineStr">
        <is>
          <t>✓</t>
        </is>
      </c>
      <c r="R3" s="10" t="inlineStr">
        <is>
          <t>✓</t>
        </is>
      </c>
      <c r="S3" s="11" t="n">
        <v>25</v>
      </c>
      <c r="T3" s="12" t="inlineStr">
        <is>
          <t>标准脱盐（Desalt）</t>
        </is>
      </c>
      <c r="U3" s="5" t="inlineStr">
        <is>
          <t>无</t>
        </is>
      </c>
      <c r="V3" s="6" t="inlineStr">
        <is>
          <t>借鉴 Swift SNAP 的引物，来源序列见其引物文件；使用前请自行确认授权</t>
        </is>
      </c>
    </row>
    <row r="4">
      <c r="A4" s="5" t="n">
        <v>3</v>
      </c>
      <c r="B4" s="5" t="inlineStr">
        <is>
          <t>16S-A1-R.1</t>
        </is>
      </c>
      <c r="C4" s="6" t="inlineStr">
        <is>
          <t>A1-R.1</t>
        </is>
      </c>
      <c r="D4" s="7" t="inlineStr">
        <is>
          <t>TTACCYCACCAACWARCT</t>
        </is>
      </c>
      <c r="E4" s="5">
        <f>LEN(D4)</f>
        <v/>
      </c>
      <c r="F4" s="5" t="inlineStr">
        <is>
          <t>A1-R</t>
        </is>
      </c>
      <c r="G4" s="5" t="inlineStr">
        <is>
          <t>V1·V2</t>
        </is>
      </c>
      <c r="H4" s="5" t="inlineStr">
        <is>
          <t>反向 R</t>
        </is>
      </c>
      <c r="I4" s="5" t="inlineStr">
        <is>
          <t>246–263</t>
        </is>
      </c>
      <c r="J4" s="8" t="n">
        <v>56.4</v>
      </c>
      <c r="K4" s="5" t="inlineStr">
        <is>
          <t>53.1–59.8</t>
        </is>
      </c>
      <c r="L4" s="9" t="n">
        <v>0.39</v>
      </c>
      <c r="M4" s="5" t="n">
        <v>8</v>
      </c>
      <c r="N4" s="5" t="inlineStr">
        <is>
          <t>核心/借鉴</t>
        </is>
      </c>
      <c r="O4" s="8" t="n">
        <v>28.1</v>
      </c>
      <c r="P4" s="10" t="inlineStr">
        <is>
          <t>✓</t>
        </is>
      </c>
      <c r="Q4" s="10" t="inlineStr">
        <is>
          <t>✓</t>
        </is>
      </c>
      <c r="R4" s="10" t="inlineStr">
        <is>
          <t>✓</t>
        </is>
      </c>
      <c r="S4" s="11" t="n">
        <v>25</v>
      </c>
      <c r="T4" s="12" t="inlineStr">
        <is>
          <t>标准脱盐（Desalt）</t>
        </is>
      </c>
      <c r="U4" s="5" t="inlineStr">
        <is>
          <t>无</t>
        </is>
      </c>
      <c r="V4" s="6" t="inlineStr"/>
    </row>
    <row r="5">
      <c r="A5" s="5" t="n">
        <v>4</v>
      </c>
      <c r="B5" s="5" t="inlineStr">
        <is>
          <t>16S-A1-R.2</t>
        </is>
      </c>
      <c r="C5" s="6" t="inlineStr">
        <is>
          <t>A1-R.2</t>
        </is>
      </c>
      <c r="D5" s="7" t="inlineStr">
        <is>
          <t>TTACCCCRCCAACTABCT</t>
        </is>
      </c>
      <c r="E5" s="5">
        <f>LEN(D5)</f>
        <v/>
      </c>
      <c r="F5" s="5" t="inlineStr">
        <is>
          <t>A1-R</t>
        </is>
      </c>
      <c r="G5" s="5" t="inlineStr">
        <is>
          <t>V1·V2</t>
        </is>
      </c>
      <c r="H5" s="5" t="inlineStr">
        <is>
          <t>反向 R</t>
        </is>
      </c>
      <c r="I5" s="5" t="inlineStr">
        <is>
          <t>246–263</t>
        </is>
      </c>
      <c r="J5" s="8" t="n">
        <v>58.9</v>
      </c>
      <c r="K5" s="5" t="inlineStr">
        <is>
          <t>55.3–61.7</t>
        </is>
      </c>
      <c r="L5" s="9" t="n">
        <v>0.44</v>
      </c>
      <c r="M5" s="5" t="n">
        <v>6</v>
      </c>
      <c r="N5" s="5" t="inlineStr">
        <is>
          <t>核心/借鉴</t>
        </is>
      </c>
      <c r="O5" s="8" t="n">
        <v>18.7</v>
      </c>
      <c r="P5" s="10" t="inlineStr"/>
      <c r="Q5" s="10" t="inlineStr">
        <is>
          <t>✓</t>
        </is>
      </c>
      <c r="R5" s="10" t="inlineStr">
        <is>
          <t>✓</t>
        </is>
      </c>
      <c r="S5" s="11" t="n">
        <v>25</v>
      </c>
      <c r="T5" s="12" t="inlineStr">
        <is>
          <t>标准脱盐（Desalt）</t>
        </is>
      </c>
      <c r="U5" s="5" t="inlineStr">
        <is>
          <t>无</t>
        </is>
      </c>
      <c r="V5" s="6" t="inlineStr"/>
    </row>
    <row r="6">
      <c r="A6" s="5" t="n">
        <v>5</v>
      </c>
      <c r="B6" s="5" t="inlineStr">
        <is>
          <t>16S-A1-R.3</t>
        </is>
      </c>
      <c r="C6" s="6" t="inlineStr">
        <is>
          <t>A1-R.3</t>
        </is>
      </c>
      <c r="D6" s="7" t="inlineStr">
        <is>
          <t>CGTTACCYTACCAACTARYT</t>
        </is>
      </c>
      <c r="E6" s="5">
        <f>LEN(D6)</f>
        <v/>
      </c>
      <c r="F6" s="5" t="inlineStr">
        <is>
          <t>A1-R</t>
        </is>
      </c>
      <c r="G6" s="5" t="inlineStr">
        <is>
          <t>V1·V2</t>
        </is>
      </c>
      <c r="H6" s="5" t="inlineStr">
        <is>
          <t>反向 R</t>
        </is>
      </c>
      <c r="I6" s="5" t="inlineStr">
        <is>
          <t>246–265</t>
        </is>
      </c>
      <c r="J6" s="8" t="n">
        <v>56.8</v>
      </c>
      <c r="K6" s="5" t="inlineStr">
        <is>
          <t>54.0–59.9</t>
        </is>
      </c>
      <c r="L6" s="9" t="n">
        <v>0.35</v>
      </c>
      <c r="M6" s="5" t="n">
        <v>8</v>
      </c>
      <c r="N6" s="5" t="inlineStr">
        <is>
          <t>核心/借鉴</t>
        </is>
      </c>
      <c r="O6" s="8" t="n">
        <v>1.1</v>
      </c>
      <c r="P6" s="10" t="inlineStr"/>
      <c r="Q6" s="10" t="inlineStr"/>
      <c r="R6" s="10" t="inlineStr">
        <is>
          <t>✓</t>
        </is>
      </c>
      <c r="S6" s="11" t="n">
        <v>25</v>
      </c>
      <c r="T6" s="12" t="inlineStr">
        <is>
          <t>标准脱盐（Desalt）</t>
        </is>
      </c>
      <c r="U6" s="5" t="inlineStr">
        <is>
          <t>无</t>
        </is>
      </c>
      <c r="V6" s="6" t="inlineStr"/>
    </row>
    <row r="7">
      <c r="A7" s="5" t="n">
        <v>6</v>
      </c>
      <c r="B7" s="5" t="inlineStr">
        <is>
          <t>16S-A1-R.4s</t>
        </is>
      </c>
      <c r="C7" s="6" t="inlineStr">
        <is>
          <t>A1-R.4（补充）</t>
        </is>
      </c>
      <c r="D7" s="7" t="inlineStr">
        <is>
          <t>CATTACCCYACCAACTARYT</t>
        </is>
      </c>
      <c r="E7" s="5">
        <f>LEN(D7)</f>
        <v/>
      </c>
      <c r="F7" s="5" t="inlineStr">
        <is>
          <t>A1-R</t>
        </is>
      </c>
      <c r="G7" s="5" t="inlineStr">
        <is>
          <t>V1·V2</t>
        </is>
      </c>
      <c r="H7" s="5" t="inlineStr">
        <is>
          <t>反向 R</t>
        </is>
      </c>
      <c r="I7" s="5" t="inlineStr">
        <is>
          <t>246–265</t>
        </is>
      </c>
      <c r="J7" s="8" t="n">
        <v>56.8</v>
      </c>
      <c r="K7" s="5" t="inlineStr">
        <is>
          <t>53.3–60.5</t>
        </is>
      </c>
      <c r="L7" s="9" t="n">
        <v>0.35</v>
      </c>
      <c r="M7" s="5" t="n">
        <v>8</v>
      </c>
      <c r="N7" s="5" t="inlineStr">
        <is>
          <t>支原体补充</t>
        </is>
      </c>
      <c r="O7" s="8" t="n">
        <v>2.9</v>
      </c>
      <c r="P7" s="10" t="inlineStr"/>
      <c r="Q7" s="10" t="inlineStr"/>
      <c r="R7" s="10" t="inlineStr">
        <is>
          <t>✓</t>
        </is>
      </c>
      <c r="S7" s="11" t="n">
        <v>25</v>
      </c>
      <c r="T7" s="12" t="inlineStr">
        <is>
          <t>标准脱盐（Desalt）</t>
        </is>
      </c>
      <c r="U7" s="5" t="inlineStr">
        <is>
          <t>无</t>
        </is>
      </c>
      <c r="V7" s="6" t="inlineStr"/>
    </row>
    <row r="8">
      <c r="A8" s="5" t="n">
        <v>7</v>
      </c>
      <c r="B8" s="5" t="inlineStr">
        <is>
          <t>16S-A2-F.1</t>
        </is>
      </c>
      <c r="C8" s="6" t="inlineStr">
        <is>
          <t>A2-F.1</t>
        </is>
      </c>
      <c r="D8" s="7" t="inlineStr">
        <is>
          <t>ACWYCTACGGGWGGCAGCA</t>
        </is>
      </c>
      <c r="E8" s="5">
        <f>LEN(D8)</f>
        <v/>
      </c>
      <c r="F8" s="5" t="inlineStr">
        <is>
          <t>A2-F</t>
        </is>
      </c>
      <c r="G8" s="5" t="inlineStr">
        <is>
          <t>V3</t>
        </is>
      </c>
      <c r="H8" s="5" t="inlineStr">
        <is>
          <t>正向 F</t>
        </is>
      </c>
      <c r="I8" s="5" t="inlineStr">
        <is>
          <t>338–356</t>
        </is>
      </c>
      <c r="J8" s="8" t="n">
        <v>65.8</v>
      </c>
      <c r="K8" s="5" t="inlineStr">
        <is>
          <t>64.4–67.6</t>
        </is>
      </c>
      <c r="L8" s="9" t="n">
        <v>0.58</v>
      </c>
      <c r="M8" s="5" t="n">
        <v>8</v>
      </c>
      <c r="N8" s="5" t="inlineStr">
        <is>
          <t>核心/借鉴</t>
        </is>
      </c>
      <c r="O8" s="8" t="n">
        <v>8.199999999999999</v>
      </c>
      <c r="P8" s="10" t="inlineStr">
        <is>
          <t>✓</t>
        </is>
      </c>
      <c r="Q8" s="10" t="inlineStr">
        <is>
          <t>✓</t>
        </is>
      </c>
      <c r="R8" s="10" t="inlineStr">
        <is>
          <t>✓</t>
        </is>
      </c>
      <c r="S8" s="11" t="n">
        <v>25</v>
      </c>
      <c r="T8" s="12" t="inlineStr">
        <is>
          <t>标准脱盐（Desalt）</t>
        </is>
      </c>
      <c r="U8" s="5" t="inlineStr">
        <is>
          <t>无</t>
        </is>
      </c>
      <c r="V8" s="6" t="inlineStr"/>
    </row>
    <row r="9">
      <c r="A9" s="5" t="n">
        <v>8</v>
      </c>
      <c r="B9" s="5" t="inlineStr">
        <is>
          <t>16S-A2-F.2s</t>
        </is>
      </c>
      <c r="C9" s="6" t="inlineStr">
        <is>
          <t>A2-F.2（补充）</t>
        </is>
      </c>
      <c r="D9" s="7" t="inlineStr">
        <is>
          <t>ACTCCTACGGGAAGCASMA</t>
        </is>
      </c>
      <c r="E9" s="5">
        <f>LEN(D9)</f>
        <v/>
      </c>
      <c r="F9" s="5" t="inlineStr">
        <is>
          <t>A2-F</t>
        </is>
      </c>
      <c r="G9" s="5" t="inlineStr">
        <is>
          <t>V3</t>
        </is>
      </c>
      <c r="H9" s="5" t="inlineStr">
        <is>
          <t>正向 F</t>
        </is>
      </c>
      <c r="I9" s="5" t="inlineStr">
        <is>
          <t>338–356</t>
        </is>
      </c>
      <c r="J9" s="8" t="n">
        <v>62.9</v>
      </c>
      <c r="K9" s="5" t="inlineStr">
        <is>
          <t>61.4–64.4</t>
        </is>
      </c>
      <c r="L9" s="9" t="n">
        <v>0.53</v>
      </c>
      <c r="M9" s="5" t="n">
        <v>4</v>
      </c>
      <c r="N9" s="5" t="inlineStr">
        <is>
          <t>支原体补充</t>
        </is>
      </c>
      <c r="O9" s="8" t="n">
        <v>10</v>
      </c>
      <c r="P9" s="10" t="inlineStr"/>
      <c r="Q9" s="10" t="inlineStr"/>
      <c r="R9" s="10" t="inlineStr">
        <is>
          <t>✓</t>
        </is>
      </c>
      <c r="S9" s="11" t="n">
        <v>25</v>
      </c>
      <c r="T9" s="12" t="inlineStr">
        <is>
          <t>标准脱盐（Desalt）</t>
        </is>
      </c>
      <c r="U9" s="5" t="inlineStr">
        <is>
          <t>无</t>
        </is>
      </c>
      <c r="V9" s="6" t="inlineStr"/>
    </row>
    <row r="10">
      <c r="A10" s="5" t="n">
        <v>9</v>
      </c>
      <c r="B10" s="5" t="inlineStr">
        <is>
          <t>16S-A2-R</t>
        </is>
      </c>
      <c r="C10" s="6" t="inlineStr">
        <is>
          <t>A2-R</t>
        </is>
      </c>
      <c r="D10" s="7" t="inlineStr">
        <is>
          <t>TATTACCGCGRCTGCTGGCA</t>
        </is>
      </c>
      <c r="E10" s="5">
        <f>LEN(D10)</f>
        <v/>
      </c>
      <c r="F10" s="5" t="inlineStr">
        <is>
          <t>A2-R</t>
        </is>
      </c>
      <c r="G10" s="5" t="inlineStr">
        <is>
          <t>V3</t>
        </is>
      </c>
      <c r="H10" s="5" t="inlineStr">
        <is>
          <t>反向 R</t>
        </is>
      </c>
      <c r="I10" s="5" t="inlineStr">
        <is>
          <t>516–535</t>
        </is>
      </c>
      <c r="J10" s="8" t="n">
        <v>66.90000000000001</v>
      </c>
      <c r="K10" s="5" t="inlineStr">
        <is>
          <t>65.5–68.3</t>
        </is>
      </c>
      <c r="L10" s="9" t="n">
        <v>0.55</v>
      </c>
      <c r="M10" s="5" t="n">
        <v>2</v>
      </c>
      <c r="N10" s="5" t="inlineStr">
        <is>
          <t>核心/借鉴</t>
        </is>
      </c>
      <c r="O10" s="8" t="n">
        <v>3.5</v>
      </c>
      <c r="P10" s="10" t="inlineStr">
        <is>
          <t>✓</t>
        </is>
      </c>
      <c r="Q10" s="10" t="inlineStr">
        <is>
          <t>✓</t>
        </is>
      </c>
      <c r="R10" s="10" t="inlineStr">
        <is>
          <t>✓</t>
        </is>
      </c>
      <c r="S10" s="11" t="n">
        <v>25</v>
      </c>
      <c r="T10" s="12" t="inlineStr">
        <is>
          <t>标准脱盐（Desalt）</t>
        </is>
      </c>
      <c r="U10" s="5" t="inlineStr">
        <is>
          <t>无</t>
        </is>
      </c>
      <c r="V10" s="6" t="inlineStr"/>
    </row>
    <row r="11">
      <c r="A11" s="5" t="n">
        <v>10</v>
      </c>
      <c r="B11" s="5" t="inlineStr">
        <is>
          <t>16S-A3-F.1</t>
        </is>
      </c>
      <c r="C11" s="6" t="inlineStr">
        <is>
          <t>A3-F.1</t>
        </is>
      </c>
      <c r="D11" s="7" t="inlineStr">
        <is>
          <t>GGAWTYAYTGGGCGTAAAG</t>
        </is>
      </c>
      <c r="E11" s="5">
        <f>LEN(D11)</f>
        <v/>
      </c>
      <c r="F11" s="5" t="inlineStr">
        <is>
          <t>A3-F</t>
        </is>
      </c>
      <c r="G11" s="5" t="inlineStr">
        <is>
          <t>V4</t>
        </is>
      </c>
      <c r="H11" s="5" t="inlineStr">
        <is>
          <t>正向 F</t>
        </is>
      </c>
      <c r="I11" s="5" t="inlineStr">
        <is>
          <t>558–576</t>
        </is>
      </c>
      <c r="J11" s="8" t="n">
        <v>57.4</v>
      </c>
      <c r="K11" s="5" t="inlineStr">
        <is>
          <t>55.2–59.6</t>
        </is>
      </c>
      <c r="L11" s="9" t="n">
        <v>0.42</v>
      </c>
      <c r="M11" s="5" t="n">
        <v>8</v>
      </c>
      <c r="N11" s="5" t="inlineStr">
        <is>
          <t>核心/借鉴</t>
        </is>
      </c>
      <c r="O11" s="8" t="n">
        <v>0.9</v>
      </c>
      <c r="P11" s="10" t="inlineStr">
        <is>
          <t>✓</t>
        </is>
      </c>
      <c r="Q11" s="10" t="inlineStr">
        <is>
          <t>✓</t>
        </is>
      </c>
      <c r="R11" s="10" t="inlineStr">
        <is>
          <t>✓</t>
        </is>
      </c>
      <c r="S11" s="11" t="n">
        <v>25</v>
      </c>
      <c r="T11" s="12" t="inlineStr">
        <is>
          <t>标准脱盐（Desalt）</t>
        </is>
      </c>
      <c r="U11" s="5" t="inlineStr">
        <is>
          <t>无</t>
        </is>
      </c>
      <c r="V11" s="6" t="inlineStr">
        <is>
          <t>也是 V5 扩增子（A4）的正向引物，共用</t>
        </is>
      </c>
    </row>
    <row r="12">
      <c r="A12" s="5" t="n">
        <v>11</v>
      </c>
      <c r="B12" s="5" t="inlineStr">
        <is>
          <t>16S-A3-F.2</t>
        </is>
      </c>
      <c r="C12" s="6" t="inlineStr">
        <is>
          <t>A3-F.2</t>
        </is>
      </c>
      <c r="D12" s="7" t="inlineStr">
        <is>
          <t>CGGRAWTYATTGGGTTTAAAG</t>
        </is>
      </c>
      <c r="E12" s="5">
        <f>LEN(D12)</f>
        <v/>
      </c>
      <c r="F12" s="5" t="inlineStr">
        <is>
          <t>A3-F</t>
        </is>
      </c>
      <c r="G12" s="5" t="inlineStr">
        <is>
          <t>V4</t>
        </is>
      </c>
      <c r="H12" s="5" t="inlineStr">
        <is>
          <t>正向 F</t>
        </is>
      </c>
      <c r="I12" s="5" t="inlineStr">
        <is>
          <t>556–576</t>
        </is>
      </c>
      <c r="J12" s="8" t="n">
        <v>56.5</v>
      </c>
      <c r="K12" s="5" t="inlineStr">
        <is>
          <t>54.5–58.6</t>
        </is>
      </c>
      <c r="L12" s="9" t="n">
        <v>0.33</v>
      </c>
      <c r="M12" s="5" t="n">
        <v>8</v>
      </c>
      <c r="N12" s="5" t="inlineStr">
        <is>
          <t>核心/借鉴</t>
        </is>
      </c>
      <c r="O12" s="8" t="n">
        <v>0.6</v>
      </c>
      <c r="P12" s="10" t="inlineStr">
        <is>
          <t>✓</t>
        </is>
      </c>
      <c r="Q12" s="10" t="inlineStr">
        <is>
          <t>✓</t>
        </is>
      </c>
      <c r="R12" s="10" t="inlineStr">
        <is>
          <t>✓</t>
        </is>
      </c>
      <c r="S12" s="11" t="n">
        <v>25</v>
      </c>
      <c r="T12" s="12" t="inlineStr">
        <is>
          <t>标准脱盐（Desalt）</t>
        </is>
      </c>
      <c r="U12" s="5" t="inlineStr">
        <is>
          <t>无</t>
        </is>
      </c>
      <c r="V12" s="6" t="inlineStr">
        <is>
          <t>也是 V5 扩增子（A4）的正向引物，共用</t>
        </is>
      </c>
    </row>
    <row r="13">
      <c r="A13" s="5" t="n">
        <v>12</v>
      </c>
      <c r="B13" s="5" t="inlineStr">
        <is>
          <t>16S-A3-R</t>
        </is>
      </c>
      <c r="C13" s="6" t="inlineStr">
        <is>
          <t>A3-R</t>
        </is>
      </c>
      <c r="D13" s="7" t="inlineStr">
        <is>
          <t>ACTACCRGGGTATCTAAKCC</t>
        </is>
      </c>
      <c r="E13" s="5">
        <f>LEN(D13)</f>
        <v/>
      </c>
      <c r="F13" s="5" t="inlineStr">
        <is>
          <t>A3-R</t>
        </is>
      </c>
      <c r="G13" s="5" t="inlineStr">
        <is>
          <t>V4</t>
        </is>
      </c>
      <c r="H13" s="5" t="inlineStr">
        <is>
          <t>反向 R</t>
        </is>
      </c>
      <c r="I13" s="5" t="inlineStr">
        <is>
          <t>785–804</t>
        </is>
      </c>
      <c r="J13" s="8" t="n">
        <v>58.9</v>
      </c>
      <c r="K13" s="5" t="inlineStr">
        <is>
          <t>56.2–61.6</t>
        </is>
      </c>
      <c r="L13" s="9" t="n">
        <v>0.45</v>
      </c>
      <c r="M13" s="5" t="n">
        <v>4</v>
      </c>
      <c r="N13" s="5" t="inlineStr">
        <is>
          <t>核心/借鉴</t>
        </is>
      </c>
      <c r="O13" s="8" t="n">
        <v>1.5</v>
      </c>
      <c r="P13" s="10" t="inlineStr">
        <is>
          <t>✓</t>
        </is>
      </c>
      <c r="Q13" s="10" t="inlineStr">
        <is>
          <t>✓</t>
        </is>
      </c>
      <c r="R13" s="10" t="inlineStr">
        <is>
          <t>✓</t>
        </is>
      </c>
      <c r="S13" s="11" t="n">
        <v>25</v>
      </c>
      <c r="T13" s="12" t="inlineStr">
        <is>
          <t>标准脱盐（Desalt）</t>
        </is>
      </c>
      <c r="U13" s="5" t="inlineStr">
        <is>
          <t>无</t>
        </is>
      </c>
      <c r="V13" s="6" t="inlineStr"/>
    </row>
    <row r="14">
      <c r="A14" s="5" t="n">
        <v>13</v>
      </c>
      <c r="B14" s="5" t="inlineStr">
        <is>
          <t>16S-A4-R.1</t>
        </is>
      </c>
      <c r="C14" s="6" t="inlineStr">
        <is>
          <t>V5-R.1</t>
        </is>
      </c>
      <c r="D14" s="7" t="inlineStr">
        <is>
          <t>CCCGTCAATTYCTTTRAGTTT</t>
        </is>
      </c>
      <c r="E14" s="5">
        <f>LEN(D14)</f>
        <v/>
      </c>
      <c r="F14" s="5" t="inlineStr">
        <is>
          <t>A4-R</t>
        </is>
      </c>
      <c r="G14" s="5" t="inlineStr">
        <is>
          <t>V5</t>
        </is>
      </c>
      <c r="H14" s="5" t="inlineStr">
        <is>
          <t>反向 R</t>
        </is>
      </c>
      <c r="I14" s="5" t="inlineStr">
        <is>
          <t>907–927</t>
        </is>
      </c>
      <c r="J14" s="8" t="n">
        <v>58.1</v>
      </c>
      <c r="K14" s="5" t="inlineStr">
        <is>
          <t>56.0–60.2</t>
        </is>
      </c>
      <c r="L14" s="9" t="n">
        <v>0.33</v>
      </c>
      <c r="M14" s="5" t="n">
        <v>4</v>
      </c>
      <c r="N14" s="5" t="inlineStr">
        <is>
          <t>核心/借鉴</t>
        </is>
      </c>
      <c r="O14" s="8" t="n">
        <v>2.8</v>
      </c>
      <c r="P14" s="10" t="inlineStr">
        <is>
          <t>✓</t>
        </is>
      </c>
      <c r="Q14" s="10" t="inlineStr">
        <is>
          <t>✓</t>
        </is>
      </c>
      <c r="R14" s="10" t="inlineStr">
        <is>
          <t>✓</t>
        </is>
      </c>
      <c r="S14" s="11" t="n">
        <v>25</v>
      </c>
      <c r="T14" s="12" t="inlineStr">
        <is>
          <t>标准脱盐（Desalt）</t>
        </is>
      </c>
      <c r="U14" s="5" t="inlineStr">
        <is>
          <t>无</t>
        </is>
      </c>
      <c r="V14" s="6" t="inlineStr">
        <is>
          <t>V5 扩增子的反向引物（正向引物是 A3-F）</t>
        </is>
      </c>
    </row>
    <row r="15">
      <c r="A15" s="5" t="n">
        <v>14</v>
      </c>
      <c r="B15" s="5" t="inlineStr">
        <is>
          <t>16S-A4-R.2</t>
        </is>
      </c>
      <c r="C15" s="6" t="inlineStr">
        <is>
          <t>V5-R.2</t>
        </is>
      </c>
      <c r="D15" s="7" t="inlineStr">
        <is>
          <t>CCCGTCAATTCCTTTGAGYYY</t>
        </is>
      </c>
      <c r="E15" s="5">
        <f>LEN(D15)</f>
        <v/>
      </c>
      <c r="F15" s="5" t="inlineStr">
        <is>
          <t>A4-R</t>
        </is>
      </c>
      <c r="G15" s="5" t="inlineStr">
        <is>
          <t>V5</t>
        </is>
      </c>
      <c r="H15" s="5" t="inlineStr">
        <is>
          <t>反向 R</t>
        </is>
      </c>
      <c r="I15" s="5" t="inlineStr">
        <is>
          <t>907–927</t>
        </is>
      </c>
      <c r="J15" s="8" t="n">
        <v>62.3</v>
      </c>
      <c r="K15" s="5" t="inlineStr">
        <is>
          <t>60.2–65.0</t>
        </is>
      </c>
      <c r="L15" s="9" t="n">
        <v>0.43</v>
      </c>
      <c r="M15" s="5" t="n">
        <v>8</v>
      </c>
      <c r="N15" s="5" t="inlineStr">
        <is>
          <t>核心/借鉴</t>
        </is>
      </c>
      <c r="O15" s="8" t="n">
        <v>0.4</v>
      </c>
      <c r="P15" s="10" t="inlineStr"/>
      <c r="Q15" s="10" t="inlineStr"/>
      <c r="R15" s="10" t="inlineStr">
        <is>
          <t>✓</t>
        </is>
      </c>
      <c r="S15" s="11" t="n">
        <v>25</v>
      </c>
      <c r="T15" s="12" t="inlineStr">
        <is>
          <t>标准脱盐（Desalt）</t>
        </is>
      </c>
      <c r="U15" s="5" t="inlineStr">
        <is>
          <t>无</t>
        </is>
      </c>
      <c r="V15" s="6" t="inlineStr">
        <is>
          <t>V5 扩增子的反向引物（正向引物是 A3-F）</t>
        </is>
      </c>
    </row>
    <row r="16">
      <c r="A16" s="5" t="n">
        <v>15</v>
      </c>
      <c r="B16" s="5" t="inlineStr">
        <is>
          <t>16S-A4-R.SNAP</t>
        </is>
      </c>
      <c r="C16" s="6" t="inlineStr">
        <is>
          <t>V5-R.907R（SNAP）</t>
        </is>
      </c>
      <c r="D16" s="7" t="inlineStr">
        <is>
          <t>CCGTCAATTCMTTTGAGTTT</t>
        </is>
      </c>
      <c r="E16" s="5">
        <f>LEN(D16)</f>
        <v/>
      </c>
      <c r="F16" s="5" t="inlineStr">
        <is>
          <t>A4-R</t>
        </is>
      </c>
      <c r="G16" s="5" t="inlineStr">
        <is>
          <t>V5</t>
        </is>
      </c>
      <c r="H16" s="5" t="inlineStr">
        <is>
          <t>反向 R</t>
        </is>
      </c>
      <c r="I16" s="5" t="inlineStr">
        <is>
          <t>907–926</t>
        </is>
      </c>
      <c r="J16" s="8" t="n">
        <v>56.7</v>
      </c>
      <c r="K16" s="5" t="inlineStr">
        <is>
          <t>55.8–57.6</t>
        </is>
      </c>
      <c r="L16" s="9" t="n">
        <v>0.35</v>
      </c>
      <c r="M16" s="5" t="n">
        <v>2</v>
      </c>
      <c r="N16" s="5" t="inlineStr">
        <is>
          <t>借鉴 Swift SNAP</t>
        </is>
      </c>
      <c r="O16" s="8" t="n">
        <v>11</v>
      </c>
      <c r="P16" s="10" t="inlineStr"/>
      <c r="Q16" s="10" t="inlineStr"/>
      <c r="R16" s="10" t="inlineStr">
        <is>
          <t>✓</t>
        </is>
      </c>
      <c r="S16" s="11" t="n">
        <v>25</v>
      </c>
      <c r="T16" s="12" t="inlineStr">
        <is>
          <t>标准脱盐（Desalt）</t>
        </is>
      </c>
      <c r="U16" s="5" t="inlineStr">
        <is>
          <t>无</t>
        </is>
      </c>
      <c r="V16" s="6" t="inlineStr">
        <is>
          <t>V5 扩增子的反向引物（正向引物是 A3-F）</t>
        </is>
      </c>
    </row>
    <row r="17">
      <c r="A17" s="5" t="n">
        <v>16</v>
      </c>
      <c r="B17" s="5" t="inlineStr">
        <is>
          <t>16S-A5-F.1</t>
        </is>
      </c>
      <c r="C17" s="6" t="inlineStr">
        <is>
          <t>A4-F.1</t>
        </is>
      </c>
      <c r="D17" s="7" t="inlineStr">
        <is>
          <t>MWACGCGARGAACCTTACC</t>
        </is>
      </c>
      <c r="E17" s="5">
        <f>LEN(D17)</f>
        <v/>
      </c>
      <c r="F17" s="5" t="inlineStr">
        <is>
          <t>A5-F</t>
        </is>
      </c>
      <c r="G17" s="5" t="inlineStr">
        <is>
          <t>V6·V7</t>
        </is>
      </c>
      <c r="H17" s="5" t="inlineStr">
        <is>
          <t>正向 F</t>
        </is>
      </c>
      <c r="I17" s="5" t="inlineStr">
        <is>
          <t>967–985</t>
        </is>
      </c>
      <c r="J17" s="8" t="n">
        <v>60.2</v>
      </c>
      <c r="K17" s="5" t="inlineStr">
        <is>
          <t>58.3–62.1</t>
        </is>
      </c>
      <c r="L17" s="9" t="n">
        <v>0.47</v>
      </c>
      <c r="M17" s="5" t="n">
        <v>8</v>
      </c>
      <c r="N17" s="5" t="inlineStr">
        <is>
          <t>核心/借鉴</t>
        </is>
      </c>
      <c r="O17" s="8" t="n">
        <v>1</v>
      </c>
      <c r="P17" s="10" t="inlineStr">
        <is>
          <t>✓</t>
        </is>
      </c>
      <c r="Q17" s="10" t="inlineStr">
        <is>
          <t>✓</t>
        </is>
      </c>
      <c r="R17" s="10" t="inlineStr">
        <is>
          <t>✓</t>
        </is>
      </c>
      <c r="S17" s="11" t="n">
        <v>25</v>
      </c>
      <c r="T17" s="12" t="inlineStr">
        <is>
          <t>标准脱盐（Desalt）</t>
        </is>
      </c>
      <c r="U17" s="5" t="inlineStr">
        <is>
          <t>无</t>
        </is>
      </c>
      <c r="V17" s="6" t="inlineStr"/>
    </row>
    <row r="18">
      <c r="A18" s="5" t="n">
        <v>17</v>
      </c>
      <c r="B18" s="5" t="inlineStr">
        <is>
          <t>16S-A5-F.2</t>
        </is>
      </c>
      <c r="C18" s="6" t="inlineStr">
        <is>
          <t>A4-F.2</t>
        </is>
      </c>
      <c r="D18" s="7" t="inlineStr">
        <is>
          <t>MWACMCGAAGAACCTTACC</t>
        </is>
      </c>
      <c r="E18" s="5">
        <f>LEN(D18)</f>
        <v/>
      </c>
      <c r="F18" s="5" t="inlineStr">
        <is>
          <t>A5-F</t>
        </is>
      </c>
      <c r="G18" s="5" t="inlineStr">
        <is>
          <t>V6·V7</t>
        </is>
      </c>
      <c r="H18" s="5" t="inlineStr">
        <is>
          <t>正向 F</t>
        </is>
      </c>
      <c r="I18" s="5" t="inlineStr">
        <is>
          <t>967–985</t>
        </is>
      </c>
      <c r="J18" s="8" t="n">
        <v>57.2</v>
      </c>
      <c r="K18" s="5" t="inlineStr">
        <is>
          <t>55.3–59.2</t>
        </is>
      </c>
      <c r="L18" s="9" t="n">
        <v>0.42</v>
      </c>
      <c r="M18" s="5" t="n">
        <v>8</v>
      </c>
      <c r="N18" s="5" t="inlineStr">
        <is>
          <t>核心/借鉴</t>
        </is>
      </c>
      <c r="O18" s="8" t="n">
        <v>2.8</v>
      </c>
      <c r="P18" s="10" t="inlineStr"/>
      <c r="Q18" s="10" t="inlineStr"/>
      <c r="R18" s="10" t="inlineStr">
        <is>
          <t>✓</t>
        </is>
      </c>
      <c r="S18" s="11" t="n">
        <v>25</v>
      </c>
      <c r="T18" s="12" t="inlineStr">
        <is>
          <t>标准脱盐（Desalt）</t>
        </is>
      </c>
      <c r="U18" s="5" t="inlineStr">
        <is>
          <t>无</t>
        </is>
      </c>
      <c r="V18" s="6" t="inlineStr"/>
    </row>
    <row r="19">
      <c r="A19" s="5" t="n">
        <v>18</v>
      </c>
      <c r="B19" s="5" t="inlineStr">
        <is>
          <t>16S-A5-F.3s</t>
        </is>
      </c>
      <c r="C19" s="6" t="inlineStr">
        <is>
          <t>A4-F.3（补充）</t>
        </is>
      </c>
      <c r="D19" s="7" t="inlineStr">
        <is>
          <t>RTACMCGAARAACCTTACC</t>
        </is>
      </c>
      <c r="E19" s="5">
        <f>LEN(D19)</f>
        <v/>
      </c>
      <c r="F19" s="5" t="inlineStr">
        <is>
          <t>A5-F</t>
        </is>
      </c>
      <c r="G19" s="5" t="inlineStr">
        <is>
          <t>V6·V7</t>
        </is>
      </c>
      <c r="H19" s="5" t="inlineStr">
        <is>
          <t>正向 F</t>
        </is>
      </c>
      <c r="I19" s="5" t="inlineStr">
        <is>
          <t>967–985</t>
        </is>
      </c>
      <c r="J19" s="8" t="n">
        <v>56.1</v>
      </c>
      <c r="K19" s="5" t="inlineStr">
        <is>
          <t>53.9–58.2</t>
        </is>
      </c>
      <c r="L19" s="9" t="n">
        <v>0.37</v>
      </c>
      <c r="M19" s="5" t="n">
        <v>8</v>
      </c>
      <c r="N19" s="5" t="inlineStr">
        <is>
          <t>支原体补充</t>
        </is>
      </c>
      <c r="O19" s="8" t="n">
        <v>1.8</v>
      </c>
      <c r="P19" s="10" t="inlineStr"/>
      <c r="Q19" s="10" t="inlineStr">
        <is>
          <t>✓</t>
        </is>
      </c>
      <c r="R19" s="10" t="inlineStr">
        <is>
          <t>✓</t>
        </is>
      </c>
      <c r="S19" s="11" t="n">
        <v>25</v>
      </c>
      <c r="T19" s="12" t="inlineStr">
        <is>
          <t>标准脱盐（Desalt）</t>
        </is>
      </c>
      <c r="U19" s="5" t="inlineStr">
        <is>
          <t>无</t>
        </is>
      </c>
      <c r="V19" s="6" t="inlineStr"/>
    </row>
    <row r="20">
      <c r="A20" s="5" t="n">
        <v>19</v>
      </c>
      <c r="B20" s="5" t="inlineStr">
        <is>
          <t>16S-A5-R.1</t>
        </is>
      </c>
      <c r="C20" s="6" t="inlineStr">
        <is>
          <t>A4-R.1</t>
        </is>
      </c>
      <c r="D20" s="7" t="inlineStr">
        <is>
          <t>ACGTCRTCCYCACCTTCCY</t>
        </is>
      </c>
      <c r="E20" s="5">
        <f>LEN(D20)</f>
        <v/>
      </c>
      <c r="F20" s="5" t="inlineStr">
        <is>
          <t>A5-R</t>
        </is>
      </c>
      <c r="G20" s="5" t="inlineStr">
        <is>
          <t>V6·V7</t>
        </is>
      </c>
      <c r="H20" s="5" t="inlineStr">
        <is>
          <t>反向 R</t>
        </is>
      </c>
      <c r="I20" s="5" t="inlineStr">
        <is>
          <t>1177–1195</t>
        </is>
      </c>
      <c r="J20" s="8" t="n">
        <v>64.5</v>
      </c>
      <c r="K20" s="5" t="inlineStr">
        <is>
          <t>61.4–67.6</t>
        </is>
      </c>
      <c r="L20" s="9" t="n">
        <v>0.53</v>
      </c>
      <c r="M20" s="5" t="n">
        <v>8</v>
      </c>
      <c r="N20" s="5" t="inlineStr">
        <is>
          <t>核心/借鉴</t>
        </is>
      </c>
      <c r="O20" s="8" t="n">
        <v>17</v>
      </c>
      <c r="P20" s="10" t="inlineStr">
        <is>
          <t>✓</t>
        </is>
      </c>
      <c r="Q20" s="10" t="inlineStr">
        <is>
          <t>✓</t>
        </is>
      </c>
      <c r="R20" s="10" t="inlineStr">
        <is>
          <t>✓</t>
        </is>
      </c>
      <c r="S20" s="11" t="n">
        <v>25</v>
      </c>
      <c r="T20" s="12" t="inlineStr">
        <is>
          <t>标准脱盐（Desalt）</t>
        </is>
      </c>
      <c r="U20" s="5" t="inlineStr">
        <is>
          <t>无</t>
        </is>
      </c>
      <c r="V20" s="6" t="inlineStr"/>
    </row>
    <row r="21">
      <c r="A21" s="5" t="n">
        <v>20</v>
      </c>
      <c r="B21" s="5" t="inlineStr">
        <is>
          <t>16S-A5-R.2s</t>
        </is>
      </c>
      <c r="C21" s="6" t="inlineStr">
        <is>
          <t>A4-R.2（补充）</t>
        </is>
      </c>
      <c r="D21" s="7" t="inlineStr">
        <is>
          <t>TGACGTCATCCTYWCCTTCMT</t>
        </is>
      </c>
      <c r="E21" s="5">
        <f>LEN(D21)</f>
        <v/>
      </c>
      <c r="F21" s="5" t="inlineStr">
        <is>
          <t>A5-R</t>
        </is>
      </c>
      <c r="G21" s="5" t="inlineStr">
        <is>
          <t>V6·V7</t>
        </is>
      </c>
      <c r="H21" s="5" t="inlineStr">
        <is>
          <t>反向 R</t>
        </is>
      </c>
      <c r="I21" s="5" t="inlineStr">
        <is>
          <t>1177–1197</t>
        </is>
      </c>
      <c r="J21" s="8" t="n">
        <v>62</v>
      </c>
      <c r="K21" s="5" t="inlineStr">
        <is>
          <t>60.0–64.1</t>
        </is>
      </c>
      <c r="L21" s="9" t="n">
        <v>0.43</v>
      </c>
      <c r="M21" s="5" t="n">
        <v>8</v>
      </c>
      <c r="N21" s="5" t="inlineStr">
        <is>
          <t>支原体补充</t>
        </is>
      </c>
      <c r="O21" s="8" t="n">
        <v>2.8</v>
      </c>
      <c r="P21" s="10" t="inlineStr"/>
      <c r="Q21" s="10" t="inlineStr"/>
      <c r="R21" s="10" t="inlineStr">
        <is>
          <t>✓</t>
        </is>
      </c>
      <c r="S21" s="11" t="n">
        <v>25</v>
      </c>
      <c r="T21" s="12" t="inlineStr">
        <is>
          <t>标准脱盐（Desalt）</t>
        </is>
      </c>
      <c r="U21" s="5" t="inlineStr">
        <is>
          <t>无</t>
        </is>
      </c>
      <c r="V21" s="6" t="inlineStr"/>
    </row>
    <row r="22">
      <c r="A22" s="5" t="n">
        <v>21</v>
      </c>
      <c r="B22" s="5" t="inlineStr">
        <is>
          <t>16S-A6-F.1</t>
        </is>
      </c>
      <c r="C22" s="6" t="inlineStr">
        <is>
          <t>A5-F.1</t>
        </is>
      </c>
      <c r="D22" s="7" t="inlineStr">
        <is>
          <t>GCKACACRCRTGCTACAAT</t>
        </is>
      </c>
      <c r="E22" s="5">
        <f>LEN(D22)</f>
        <v/>
      </c>
      <c r="F22" s="5" t="inlineStr">
        <is>
          <t>A6-F</t>
        </is>
      </c>
      <c r="G22" s="5" t="inlineStr">
        <is>
          <t>V8·V9</t>
        </is>
      </c>
      <c r="H22" s="5" t="inlineStr">
        <is>
          <t>正向 F</t>
        </is>
      </c>
      <c r="I22" s="5" t="inlineStr">
        <is>
          <t>1223–1241</t>
        </is>
      </c>
      <c r="J22" s="8" t="n">
        <v>61</v>
      </c>
      <c r="K22" s="5" t="inlineStr">
        <is>
          <t>56.7–65.3</t>
        </is>
      </c>
      <c r="L22" s="9" t="n">
        <v>0.42</v>
      </c>
      <c r="M22" s="5" t="n">
        <v>8</v>
      </c>
      <c r="N22" s="5" t="inlineStr">
        <is>
          <t>核心/借鉴</t>
        </is>
      </c>
      <c r="O22" s="8" t="n">
        <v>2.1</v>
      </c>
      <c r="P22" s="10" t="inlineStr"/>
      <c r="Q22" s="10" t="inlineStr">
        <is>
          <t>✓</t>
        </is>
      </c>
      <c r="R22" s="10" t="inlineStr">
        <is>
          <t>✓</t>
        </is>
      </c>
      <c r="S22" s="11" t="n">
        <v>25</v>
      </c>
      <c r="T22" s="12" t="inlineStr">
        <is>
          <t>标准脱盐（Desalt）</t>
        </is>
      </c>
      <c r="U22" s="5" t="inlineStr">
        <is>
          <t>无</t>
        </is>
      </c>
      <c r="V22" s="6" t="inlineStr"/>
    </row>
    <row r="23">
      <c r="A23" s="5" t="n">
        <v>22</v>
      </c>
      <c r="B23" s="5" t="inlineStr">
        <is>
          <t>16S-A6-F.2</t>
        </is>
      </c>
      <c r="C23" s="6" t="inlineStr">
        <is>
          <t>A5-F.2</t>
        </is>
      </c>
      <c r="D23" s="7" t="inlineStr">
        <is>
          <t>GCTACACACGTVMTACAAT</t>
        </is>
      </c>
      <c r="E23" s="5">
        <f>LEN(D23)</f>
        <v/>
      </c>
      <c r="F23" s="5" t="inlineStr">
        <is>
          <t>A6-F</t>
        </is>
      </c>
      <c r="G23" s="5" t="inlineStr">
        <is>
          <t>V8·V9</t>
        </is>
      </c>
      <c r="H23" s="5" t="inlineStr">
        <is>
          <t>正向 F</t>
        </is>
      </c>
      <c r="I23" s="5" t="inlineStr">
        <is>
          <t>1223–1241</t>
        </is>
      </c>
      <c r="J23" s="8" t="n">
        <v>56.6</v>
      </c>
      <c r="K23" s="5" t="inlineStr">
        <is>
          <t>53.8–59.2</t>
        </is>
      </c>
      <c r="L23" s="9" t="n">
        <v>0.37</v>
      </c>
      <c r="M23" s="5" t="n">
        <v>6</v>
      </c>
      <c r="N23" s="5" t="inlineStr">
        <is>
          <t>核心/借鉴</t>
        </is>
      </c>
      <c r="O23" s="8" t="n">
        <v>7</v>
      </c>
      <c r="P23" s="10" t="inlineStr">
        <is>
          <t>✓</t>
        </is>
      </c>
      <c r="Q23" s="10" t="inlineStr">
        <is>
          <t>✓</t>
        </is>
      </c>
      <c r="R23" s="10" t="inlineStr">
        <is>
          <t>✓</t>
        </is>
      </c>
      <c r="S23" s="11" t="n">
        <v>25</v>
      </c>
      <c r="T23" s="12" t="inlineStr">
        <is>
          <t>标准脱盐（Desalt）</t>
        </is>
      </c>
      <c r="U23" s="5" t="inlineStr">
        <is>
          <t>无</t>
        </is>
      </c>
      <c r="V23" s="6" t="inlineStr"/>
    </row>
    <row r="24">
      <c r="A24" s="5" t="n">
        <v>23</v>
      </c>
      <c r="B24" s="5" t="inlineStr">
        <is>
          <t>16S-A6-F.3s</t>
        </is>
      </c>
      <c r="C24" s="6" t="inlineStr">
        <is>
          <t>A5-F.3（补充）</t>
        </is>
      </c>
      <c r="D24" s="7" t="inlineStr">
        <is>
          <t>GCTRCARRCGTGCTACAAT</t>
        </is>
      </c>
      <c r="E24" s="5">
        <f>LEN(D24)</f>
        <v/>
      </c>
      <c r="F24" s="5" t="inlineStr">
        <is>
          <t>A6-F</t>
        </is>
      </c>
      <c r="G24" s="5" t="inlineStr">
        <is>
          <t>V8·V9</t>
        </is>
      </c>
      <c r="H24" s="5" t="inlineStr">
        <is>
          <t>正向 F</t>
        </is>
      </c>
      <c r="I24" s="5" t="inlineStr">
        <is>
          <t>1223–1241</t>
        </is>
      </c>
      <c r="J24" s="8" t="n">
        <v>61</v>
      </c>
      <c r="K24" s="5" t="inlineStr">
        <is>
          <t>57.3–65.0</t>
        </is>
      </c>
      <c r="L24" s="9" t="n">
        <v>0.42</v>
      </c>
      <c r="M24" s="5" t="n">
        <v>8</v>
      </c>
      <c r="N24" s="5" t="inlineStr">
        <is>
          <t>支原体补充</t>
        </is>
      </c>
      <c r="O24" s="8" t="n">
        <v>3.2</v>
      </c>
      <c r="P24" s="10" t="inlineStr"/>
      <c r="Q24" s="10" t="inlineStr">
        <is>
          <t>✓</t>
        </is>
      </c>
      <c r="R24" s="10" t="inlineStr">
        <is>
          <t>✓</t>
        </is>
      </c>
      <c r="S24" s="11" t="n">
        <v>25</v>
      </c>
      <c r="T24" s="12" t="inlineStr">
        <is>
          <t>标准脱盐（Desalt）</t>
        </is>
      </c>
      <c r="U24" s="5" t="inlineStr">
        <is>
          <t>无</t>
        </is>
      </c>
      <c r="V24" s="6" t="inlineStr"/>
    </row>
    <row r="25">
      <c r="A25" s="5" t="n">
        <v>24</v>
      </c>
      <c r="B25" s="5" t="inlineStr">
        <is>
          <t>16S-A6-R</t>
        </is>
      </c>
      <c r="C25" s="6" t="inlineStr">
        <is>
          <t>A5-R</t>
        </is>
      </c>
      <c r="D25" s="7" t="inlineStr">
        <is>
          <t>GGYWACCTTGTTACGACTT</t>
        </is>
      </c>
      <c r="E25" s="5">
        <f>LEN(D25)</f>
        <v/>
      </c>
      <c r="F25" s="5" t="inlineStr">
        <is>
          <t>A6-R</t>
        </is>
      </c>
      <c r="G25" s="5" t="inlineStr">
        <is>
          <t>V8·V9</t>
        </is>
      </c>
      <c r="H25" s="5" t="inlineStr">
        <is>
          <t>反向 R</t>
        </is>
      </c>
      <c r="I25" s="5" t="inlineStr">
        <is>
          <t>1492–1510</t>
        </is>
      </c>
      <c r="J25" s="8" t="n">
        <v>57.3</v>
      </c>
      <c r="K25" s="5" t="inlineStr">
        <is>
          <t>55.8–59.4</t>
        </is>
      </c>
      <c r="L25" s="9" t="n">
        <v>0.42</v>
      </c>
      <c r="M25" s="5" t="n">
        <v>4</v>
      </c>
      <c r="N25" s="5" t="inlineStr">
        <is>
          <t>核心/借鉴</t>
        </is>
      </c>
      <c r="O25" s="8" t="n">
        <v>1.8</v>
      </c>
      <c r="P25" s="10" t="inlineStr">
        <is>
          <t>✓</t>
        </is>
      </c>
      <c r="Q25" s="10" t="inlineStr">
        <is>
          <t>✓</t>
        </is>
      </c>
      <c r="R25" s="10" t="inlineStr">
        <is>
          <t>✓</t>
        </is>
      </c>
      <c r="S25" s="11" t="n">
        <v>25</v>
      </c>
      <c r="T25" s="12" t="inlineStr">
        <is>
          <t>标准脱盐（Desalt）</t>
        </is>
      </c>
      <c r="U25" s="5" t="inlineStr">
        <is>
          <t>无</t>
        </is>
      </c>
      <c r="V25" s="6" t="inlineStr"/>
    </row>
    <row r="27">
      <c r="B27" s="13" t="inlineStr">
        <is>
          <t>合计</t>
        </is>
      </c>
      <c r="E27" s="13" t="inlineStr">
        <is>
          <t>寡核苷酸数</t>
        </is>
      </c>
      <c r="F27" s="13">
        <f>COUNTA(B2:B25)</f>
        <v/>
      </c>
      <c r="O27" s="13" t="inlineStr">
        <is>
          <t>各池寡核苷酸数</t>
        </is>
      </c>
      <c r="P27" s="14">
        <f>COUNTIF(P2:P25,"✓")</f>
        <v/>
      </c>
      <c r="Q27" s="14">
        <f>COUNTIF(Q2:Q25,"✓")</f>
        <v/>
      </c>
      <c r="R27" s="14">
        <f>COUNTIF(R2:R25,"✓")</f>
        <v/>
      </c>
    </row>
    <row r="28">
      <c r="O28" s="13" t="inlineStr">
        <is>
          <t>各池展开序列总数</t>
        </is>
      </c>
      <c r="P28" s="14">
        <f>SUMIF(P2:P25,"✓",M2:M25)</f>
        <v/>
      </c>
      <c r="Q28" s="14">
        <f>SUMIF(Q2:Q25,"✓",M2:M25)</f>
        <v/>
      </c>
      <c r="R28" s="14">
        <f>SUMIF(R2:R25,"✓",M2:M25)</f>
        <v/>
      </c>
    </row>
    <row r="30">
      <c r="B30" s="15" t="inlineStr">
        <is>
          <t>黄色底 = 请确认或修改的订购设置（合成规模 25 nmol 和标准脱盐是占位默认值，不是推荐）。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10" customWidth="1" min="3" max="3"/>
    <col width="10" customWidth="1" min="4" max="4"/>
    <col width="14" customWidth="1" min="5" max="5"/>
    <col width="12" customWidth="1" min="6" max="6"/>
    <col width="14" customWidth="1" min="7" max="7"/>
    <col width="10" customWidth="1" min="8" max="8"/>
  </cols>
  <sheetData>
    <row r="1">
      <c r="A1" s="16" t="inlineStr">
        <is>
          <t>12 条池配制表（100 µL 的 10× 混合液）</t>
        </is>
      </c>
    </row>
    <row r="3">
      <c r="A3" s="13" t="inlineStr">
        <is>
          <t>母液浓度 µM</t>
        </is>
      </c>
      <c r="B3" s="17" t="n">
        <v>100</v>
      </c>
    </row>
    <row r="4">
      <c r="A4" s="13" t="inlineStr">
        <is>
          <t>10× 混合液体积 µL</t>
        </is>
      </c>
      <c r="B4" s="17" t="n">
        <v>100</v>
      </c>
    </row>
    <row r="5">
      <c r="A5" s="13" t="inlineStr">
        <is>
          <t>每个位点在 10× 混合液里的浓度 µM</t>
        </is>
      </c>
      <c r="B5" s="17" t="n">
        <v>2.5</v>
      </c>
      <c r="C5" s="15" t="inlineStr">
        <is>
          <t>终浓度 = 该值 ÷ 10 = 0.25 µM（250 nM）</t>
        </is>
      </c>
    </row>
    <row r="6">
      <c r="A6" s="13" t="inlineStr">
        <is>
          <t>每个位点的母液体积 µL</t>
        </is>
      </c>
      <c r="B6" s="18">
        <f>B4*B5/B3</f>
        <v/>
      </c>
      <c r="C6" s="15" t="inlineStr">
        <is>
          <t>公式：体积 × 浓度 ÷ 母液浓度</t>
        </is>
      </c>
    </row>
    <row r="8" ht="32" customHeight="1">
      <c r="A8" s="4" t="inlineStr">
        <is>
          <t>订购名称</t>
        </is>
      </c>
      <c r="B8" s="4" t="inlineStr">
        <is>
          <t>序列 5′→3′</t>
        </is>
      </c>
      <c r="C8" s="4" t="inlineStr">
        <is>
          <t>引物位点</t>
        </is>
      </c>
      <c r="D8" s="4" t="inlineStr">
        <is>
          <t>展开序列数</t>
        </is>
      </c>
      <c r="E8" s="4" t="inlineStr">
        <is>
          <t>位点内比例（输入）</t>
        </is>
      </c>
      <c r="F8" s="4" t="inlineStr">
        <is>
          <t>加入体积 µL</t>
        </is>
      </c>
      <c r="G8" s="4" t="inlineStr">
        <is>
          <t>位点内比例合计</t>
        </is>
      </c>
      <c r="H8" s="4" t="inlineStr">
        <is>
          <t>核对</t>
        </is>
      </c>
    </row>
    <row r="9">
      <c r="A9" s="19" t="inlineStr">
        <is>
          <t>16S-A1-F</t>
        </is>
      </c>
      <c r="B9" s="20" t="inlineStr">
        <is>
          <t>AGRGTTTGATYMTGGCT</t>
        </is>
      </c>
      <c r="C9" s="19" t="inlineStr">
        <is>
          <t>A1-F</t>
        </is>
      </c>
      <c r="D9" s="19" t="n">
        <v>8</v>
      </c>
      <c r="E9" s="21" t="n">
        <v>1</v>
      </c>
      <c r="F9" s="22">
        <f>E9*$B$6</f>
        <v/>
      </c>
      <c r="G9" s="23">
        <f>SUMIF($C$9:$C$20,C9,$E$9:$E$20)</f>
        <v/>
      </c>
      <c r="H9" s="19">
        <f>IF(ABS(G9-1)&lt;0.002,"OK","请检查")</f>
        <v/>
      </c>
    </row>
    <row r="10">
      <c r="A10" s="19" t="inlineStr">
        <is>
          <t>16S-A1-R.1</t>
        </is>
      </c>
      <c r="B10" s="20" t="inlineStr">
        <is>
          <t>TTACCYCACCAACWARCT</t>
        </is>
      </c>
      <c r="C10" s="19" t="inlineStr">
        <is>
          <t>A1-R</t>
        </is>
      </c>
      <c r="D10" s="19" t="n">
        <v>8</v>
      </c>
      <c r="E10" s="21" t="n">
        <v>1</v>
      </c>
      <c r="F10" s="22">
        <f>E10*$B$6</f>
        <v/>
      </c>
      <c r="G10" s="23">
        <f>SUMIF($C$9:$C$20,C10,$E$9:$E$20)</f>
        <v/>
      </c>
      <c r="H10" s="19">
        <f>IF(ABS(G10-1)&lt;0.002,"OK","请检查")</f>
        <v/>
      </c>
    </row>
    <row r="11">
      <c r="A11" s="19" t="inlineStr">
        <is>
          <t>16S-A2-F.1</t>
        </is>
      </c>
      <c r="B11" s="20" t="inlineStr">
        <is>
          <t>ACWYCTACGGGWGGCAGCA</t>
        </is>
      </c>
      <c r="C11" s="19" t="inlineStr">
        <is>
          <t>A2-F</t>
        </is>
      </c>
      <c r="D11" s="19" t="n">
        <v>8</v>
      </c>
      <c r="E11" s="21" t="n">
        <v>1</v>
      </c>
      <c r="F11" s="22">
        <f>E11*$B$6</f>
        <v/>
      </c>
      <c r="G11" s="23">
        <f>SUMIF($C$9:$C$20,C11,$E$9:$E$20)</f>
        <v/>
      </c>
      <c r="H11" s="19">
        <f>IF(ABS(G11-1)&lt;0.002,"OK","请检查")</f>
        <v/>
      </c>
    </row>
    <row r="12">
      <c r="A12" s="19" t="inlineStr">
        <is>
          <t>16S-A2-R</t>
        </is>
      </c>
      <c r="B12" s="20" t="inlineStr">
        <is>
          <t>TATTACCGCGRCTGCTGGCA</t>
        </is>
      </c>
      <c r="C12" s="19" t="inlineStr">
        <is>
          <t>A2-R</t>
        </is>
      </c>
      <c r="D12" s="19" t="n">
        <v>2</v>
      </c>
      <c r="E12" s="21" t="n">
        <v>1</v>
      </c>
      <c r="F12" s="22">
        <f>E12*$B$6</f>
        <v/>
      </c>
      <c r="G12" s="23">
        <f>SUMIF($C$9:$C$20,C12,$E$9:$E$20)</f>
        <v/>
      </c>
      <c r="H12" s="19">
        <f>IF(ABS(G12-1)&lt;0.002,"OK","请检查")</f>
        <v/>
      </c>
    </row>
    <row r="13">
      <c r="A13" s="19" t="inlineStr">
        <is>
          <t>16S-A3-F.1</t>
        </is>
      </c>
      <c r="B13" s="20" t="inlineStr">
        <is>
          <t>GGAWTYAYTGGGCGTAAAG</t>
        </is>
      </c>
      <c r="C13" s="19" t="inlineStr">
        <is>
          <t>A3-F</t>
        </is>
      </c>
      <c r="D13" s="19" t="n">
        <v>8</v>
      </c>
      <c r="E13" s="21" t="n">
        <v>0.855</v>
      </c>
      <c r="F13" s="22">
        <f>E13*$B$6</f>
        <v/>
      </c>
      <c r="G13" s="23">
        <f>SUMIF($C$9:$C$20,C13,$E$9:$E$20)</f>
        <v/>
      </c>
      <c r="H13" s="19">
        <f>IF(ABS(G13-1)&lt;0.002,"OK","请检查")</f>
        <v/>
      </c>
    </row>
    <row r="14">
      <c r="A14" s="19" t="inlineStr">
        <is>
          <t>16S-A3-F.2</t>
        </is>
      </c>
      <c r="B14" s="20" t="inlineStr">
        <is>
          <t>CGGRAWTYATTGGGTTTAAAG</t>
        </is>
      </c>
      <c r="C14" s="19" t="inlineStr">
        <is>
          <t>A3-F</t>
        </is>
      </c>
      <c r="D14" s="19" t="n">
        <v>8</v>
      </c>
      <c r="E14" s="21" t="n">
        <v>0.145</v>
      </c>
      <c r="F14" s="22">
        <f>E14*$B$6</f>
        <v/>
      </c>
      <c r="G14" s="23">
        <f>SUMIF($C$9:$C$20,C14,$E$9:$E$20)</f>
        <v/>
      </c>
      <c r="H14" s="19">
        <f>IF(ABS(G14-1)&lt;0.002,"OK","请检查")</f>
        <v/>
      </c>
    </row>
    <row r="15">
      <c r="A15" s="19" t="inlineStr">
        <is>
          <t>16S-A3-R</t>
        </is>
      </c>
      <c r="B15" s="20" t="inlineStr">
        <is>
          <t>ACTACCRGGGTATCTAAKCC</t>
        </is>
      </c>
      <c r="C15" s="19" t="inlineStr">
        <is>
          <t>A3-R</t>
        </is>
      </c>
      <c r="D15" s="19" t="n">
        <v>4</v>
      </c>
      <c r="E15" s="21" t="n">
        <v>1</v>
      </c>
      <c r="F15" s="22">
        <f>E15*$B$6</f>
        <v/>
      </c>
      <c r="G15" s="23">
        <f>SUMIF($C$9:$C$20,C15,$E$9:$E$20)</f>
        <v/>
      </c>
      <c r="H15" s="19">
        <f>IF(ABS(G15-1)&lt;0.002,"OK","请检查")</f>
        <v/>
      </c>
    </row>
    <row r="16">
      <c r="A16" s="19" t="inlineStr">
        <is>
          <t>16S-A4-R.1</t>
        </is>
      </c>
      <c r="B16" s="20" t="inlineStr">
        <is>
          <t>CCCGTCAATTYCTTTRAGTTT</t>
        </is>
      </c>
      <c r="C16" s="19" t="inlineStr">
        <is>
          <t>A4-R</t>
        </is>
      </c>
      <c r="D16" s="19" t="n">
        <v>4</v>
      </c>
      <c r="E16" s="21" t="n">
        <v>1</v>
      </c>
      <c r="F16" s="22">
        <f>E16*$B$6</f>
        <v/>
      </c>
      <c r="G16" s="23">
        <f>SUMIF($C$9:$C$20,C16,$E$9:$E$20)</f>
        <v/>
      </c>
      <c r="H16" s="19">
        <f>IF(ABS(G16-1)&lt;0.002,"OK","请检查")</f>
        <v/>
      </c>
    </row>
    <row r="17">
      <c r="A17" s="19" t="inlineStr">
        <is>
          <t>16S-A5-F.1</t>
        </is>
      </c>
      <c r="B17" s="20" t="inlineStr">
        <is>
          <t>MWACGCGARGAACCTTACC</t>
        </is>
      </c>
      <c r="C17" s="19" t="inlineStr">
        <is>
          <t>A5-F</t>
        </is>
      </c>
      <c r="D17" s="19" t="n">
        <v>8</v>
      </c>
      <c r="E17" s="21" t="n">
        <v>1</v>
      </c>
      <c r="F17" s="22">
        <f>E17*$B$6</f>
        <v/>
      </c>
      <c r="G17" s="23">
        <f>SUMIF($C$9:$C$20,C17,$E$9:$E$20)</f>
        <v/>
      </c>
      <c r="H17" s="19">
        <f>IF(ABS(G17-1)&lt;0.002,"OK","请检查")</f>
        <v/>
      </c>
    </row>
    <row r="18">
      <c r="A18" s="19" t="inlineStr">
        <is>
          <t>16S-A5-R.1</t>
        </is>
      </c>
      <c r="B18" s="20" t="inlineStr">
        <is>
          <t>ACGTCRTCCYCACCTTCCY</t>
        </is>
      </c>
      <c r="C18" s="19" t="inlineStr">
        <is>
          <t>A5-R</t>
        </is>
      </c>
      <c r="D18" s="19" t="n">
        <v>8</v>
      </c>
      <c r="E18" s="21" t="n">
        <v>1</v>
      </c>
      <c r="F18" s="22">
        <f>E18*$B$6</f>
        <v/>
      </c>
      <c r="G18" s="23">
        <f>SUMIF($C$9:$C$20,C18,$E$9:$E$20)</f>
        <v/>
      </c>
      <c r="H18" s="19">
        <f>IF(ABS(G18-1)&lt;0.002,"OK","请检查")</f>
        <v/>
      </c>
    </row>
    <row r="19">
      <c r="A19" s="19" t="inlineStr">
        <is>
          <t>16S-A6-F.2</t>
        </is>
      </c>
      <c r="B19" s="20" t="inlineStr">
        <is>
          <t>GCTACACACGTVMTACAAT</t>
        </is>
      </c>
      <c r="C19" s="19" t="inlineStr">
        <is>
          <t>A6-F</t>
        </is>
      </c>
      <c r="D19" s="19" t="n">
        <v>6</v>
      </c>
      <c r="E19" s="21" t="n">
        <v>1</v>
      </c>
      <c r="F19" s="22">
        <f>E19*$B$6</f>
        <v/>
      </c>
      <c r="G19" s="23">
        <f>SUMIF($C$9:$C$20,C19,$E$9:$E$20)</f>
        <v/>
      </c>
      <c r="H19" s="19">
        <f>IF(ABS(G19-1)&lt;0.002,"OK","请检查")</f>
        <v/>
      </c>
    </row>
    <row r="20">
      <c r="A20" s="19" t="inlineStr">
        <is>
          <t>16S-A6-R</t>
        </is>
      </c>
      <c r="B20" s="20" t="inlineStr">
        <is>
          <t>GGYWACCTTGTTACGACTT</t>
        </is>
      </c>
      <c r="C20" s="19" t="inlineStr">
        <is>
          <t>A6-R</t>
        </is>
      </c>
      <c r="D20" s="19" t="n">
        <v>4</v>
      </c>
      <c r="E20" s="21" t="n">
        <v>1</v>
      </c>
      <c r="F20" s="22">
        <f>E20*$B$6</f>
        <v/>
      </c>
      <c r="G20" s="23">
        <f>SUMIF($C$9:$C$20,C20,$E$9:$E$20)</f>
        <v/>
      </c>
      <c r="H20" s="19">
        <f>IF(ABS(G20-1)&lt;0.002,"OK","请检查")</f>
        <v/>
      </c>
    </row>
    <row r="22">
      <c r="A22" s="13" t="inlineStr">
        <is>
          <t>合计</t>
        </is>
      </c>
      <c r="B22" s="15" t="inlineStr">
        <is>
          <t>← 寡核苷酸数（C 列）、展开序列总数（D 列）、母液总体积（F 列）</t>
        </is>
      </c>
      <c r="C22" s="13">
        <f>COUNTA(A9:A20)</f>
        <v/>
      </c>
      <c r="D22" s="13">
        <f>SUM(D9:D20)</f>
        <v/>
      </c>
      <c r="F22" s="24">
        <f>SUM(F9:F20)</f>
        <v/>
      </c>
    </row>
    <row r="23">
      <c r="A23" s="13" t="inlineStr">
        <is>
          <t>加水 µL</t>
        </is>
      </c>
      <c r="F23" s="24">
        <f>B4-F22</f>
        <v/>
      </c>
    </row>
    <row r="24">
      <c r="A24" s="13" t="inlineStr">
        <is>
          <t>总体积 µL</t>
        </is>
      </c>
      <c r="F24" s="24">
        <f>F22+F23</f>
        <v/>
      </c>
    </row>
    <row r="26">
      <c r="A26" s="15" t="inlineStr">
        <is>
          <t>用法：每 25 µL PCR 加 2.5 µL 10× 混合液。比例列是输入（蓝色），修改后体积自动更新；同位点内比例合计应为 100%。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10" customWidth="1" min="3" max="3"/>
    <col width="10" customWidth="1" min="4" max="4"/>
    <col width="14" customWidth="1" min="5" max="5"/>
    <col width="12" customWidth="1" min="6" max="6"/>
    <col width="14" customWidth="1" min="7" max="7"/>
    <col width="10" customWidth="1" min="8" max="8"/>
  </cols>
  <sheetData>
    <row r="1">
      <c r="A1" s="16" t="inlineStr">
        <is>
          <t>16 条池配制表（100 µL 的 10× 混合液）</t>
        </is>
      </c>
    </row>
    <row r="3">
      <c r="A3" s="13" t="inlineStr">
        <is>
          <t>母液浓度 µM</t>
        </is>
      </c>
      <c r="B3" s="17" t="n">
        <v>100</v>
      </c>
    </row>
    <row r="4">
      <c r="A4" s="13" t="inlineStr">
        <is>
          <t>10× 混合液体积 µL</t>
        </is>
      </c>
      <c r="B4" s="17" t="n">
        <v>100</v>
      </c>
    </row>
    <row r="5">
      <c r="A5" s="13" t="inlineStr">
        <is>
          <t>每个位点在 10× 混合液里的浓度 µM</t>
        </is>
      </c>
      <c r="B5" s="17" t="n">
        <v>2.5</v>
      </c>
      <c r="C5" s="15" t="inlineStr">
        <is>
          <t>终浓度 = 该值 ÷ 10 = 0.25 µM（250 nM）</t>
        </is>
      </c>
    </row>
    <row r="6">
      <c r="A6" s="13" t="inlineStr">
        <is>
          <t>每个位点的母液体积 µL</t>
        </is>
      </c>
      <c r="B6" s="18">
        <f>B4*B5/B3</f>
        <v/>
      </c>
      <c r="C6" s="15" t="inlineStr">
        <is>
          <t>公式：体积 × 浓度 ÷ 母液浓度</t>
        </is>
      </c>
    </row>
    <row r="8" ht="32" customHeight="1">
      <c r="A8" s="4" t="inlineStr">
        <is>
          <t>订购名称</t>
        </is>
      </c>
      <c r="B8" s="4" t="inlineStr">
        <is>
          <t>序列 5′→3′</t>
        </is>
      </c>
      <c r="C8" s="4" t="inlineStr">
        <is>
          <t>引物位点</t>
        </is>
      </c>
      <c r="D8" s="4" t="inlineStr">
        <is>
          <t>展开序列数</t>
        </is>
      </c>
      <c r="E8" s="4" t="inlineStr">
        <is>
          <t>位点内比例（输入）</t>
        </is>
      </c>
      <c r="F8" s="4" t="inlineStr">
        <is>
          <t>加入体积 µL</t>
        </is>
      </c>
      <c r="G8" s="4" t="inlineStr">
        <is>
          <t>位点内比例合计</t>
        </is>
      </c>
      <c r="H8" s="4" t="inlineStr">
        <is>
          <t>核对</t>
        </is>
      </c>
    </row>
    <row r="9">
      <c r="A9" s="19" t="inlineStr">
        <is>
          <t>16S-A1-F.SNAP</t>
        </is>
      </c>
      <c r="B9" s="20" t="inlineStr">
        <is>
          <t>GAGTTTGATCMTGGCTCAG</t>
        </is>
      </c>
      <c r="C9" s="19" t="inlineStr">
        <is>
          <t>A1-F</t>
        </is>
      </c>
      <c r="D9" s="19" t="n">
        <v>2</v>
      </c>
      <c r="E9" s="21" t="n">
        <v>1</v>
      </c>
      <c r="F9" s="22">
        <f>E9*$B$6</f>
        <v/>
      </c>
      <c r="G9" s="23">
        <f>SUMIF($C$9:$C$24,C9,$E$9:$E$24)</f>
        <v/>
      </c>
      <c r="H9" s="19">
        <f>IF(ABS(G9-1)&lt;0.002,"OK","请检查")</f>
        <v/>
      </c>
    </row>
    <row r="10">
      <c r="A10" s="19" t="inlineStr">
        <is>
          <t>16S-A1-R.1</t>
        </is>
      </c>
      <c r="B10" s="20" t="inlineStr">
        <is>
          <t>TTACCYCACCAACWARCT</t>
        </is>
      </c>
      <c r="C10" s="19" t="inlineStr">
        <is>
          <t>A1-R</t>
        </is>
      </c>
      <c r="D10" s="19" t="n">
        <v>8</v>
      </c>
      <c r="E10" s="21" t="n">
        <v>0.522</v>
      </c>
      <c r="F10" s="22">
        <f>E10*$B$6</f>
        <v/>
      </c>
      <c r="G10" s="23">
        <f>SUMIF($C$9:$C$24,C10,$E$9:$E$24)</f>
        <v/>
      </c>
      <c r="H10" s="19">
        <f>IF(ABS(G10-1)&lt;0.002,"OK","请检查")</f>
        <v/>
      </c>
    </row>
    <row r="11">
      <c r="A11" s="19" t="inlineStr">
        <is>
          <t>16S-A1-R.2</t>
        </is>
      </c>
      <c r="B11" s="20" t="inlineStr">
        <is>
          <t>TTACCCCRCCAACTABCT</t>
        </is>
      </c>
      <c r="C11" s="19" t="inlineStr">
        <is>
          <t>A1-R</t>
        </is>
      </c>
      <c r="D11" s="19" t="n">
        <v>6</v>
      </c>
      <c r="E11" s="21" t="n">
        <v>0.478</v>
      </c>
      <c r="F11" s="22">
        <f>E11*$B$6</f>
        <v/>
      </c>
      <c r="G11" s="23">
        <f>SUMIF($C$9:$C$24,C11,$E$9:$E$24)</f>
        <v/>
      </c>
      <c r="H11" s="19">
        <f>IF(ABS(G11-1)&lt;0.002,"OK","请检查")</f>
        <v/>
      </c>
    </row>
    <row r="12">
      <c r="A12" s="19" t="inlineStr">
        <is>
          <t>16S-A2-F.1</t>
        </is>
      </c>
      <c r="B12" s="20" t="inlineStr">
        <is>
          <t>ACWYCTACGGGWGGCAGCA</t>
        </is>
      </c>
      <c r="C12" s="19" t="inlineStr">
        <is>
          <t>A2-F</t>
        </is>
      </c>
      <c r="D12" s="19" t="n">
        <v>8</v>
      </c>
      <c r="E12" s="21" t="n">
        <v>1</v>
      </c>
      <c r="F12" s="22">
        <f>E12*$B$6</f>
        <v/>
      </c>
      <c r="G12" s="23">
        <f>SUMIF($C$9:$C$24,C12,$E$9:$E$24)</f>
        <v/>
      </c>
      <c r="H12" s="19">
        <f>IF(ABS(G12-1)&lt;0.002,"OK","请检查")</f>
        <v/>
      </c>
    </row>
    <row r="13">
      <c r="A13" s="19" t="inlineStr">
        <is>
          <t>16S-A2-R</t>
        </is>
      </c>
      <c r="B13" s="20" t="inlineStr">
        <is>
          <t>TATTACCGCGRCTGCTGGCA</t>
        </is>
      </c>
      <c r="C13" s="19" t="inlineStr">
        <is>
          <t>A2-R</t>
        </is>
      </c>
      <c r="D13" s="19" t="n">
        <v>2</v>
      </c>
      <c r="E13" s="21" t="n">
        <v>1</v>
      </c>
      <c r="F13" s="22">
        <f>E13*$B$6</f>
        <v/>
      </c>
      <c r="G13" s="23">
        <f>SUMIF($C$9:$C$24,C13,$E$9:$E$24)</f>
        <v/>
      </c>
      <c r="H13" s="19">
        <f>IF(ABS(G13-1)&lt;0.002,"OK","请检查")</f>
        <v/>
      </c>
    </row>
    <row r="14">
      <c r="A14" s="19" t="inlineStr">
        <is>
          <t>16S-A3-F.1</t>
        </is>
      </c>
      <c r="B14" s="20" t="inlineStr">
        <is>
          <t>GGAWTYAYTGGGCGTAAAG</t>
        </is>
      </c>
      <c r="C14" s="19" t="inlineStr">
        <is>
          <t>A3-F</t>
        </is>
      </c>
      <c r="D14" s="19" t="n">
        <v>8</v>
      </c>
      <c r="E14" s="21" t="n">
        <v>0.855</v>
      </c>
      <c r="F14" s="22">
        <f>E14*$B$6</f>
        <v/>
      </c>
      <c r="G14" s="23">
        <f>SUMIF($C$9:$C$24,C14,$E$9:$E$24)</f>
        <v/>
      </c>
      <c r="H14" s="19">
        <f>IF(ABS(G14-1)&lt;0.002,"OK","请检查")</f>
        <v/>
      </c>
    </row>
    <row r="15">
      <c r="A15" s="19" t="inlineStr">
        <is>
          <t>16S-A3-F.2</t>
        </is>
      </c>
      <c r="B15" s="20" t="inlineStr">
        <is>
          <t>CGGRAWTYATTGGGTTTAAAG</t>
        </is>
      </c>
      <c r="C15" s="19" t="inlineStr">
        <is>
          <t>A3-F</t>
        </is>
      </c>
      <c r="D15" s="19" t="n">
        <v>8</v>
      </c>
      <c r="E15" s="21" t="n">
        <v>0.145</v>
      </c>
      <c r="F15" s="22">
        <f>E15*$B$6</f>
        <v/>
      </c>
      <c r="G15" s="23">
        <f>SUMIF($C$9:$C$24,C15,$E$9:$E$24)</f>
        <v/>
      </c>
      <c r="H15" s="19">
        <f>IF(ABS(G15-1)&lt;0.002,"OK","请检查")</f>
        <v/>
      </c>
    </row>
    <row r="16">
      <c r="A16" s="19" t="inlineStr">
        <is>
          <t>16S-A3-R</t>
        </is>
      </c>
      <c r="B16" s="20" t="inlineStr">
        <is>
          <t>ACTACCRGGGTATCTAAKCC</t>
        </is>
      </c>
      <c r="C16" s="19" t="inlineStr">
        <is>
          <t>A3-R</t>
        </is>
      </c>
      <c r="D16" s="19" t="n">
        <v>4</v>
      </c>
      <c r="E16" s="21" t="n">
        <v>1</v>
      </c>
      <c r="F16" s="22">
        <f>E16*$B$6</f>
        <v/>
      </c>
      <c r="G16" s="23">
        <f>SUMIF($C$9:$C$24,C16,$E$9:$E$24)</f>
        <v/>
      </c>
      <c r="H16" s="19">
        <f>IF(ABS(G16-1)&lt;0.002,"OK","请检查")</f>
        <v/>
      </c>
    </row>
    <row r="17">
      <c r="A17" s="19" t="inlineStr">
        <is>
          <t>16S-A4-R.1</t>
        </is>
      </c>
      <c r="B17" s="20" t="inlineStr">
        <is>
          <t>CCCGTCAATTYCTTTRAGTTT</t>
        </is>
      </c>
      <c r="C17" s="19" t="inlineStr">
        <is>
          <t>A4-R</t>
        </is>
      </c>
      <c r="D17" s="19" t="n">
        <v>4</v>
      </c>
      <c r="E17" s="21" t="n">
        <v>1</v>
      </c>
      <c r="F17" s="22">
        <f>E17*$B$6</f>
        <v/>
      </c>
      <c r="G17" s="23">
        <f>SUMIF($C$9:$C$24,C17,$E$9:$E$24)</f>
        <v/>
      </c>
      <c r="H17" s="19">
        <f>IF(ABS(G17-1)&lt;0.002,"OK","请检查")</f>
        <v/>
      </c>
    </row>
    <row r="18">
      <c r="A18" s="19" t="inlineStr">
        <is>
          <t>16S-A5-F.1</t>
        </is>
      </c>
      <c r="B18" s="20" t="inlineStr">
        <is>
          <t>MWACGCGARGAACCTTACC</t>
        </is>
      </c>
      <c r="C18" s="19" t="inlineStr">
        <is>
          <t>A5-F</t>
        </is>
      </c>
      <c r="D18" s="19" t="n">
        <v>8</v>
      </c>
      <c r="E18" s="21" t="n">
        <v>0.9</v>
      </c>
      <c r="F18" s="22">
        <f>E18*$B$6</f>
        <v/>
      </c>
      <c r="G18" s="23">
        <f>SUMIF($C$9:$C$24,C18,$E$9:$E$24)</f>
        <v/>
      </c>
      <c r="H18" s="19">
        <f>IF(ABS(G18-1)&lt;0.002,"OK","请检查")</f>
        <v/>
      </c>
    </row>
    <row r="19">
      <c r="A19" s="19" t="inlineStr">
        <is>
          <t>16S-A5-F.3s</t>
        </is>
      </c>
      <c r="B19" s="20" t="inlineStr">
        <is>
          <t>RTACMCGAARAACCTTACC</t>
        </is>
      </c>
      <c r="C19" s="19" t="inlineStr">
        <is>
          <t>A5-F</t>
        </is>
      </c>
      <c r="D19" s="19" t="n">
        <v>8</v>
      </c>
      <c r="E19" s="21" t="n">
        <v>0.1</v>
      </c>
      <c r="F19" s="22">
        <f>E19*$B$6</f>
        <v/>
      </c>
      <c r="G19" s="23">
        <f>SUMIF($C$9:$C$24,C19,$E$9:$E$24)</f>
        <v/>
      </c>
      <c r="H19" s="19">
        <f>IF(ABS(G19-1)&lt;0.002,"OK","请检查")</f>
        <v/>
      </c>
    </row>
    <row r="20">
      <c r="A20" s="19" t="inlineStr">
        <is>
          <t>16S-A5-R.1</t>
        </is>
      </c>
      <c r="B20" s="20" t="inlineStr">
        <is>
          <t>ACGTCRTCCYCACCTTCCY</t>
        </is>
      </c>
      <c r="C20" s="19" t="inlineStr">
        <is>
          <t>A5-R</t>
        </is>
      </c>
      <c r="D20" s="19" t="n">
        <v>8</v>
      </c>
      <c r="E20" s="21" t="n">
        <v>1</v>
      </c>
      <c r="F20" s="22">
        <f>E20*$B$6</f>
        <v/>
      </c>
      <c r="G20" s="23">
        <f>SUMIF($C$9:$C$24,C20,$E$9:$E$24)</f>
        <v/>
      </c>
      <c r="H20" s="19">
        <f>IF(ABS(G20-1)&lt;0.002,"OK","请检查")</f>
        <v/>
      </c>
    </row>
    <row r="21">
      <c r="A21" s="19" t="inlineStr">
        <is>
          <t>16S-A6-F.1</t>
        </is>
      </c>
      <c r="B21" s="20" t="inlineStr">
        <is>
          <t>GCKACACRCRTGCTACAAT</t>
        </is>
      </c>
      <c r="C21" s="19" t="inlineStr">
        <is>
          <t>A6-F</t>
        </is>
      </c>
      <c r="D21" s="19" t="n">
        <v>8</v>
      </c>
      <c r="E21" s="21" t="n">
        <v>0.433</v>
      </c>
      <c r="F21" s="22">
        <f>E21*$B$6</f>
        <v/>
      </c>
      <c r="G21" s="23">
        <f>SUMIF($C$9:$C$24,C21,$E$9:$E$24)</f>
        <v/>
      </c>
      <c r="H21" s="19">
        <f>IF(ABS(G21-1)&lt;0.002,"OK","请检查")</f>
        <v/>
      </c>
    </row>
    <row r="22">
      <c r="A22" s="19" t="inlineStr">
        <is>
          <t>16S-A6-F.2</t>
        </is>
      </c>
      <c r="B22" s="20" t="inlineStr">
        <is>
          <t>GCTACACACGTVMTACAAT</t>
        </is>
      </c>
      <c r="C22" s="19" t="inlineStr">
        <is>
          <t>A6-F</t>
        </is>
      </c>
      <c r="D22" s="19" t="n">
        <v>6</v>
      </c>
      <c r="E22" s="21" t="n">
        <v>0.467</v>
      </c>
      <c r="F22" s="22">
        <f>E22*$B$6</f>
        <v/>
      </c>
      <c r="G22" s="23">
        <f>SUMIF($C$9:$C$24,C22,$E$9:$E$24)</f>
        <v/>
      </c>
      <c r="H22" s="19">
        <f>IF(ABS(G22-1)&lt;0.002,"OK","请检查")</f>
        <v/>
      </c>
    </row>
    <row r="23">
      <c r="A23" s="19" t="inlineStr">
        <is>
          <t>16S-A6-F.3s</t>
        </is>
      </c>
      <c r="B23" s="20" t="inlineStr">
        <is>
          <t>GCTRCARRCGTGCTACAAT</t>
        </is>
      </c>
      <c r="C23" s="19" t="inlineStr">
        <is>
          <t>A6-F</t>
        </is>
      </c>
      <c r="D23" s="19" t="n">
        <v>8</v>
      </c>
      <c r="E23" s="21" t="n">
        <v>0.1</v>
      </c>
      <c r="F23" s="22">
        <f>E23*$B$6</f>
        <v/>
      </c>
      <c r="G23" s="23">
        <f>SUMIF($C$9:$C$24,C23,$E$9:$E$24)</f>
        <v/>
      </c>
      <c r="H23" s="19">
        <f>IF(ABS(G23-1)&lt;0.002,"OK","请检查")</f>
        <v/>
      </c>
    </row>
    <row r="24">
      <c r="A24" s="19" t="inlineStr">
        <is>
          <t>16S-A6-R</t>
        </is>
      </c>
      <c r="B24" s="20" t="inlineStr">
        <is>
          <t>GGYWACCTTGTTACGACTT</t>
        </is>
      </c>
      <c r="C24" s="19" t="inlineStr">
        <is>
          <t>A6-R</t>
        </is>
      </c>
      <c r="D24" s="19" t="n">
        <v>4</v>
      </c>
      <c r="E24" s="21" t="n">
        <v>1</v>
      </c>
      <c r="F24" s="22">
        <f>E24*$B$6</f>
        <v/>
      </c>
      <c r="G24" s="23">
        <f>SUMIF($C$9:$C$24,C24,$E$9:$E$24)</f>
        <v/>
      </c>
      <c r="H24" s="19">
        <f>IF(ABS(G24-1)&lt;0.002,"OK","请检查")</f>
        <v/>
      </c>
    </row>
    <row r="26">
      <c r="A26" s="13" t="inlineStr">
        <is>
          <t>合计</t>
        </is>
      </c>
      <c r="B26" s="15" t="inlineStr">
        <is>
          <t>← 寡核苷酸数（C 列）、展开序列总数（D 列）、母液总体积（F 列）</t>
        </is>
      </c>
      <c r="C26" s="13">
        <f>COUNTA(A9:A24)</f>
        <v/>
      </c>
      <c r="D26" s="13">
        <f>SUM(D9:D24)</f>
        <v/>
      </c>
      <c r="F26" s="24">
        <f>SUM(F9:F24)</f>
        <v/>
      </c>
    </row>
    <row r="27">
      <c r="A27" s="13" t="inlineStr">
        <is>
          <t>加水 µL</t>
        </is>
      </c>
      <c r="F27" s="24">
        <f>B4-F26</f>
        <v/>
      </c>
    </row>
    <row r="28">
      <c r="A28" s="13" t="inlineStr">
        <is>
          <t>总体积 µL</t>
        </is>
      </c>
      <c r="F28" s="24">
        <f>F26+F27</f>
        <v/>
      </c>
    </row>
    <row r="30">
      <c r="A30" s="15" t="inlineStr">
        <is>
          <t>用法：每 25 µL PCR 加 2.5 µL 10× 混合液。比例列是输入（蓝色），修改后体积自动更新；同位点内比例合计应为 100%。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10" customWidth="1" min="3" max="3"/>
    <col width="10" customWidth="1" min="4" max="4"/>
    <col width="14" customWidth="1" min="5" max="5"/>
    <col width="12" customWidth="1" min="6" max="6"/>
    <col width="14" customWidth="1" min="7" max="7"/>
    <col width="10" customWidth="1" min="8" max="8"/>
  </cols>
  <sheetData>
    <row r="1">
      <c r="A1" s="16" t="inlineStr">
        <is>
          <t>24 条池配制表（100 µL 的 10× 混合液）</t>
        </is>
      </c>
    </row>
    <row r="3">
      <c r="A3" s="13" t="inlineStr">
        <is>
          <t>母液浓度 µM</t>
        </is>
      </c>
      <c r="B3" s="17" t="n">
        <v>100</v>
      </c>
    </row>
    <row r="4">
      <c r="A4" s="13" t="inlineStr">
        <is>
          <t>10× 混合液体积 µL</t>
        </is>
      </c>
      <c r="B4" s="17" t="n">
        <v>100</v>
      </c>
    </row>
    <row r="5">
      <c r="A5" s="13" t="inlineStr">
        <is>
          <t>每个位点在 10× 混合液里的浓度 µM</t>
        </is>
      </c>
      <c r="B5" s="17" t="n">
        <v>2.5</v>
      </c>
      <c r="C5" s="15" t="inlineStr">
        <is>
          <t>终浓度 = 该值 ÷ 10 = 0.25 µM（250 nM）</t>
        </is>
      </c>
    </row>
    <row r="6">
      <c r="A6" s="13" t="inlineStr">
        <is>
          <t>每个位点的母液体积 µL</t>
        </is>
      </c>
      <c r="B6" s="18">
        <f>B4*B5/B3</f>
        <v/>
      </c>
      <c r="C6" s="15" t="inlineStr">
        <is>
          <t>公式：体积 × 浓度 ÷ 母液浓度</t>
        </is>
      </c>
    </row>
    <row r="8" ht="32" customHeight="1">
      <c r="A8" s="4" t="inlineStr">
        <is>
          <t>订购名称</t>
        </is>
      </c>
      <c r="B8" s="4" t="inlineStr">
        <is>
          <t>序列 5′→3′</t>
        </is>
      </c>
      <c r="C8" s="4" t="inlineStr">
        <is>
          <t>引物位点</t>
        </is>
      </c>
      <c r="D8" s="4" t="inlineStr">
        <is>
          <t>展开序列数</t>
        </is>
      </c>
      <c r="E8" s="4" t="inlineStr">
        <is>
          <t>位点内比例（输入）</t>
        </is>
      </c>
      <c r="F8" s="4" t="inlineStr">
        <is>
          <t>加入体积 µL</t>
        </is>
      </c>
      <c r="G8" s="4" t="inlineStr">
        <is>
          <t>位点内比例合计</t>
        </is>
      </c>
      <c r="H8" s="4" t="inlineStr">
        <is>
          <t>核对</t>
        </is>
      </c>
    </row>
    <row r="9">
      <c r="A9" s="19" t="inlineStr">
        <is>
          <t>16S-A1-F</t>
        </is>
      </c>
      <c r="B9" s="20" t="inlineStr">
        <is>
          <t>AGRGTTTGATYMTGGCT</t>
        </is>
      </c>
      <c r="C9" s="19" t="inlineStr">
        <is>
          <t>A1-F</t>
        </is>
      </c>
      <c r="D9" s="19" t="n">
        <v>8</v>
      </c>
      <c r="E9" s="21" t="n">
        <v>0.503</v>
      </c>
      <c r="F9" s="22">
        <f>E9*$B$6</f>
        <v/>
      </c>
      <c r="G9" s="23">
        <f>SUMIF($C$9:$C$32,C9,$E$9:$E$32)</f>
        <v/>
      </c>
      <c r="H9" s="19">
        <f>IF(ABS(G9-1)&lt;0.002,"OK","请检查")</f>
        <v/>
      </c>
    </row>
    <row r="10">
      <c r="A10" s="19" t="inlineStr">
        <is>
          <t>16S-A1-F.SNAP</t>
        </is>
      </c>
      <c r="B10" s="20" t="inlineStr">
        <is>
          <t>GAGTTTGATCMTGGCTCAG</t>
        </is>
      </c>
      <c r="C10" s="19" t="inlineStr">
        <is>
          <t>A1-F</t>
        </is>
      </c>
      <c r="D10" s="19" t="n">
        <v>2</v>
      </c>
      <c r="E10" s="21" t="n">
        <v>0.497</v>
      </c>
      <c r="F10" s="22">
        <f>E10*$B$6</f>
        <v/>
      </c>
      <c r="G10" s="23">
        <f>SUMIF($C$9:$C$32,C10,$E$9:$E$32)</f>
        <v/>
      </c>
      <c r="H10" s="19">
        <f>IF(ABS(G10-1)&lt;0.002,"OK","请检查")</f>
        <v/>
      </c>
    </row>
    <row r="11">
      <c r="A11" s="19" t="inlineStr">
        <is>
          <t>16S-A1-R.1</t>
        </is>
      </c>
      <c r="B11" s="20" t="inlineStr">
        <is>
          <t>TTACCYCACCAACWARCT</t>
        </is>
      </c>
      <c r="C11" s="19" t="inlineStr">
        <is>
          <t>A1-R</t>
        </is>
      </c>
      <c r="D11" s="19" t="n">
        <v>8</v>
      </c>
      <c r="E11" s="21" t="n">
        <v>0.396</v>
      </c>
      <c r="F11" s="22">
        <f>E11*$B$6</f>
        <v/>
      </c>
      <c r="G11" s="23">
        <f>SUMIF($C$9:$C$32,C11,$E$9:$E$32)</f>
        <v/>
      </c>
      <c r="H11" s="19">
        <f>IF(ABS(G11-1)&lt;0.002,"OK","请检查")</f>
        <v/>
      </c>
    </row>
    <row r="12">
      <c r="A12" s="19" t="inlineStr">
        <is>
          <t>16S-A1-R.2</t>
        </is>
      </c>
      <c r="B12" s="20" t="inlineStr">
        <is>
          <t>TTACCCCRCCAACTABCT</t>
        </is>
      </c>
      <c r="C12" s="19" t="inlineStr">
        <is>
          <t>A1-R</t>
        </is>
      </c>
      <c r="D12" s="19" t="n">
        <v>6</v>
      </c>
      <c r="E12" s="21" t="n">
        <v>0.362</v>
      </c>
      <c r="F12" s="22">
        <f>E12*$B$6</f>
        <v/>
      </c>
      <c r="G12" s="23">
        <f>SUMIF($C$9:$C$32,C12,$E$9:$E$32)</f>
        <v/>
      </c>
      <c r="H12" s="19">
        <f>IF(ABS(G12-1)&lt;0.002,"OK","请检查")</f>
        <v/>
      </c>
    </row>
    <row r="13">
      <c r="A13" s="19" t="inlineStr">
        <is>
          <t>16S-A1-R.3</t>
        </is>
      </c>
      <c r="B13" s="20" t="inlineStr">
        <is>
          <t>CGTTACCYTACCAACTARYT</t>
        </is>
      </c>
      <c r="C13" s="19" t="inlineStr">
        <is>
          <t>A1-R</t>
        </is>
      </c>
      <c r="D13" s="19" t="n">
        <v>8</v>
      </c>
      <c r="E13" s="21" t="n">
        <v>0.142</v>
      </c>
      <c r="F13" s="22">
        <f>E13*$B$6</f>
        <v/>
      </c>
      <c r="G13" s="23">
        <f>SUMIF($C$9:$C$32,C13,$E$9:$E$32)</f>
        <v/>
      </c>
      <c r="H13" s="19">
        <f>IF(ABS(G13-1)&lt;0.002,"OK","请检查")</f>
        <v/>
      </c>
    </row>
    <row r="14">
      <c r="A14" s="19" t="inlineStr">
        <is>
          <t>16S-A1-R.4s</t>
        </is>
      </c>
      <c r="B14" s="20" t="inlineStr">
        <is>
          <t>CATTACCCYACCAACTARYT</t>
        </is>
      </c>
      <c r="C14" s="19" t="inlineStr">
        <is>
          <t>A1-R</t>
        </is>
      </c>
      <c r="D14" s="19" t="n">
        <v>8</v>
      </c>
      <c r="E14" s="21" t="n">
        <v>0.1</v>
      </c>
      <c r="F14" s="22">
        <f>E14*$B$6</f>
        <v/>
      </c>
      <c r="G14" s="23">
        <f>SUMIF($C$9:$C$32,C14,$E$9:$E$32)</f>
        <v/>
      </c>
      <c r="H14" s="19">
        <f>IF(ABS(G14-1)&lt;0.002,"OK","请检查")</f>
        <v/>
      </c>
    </row>
    <row r="15">
      <c r="A15" s="19" t="inlineStr">
        <is>
          <t>16S-A2-F.1</t>
        </is>
      </c>
      <c r="B15" s="20" t="inlineStr">
        <is>
          <t>ACWYCTACGGGWGGCAGCA</t>
        </is>
      </c>
      <c r="C15" s="19" t="inlineStr">
        <is>
          <t>A2-F</t>
        </is>
      </c>
      <c r="D15" s="19" t="n">
        <v>8</v>
      </c>
      <c r="E15" s="21" t="n">
        <v>0.9</v>
      </c>
      <c r="F15" s="22">
        <f>E15*$B$6</f>
        <v/>
      </c>
      <c r="G15" s="23">
        <f>SUMIF($C$9:$C$32,C15,$E$9:$E$32)</f>
        <v/>
      </c>
      <c r="H15" s="19">
        <f>IF(ABS(G15-1)&lt;0.002,"OK","请检查")</f>
        <v/>
      </c>
    </row>
    <row r="16">
      <c r="A16" s="19" t="inlineStr">
        <is>
          <t>16S-A2-F.2s</t>
        </is>
      </c>
      <c r="B16" s="20" t="inlineStr">
        <is>
          <t>ACTCCTACGGGAAGCASMA</t>
        </is>
      </c>
      <c r="C16" s="19" t="inlineStr">
        <is>
          <t>A2-F</t>
        </is>
      </c>
      <c r="D16" s="19" t="n">
        <v>4</v>
      </c>
      <c r="E16" s="21" t="n">
        <v>0.1</v>
      </c>
      <c r="F16" s="22">
        <f>E16*$B$6</f>
        <v/>
      </c>
      <c r="G16" s="23">
        <f>SUMIF($C$9:$C$32,C16,$E$9:$E$32)</f>
        <v/>
      </c>
      <c r="H16" s="19">
        <f>IF(ABS(G16-1)&lt;0.002,"OK","请检查")</f>
        <v/>
      </c>
    </row>
    <row r="17">
      <c r="A17" s="19" t="inlineStr">
        <is>
          <t>16S-A2-R</t>
        </is>
      </c>
      <c r="B17" s="20" t="inlineStr">
        <is>
          <t>TATTACCGCGRCTGCTGGCA</t>
        </is>
      </c>
      <c r="C17" s="19" t="inlineStr">
        <is>
          <t>A2-R</t>
        </is>
      </c>
      <c r="D17" s="19" t="n">
        <v>2</v>
      </c>
      <c r="E17" s="21" t="n">
        <v>1</v>
      </c>
      <c r="F17" s="22">
        <f>E17*$B$6</f>
        <v/>
      </c>
      <c r="G17" s="23">
        <f>SUMIF($C$9:$C$32,C17,$E$9:$E$32)</f>
        <v/>
      </c>
      <c r="H17" s="19">
        <f>IF(ABS(G17-1)&lt;0.002,"OK","请检查")</f>
        <v/>
      </c>
    </row>
    <row r="18">
      <c r="A18" s="19" t="inlineStr">
        <is>
          <t>16S-A3-F.1</t>
        </is>
      </c>
      <c r="B18" s="20" t="inlineStr">
        <is>
          <t>GGAWTYAYTGGGCGTAAAG</t>
        </is>
      </c>
      <c r="C18" s="19" t="inlineStr">
        <is>
          <t>A3-F</t>
        </is>
      </c>
      <c r="D18" s="19" t="n">
        <v>8</v>
      </c>
      <c r="E18" s="21" t="n">
        <v>0.855</v>
      </c>
      <c r="F18" s="22">
        <f>E18*$B$6</f>
        <v/>
      </c>
      <c r="G18" s="23">
        <f>SUMIF($C$9:$C$32,C18,$E$9:$E$32)</f>
        <v/>
      </c>
      <c r="H18" s="19">
        <f>IF(ABS(G18-1)&lt;0.002,"OK","请检查")</f>
        <v/>
      </c>
    </row>
    <row r="19">
      <c r="A19" s="19" t="inlineStr">
        <is>
          <t>16S-A3-F.2</t>
        </is>
      </c>
      <c r="B19" s="20" t="inlineStr">
        <is>
          <t>CGGRAWTYATTGGGTTTAAAG</t>
        </is>
      </c>
      <c r="C19" s="19" t="inlineStr">
        <is>
          <t>A3-F</t>
        </is>
      </c>
      <c r="D19" s="19" t="n">
        <v>8</v>
      </c>
      <c r="E19" s="21" t="n">
        <v>0.145</v>
      </c>
      <c r="F19" s="22">
        <f>E19*$B$6</f>
        <v/>
      </c>
      <c r="G19" s="23">
        <f>SUMIF($C$9:$C$32,C19,$E$9:$E$32)</f>
        <v/>
      </c>
      <c r="H19" s="19">
        <f>IF(ABS(G19-1)&lt;0.002,"OK","请检查")</f>
        <v/>
      </c>
    </row>
    <row r="20">
      <c r="A20" s="19" t="inlineStr">
        <is>
          <t>16S-A3-R</t>
        </is>
      </c>
      <c r="B20" s="20" t="inlineStr">
        <is>
          <t>ACTACCRGGGTATCTAAKCC</t>
        </is>
      </c>
      <c r="C20" s="19" t="inlineStr">
        <is>
          <t>A3-R</t>
        </is>
      </c>
      <c r="D20" s="19" t="n">
        <v>4</v>
      </c>
      <c r="E20" s="21" t="n">
        <v>1</v>
      </c>
      <c r="F20" s="22">
        <f>E20*$B$6</f>
        <v/>
      </c>
      <c r="G20" s="23">
        <f>SUMIF($C$9:$C$32,C20,$E$9:$E$32)</f>
        <v/>
      </c>
      <c r="H20" s="19">
        <f>IF(ABS(G20-1)&lt;0.002,"OK","请检查")</f>
        <v/>
      </c>
    </row>
    <row r="21">
      <c r="A21" s="19" t="inlineStr">
        <is>
          <t>16S-A4-R.1</t>
        </is>
      </c>
      <c r="B21" s="20" t="inlineStr">
        <is>
          <t>CCCGTCAATTYCTTTRAGTTT</t>
        </is>
      </c>
      <c r="C21" s="19" t="inlineStr">
        <is>
          <t>A4-R</t>
        </is>
      </c>
      <c r="D21" s="19" t="n">
        <v>4</v>
      </c>
      <c r="E21" s="21" t="n">
        <v>0.333</v>
      </c>
      <c r="F21" s="22">
        <f>E21*$B$6</f>
        <v/>
      </c>
      <c r="G21" s="23">
        <f>SUMIF($C$9:$C$32,C21,$E$9:$E$32)</f>
        <v/>
      </c>
      <c r="H21" s="19">
        <f>IF(ABS(G21-1)&lt;0.002,"OK","请检查")</f>
        <v/>
      </c>
    </row>
    <row r="22">
      <c r="A22" s="19" t="inlineStr">
        <is>
          <t>16S-A4-R.2</t>
        </is>
      </c>
      <c r="B22" s="20" t="inlineStr">
        <is>
          <t>CCCGTCAATTCCTTTGAGYYY</t>
        </is>
      </c>
      <c r="C22" s="19" t="inlineStr">
        <is>
          <t>A4-R</t>
        </is>
      </c>
      <c r="D22" s="19" t="n">
        <v>8</v>
      </c>
      <c r="E22" s="21" t="n">
        <v>0.334</v>
      </c>
      <c r="F22" s="22">
        <f>E22*$B$6</f>
        <v/>
      </c>
      <c r="G22" s="23">
        <f>SUMIF($C$9:$C$32,C22,$E$9:$E$32)</f>
        <v/>
      </c>
      <c r="H22" s="19">
        <f>IF(ABS(G22-1)&lt;0.002,"OK","请检查")</f>
        <v/>
      </c>
    </row>
    <row r="23">
      <c r="A23" s="19" t="inlineStr">
        <is>
          <t>16S-A4-R.SNAP</t>
        </is>
      </c>
      <c r="B23" s="20" t="inlineStr">
        <is>
          <t>CCGTCAATTCMTTTGAGTTT</t>
        </is>
      </c>
      <c r="C23" s="19" t="inlineStr">
        <is>
          <t>A4-R</t>
        </is>
      </c>
      <c r="D23" s="19" t="n">
        <v>2</v>
      </c>
      <c r="E23" s="21" t="n">
        <v>0.333</v>
      </c>
      <c r="F23" s="22">
        <f>E23*$B$6</f>
        <v/>
      </c>
      <c r="G23" s="23">
        <f>SUMIF($C$9:$C$32,C23,$E$9:$E$32)</f>
        <v/>
      </c>
      <c r="H23" s="19">
        <f>IF(ABS(G23-1)&lt;0.002,"OK","请检查")</f>
        <v/>
      </c>
    </row>
    <row r="24">
      <c r="A24" s="19" t="inlineStr">
        <is>
          <t>16S-A5-F.1</t>
        </is>
      </c>
      <c r="B24" s="20" t="inlineStr">
        <is>
          <t>MWACGCGARGAACCTTACC</t>
        </is>
      </c>
      <c r="C24" s="19" t="inlineStr">
        <is>
          <t>A5-F</t>
        </is>
      </c>
      <c r="D24" s="19" t="n">
        <v>8</v>
      </c>
      <c r="E24" s="21" t="n">
        <v>0.553</v>
      </c>
      <c r="F24" s="22">
        <f>E24*$B$6</f>
        <v/>
      </c>
      <c r="G24" s="23">
        <f>SUMIF($C$9:$C$32,C24,$E$9:$E$32)</f>
        <v/>
      </c>
      <c r="H24" s="19">
        <f>IF(ABS(G24-1)&lt;0.002,"OK","请检查")</f>
        <v/>
      </c>
    </row>
    <row r="25">
      <c r="A25" s="19" t="inlineStr">
        <is>
          <t>16S-A5-F.2</t>
        </is>
      </c>
      <c r="B25" s="20" t="inlineStr">
        <is>
          <t>MWACMCGAAGAACCTTACC</t>
        </is>
      </c>
      <c r="C25" s="19" t="inlineStr">
        <is>
          <t>A5-F</t>
        </is>
      </c>
      <c r="D25" s="19" t="n">
        <v>8</v>
      </c>
      <c r="E25" s="21" t="n">
        <v>0.347</v>
      </c>
      <c r="F25" s="22">
        <f>E25*$B$6</f>
        <v/>
      </c>
      <c r="G25" s="23">
        <f>SUMIF($C$9:$C$32,C25,$E$9:$E$32)</f>
        <v/>
      </c>
      <c r="H25" s="19">
        <f>IF(ABS(G25-1)&lt;0.002,"OK","请检查")</f>
        <v/>
      </c>
    </row>
    <row r="26">
      <c r="A26" s="19" t="inlineStr">
        <is>
          <t>16S-A5-F.3s</t>
        </is>
      </c>
      <c r="B26" s="20" t="inlineStr">
        <is>
          <t>RTACMCGAARAACCTTACC</t>
        </is>
      </c>
      <c r="C26" s="19" t="inlineStr">
        <is>
          <t>A5-F</t>
        </is>
      </c>
      <c r="D26" s="19" t="n">
        <v>8</v>
      </c>
      <c r="E26" s="21" t="n">
        <v>0.1</v>
      </c>
      <c r="F26" s="22">
        <f>E26*$B$6</f>
        <v/>
      </c>
      <c r="G26" s="23">
        <f>SUMIF($C$9:$C$32,C26,$E$9:$E$32)</f>
        <v/>
      </c>
      <c r="H26" s="19">
        <f>IF(ABS(G26-1)&lt;0.002,"OK","请检查")</f>
        <v/>
      </c>
    </row>
    <row r="27">
      <c r="A27" s="19" t="inlineStr">
        <is>
          <t>16S-A5-R.1</t>
        </is>
      </c>
      <c r="B27" s="20" t="inlineStr">
        <is>
          <t>ACGTCRTCCYCACCTTCCY</t>
        </is>
      </c>
      <c r="C27" s="19" t="inlineStr">
        <is>
          <t>A5-R</t>
        </is>
      </c>
      <c r="D27" s="19" t="n">
        <v>8</v>
      </c>
      <c r="E27" s="21" t="n">
        <v>0.9</v>
      </c>
      <c r="F27" s="22">
        <f>E27*$B$6</f>
        <v/>
      </c>
      <c r="G27" s="23">
        <f>SUMIF($C$9:$C$32,C27,$E$9:$E$32)</f>
        <v/>
      </c>
      <c r="H27" s="19">
        <f>IF(ABS(G27-1)&lt;0.002,"OK","请检查")</f>
        <v/>
      </c>
    </row>
    <row r="28">
      <c r="A28" s="19" t="inlineStr">
        <is>
          <t>16S-A5-R.2s</t>
        </is>
      </c>
      <c r="B28" s="20" t="inlineStr">
        <is>
          <t>TGACGTCATCCTYWCCTTCMT</t>
        </is>
      </c>
      <c r="C28" s="19" t="inlineStr">
        <is>
          <t>A5-R</t>
        </is>
      </c>
      <c r="D28" s="19" t="n">
        <v>8</v>
      </c>
      <c r="E28" s="21" t="n">
        <v>0.1</v>
      </c>
      <c r="F28" s="22">
        <f>E28*$B$6</f>
        <v/>
      </c>
      <c r="G28" s="23">
        <f>SUMIF($C$9:$C$32,C28,$E$9:$E$32)</f>
        <v/>
      </c>
      <c r="H28" s="19">
        <f>IF(ABS(G28-1)&lt;0.002,"OK","请检查")</f>
        <v/>
      </c>
    </row>
    <row r="29">
      <c r="A29" s="19" t="inlineStr">
        <is>
          <t>16S-A6-F.1</t>
        </is>
      </c>
      <c r="B29" s="20" t="inlineStr">
        <is>
          <t>GCKACACRCRTGCTACAAT</t>
        </is>
      </c>
      <c r="C29" s="19" t="inlineStr">
        <is>
          <t>A6-F</t>
        </is>
      </c>
      <c r="D29" s="19" t="n">
        <v>8</v>
      </c>
      <c r="E29" s="21" t="n">
        <v>0.433</v>
      </c>
      <c r="F29" s="22">
        <f>E29*$B$6</f>
        <v/>
      </c>
      <c r="G29" s="23">
        <f>SUMIF($C$9:$C$32,C29,$E$9:$E$32)</f>
        <v/>
      </c>
      <c r="H29" s="19">
        <f>IF(ABS(G29-1)&lt;0.002,"OK","请检查")</f>
        <v/>
      </c>
    </row>
    <row r="30">
      <c r="A30" s="19" t="inlineStr">
        <is>
          <t>16S-A6-F.2</t>
        </is>
      </c>
      <c r="B30" s="20" t="inlineStr">
        <is>
          <t>GCTACACACGTVMTACAAT</t>
        </is>
      </c>
      <c r="C30" s="19" t="inlineStr">
        <is>
          <t>A6-F</t>
        </is>
      </c>
      <c r="D30" s="19" t="n">
        <v>6</v>
      </c>
      <c r="E30" s="21" t="n">
        <v>0.467</v>
      </c>
      <c r="F30" s="22">
        <f>E30*$B$6</f>
        <v/>
      </c>
      <c r="G30" s="23">
        <f>SUMIF($C$9:$C$32,C30,$E$9:$E$32)</f>
        <v/>
      </c>
      <c r="H30" s="19">
        <f>IF(ABS(G30-1)&lt;0.002,"OK","请检查")</f>
        <v/>
      </c>
    </row>
    <row r="31">
      <c r="A31" s="19" t="inlineStr">
        <is>
          <t>16S-A6-F.3s</t>
        </is>
      </c>
      <c r="B31" s="20" t="inlineStr">
        <is>
          <t>GCTRCARRCGTGCTACAAT</t>
        </is>
      </c>
      <c r="C31" s="19" t="inlineStr">
        <is>
          <t>A6-F</t>
        </is>
      </c>
      <c r="D31" s="19" t="n">
        <v>8</v>
      </c>
      <c r="E31" s="21" t="n">
        <v>0.1</v>
      </c>
      <c r="F31" s="22">
        <f>E31*$B$6</f>
        <v/>
      </c>
      <c r="G31" s="23">
        <f>SUMIF($C$9:$C$32,C31,$E$9:$E$32)</f>
        <v/>
      </c>
      <c r="H31" s="19">
        <f>IF(ABS(G31-1)&lt;0.002,"OK","请检查")</f>
        <v/>
      </c>
    </row>
    <row r="32">
      <c r="A32" s="19" t="inlineStr">
        <is>
          <t>16S-A6-R</t>
        </is>
      </c>
      <c r="B32" s="20" t="inlineStr">
        <is>
          <t>GGYWACCTTGTTACGACTT</t>
        </is>
      </c>
      <c r="C32" s="19" t="inlineStr">
        <is>
          <t>A6-R</t>
        </is>
      </c>
      <c r="D32" s="19" t="n">
        <v>4</v>
      </c>
      <c r="E32" s="21" t="n">
        <v>1</v>
      </c>
      <c r="F32" s="22">
        <f>E32*$B$6</f>
        <v/>
      </c>
      <c r="G32" s="23">
        <f>SUMIF($C$9:$C$32,C32,$E$9:$E$32)</f>
        <v/>
      </c>
      <c r="H32" s="19">
        <f>IF(ABS(G32-1)&lt;0.002,"OK","请检查")</f>
        <v/>
      </c>
    </row>
    <row r="34">
      <c r="A34" s="13" t="inlineStr">
        <is>
          <t>合计</t>
        </is>
      </c>
      <c r="B34" s="15" t="inlineStr">
        <is>
          <t>← 寡核苷酸数（C 列）、展开序列总数（D 列）、母液总体积（F 列）</t>
        </is>
      </c>
      <c r="C34" s="13">
        <f>COUNTA(A9:A32)</f>
        <v/>
      </c>
      <c r="D34" s="13">
        <f>SUM(D9:D32)</f>
        <v/>
      </c>
      <c r="F34" s="24">
        <f>SUM(F9:F32)</f>
        <v/>
      </c>
    </row>
    <row r="35">
      <c r="A35" s="13" t="inlineStr">
        <is>
          <t>加水 µL</t>
        </is>
      </c>
      <c r="F35" s="24">
        <f>B4-F34</f>
        <v/>
      </c>
    </row>
    <row r="36">
      <c r="A36" s="13" t="inlineStr">
        <is>
          <t>总体积 µL</t>
        </is>
      </c>
      <c r="F36" s="24">
        <f>F34+F35</f>
        <v/>
      </c>
    </row>
    <row r="38">
      <c r="A38" s="15" t="inlineStr">
        <is>
          <t>用法：每 25 µL PCR 加 2.5 µL 10× 混合液。比例列是输入（蓝色），修改后体积自动更新；同位点内比例合计应为 100%。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18" customWidth="1" min="3" max="3"/>
    <col width="10" customWidth="1" min="4" max="4"/>
    <col width="18" customWidth="1" min="5" max="5"/>
  </cols>
  <sheetData>
    <row r="1">
      <c r="A1" s="4" t="inlineStr">
        <is>
          <t>订购名称</t>
        </is>
      </c>
      <c r="B1" s="4" t="inlineStr">
        <is>
          <t>分析里的旧名（早期页面和文件）</t>
        </is>
      </c>
      <c r="C1" s="4" t="inlineStr">
        <is>
          <t>订购名称对应的位点</t>
        </is>
      </c>
      <c r="D1" s="4" t="inlineStr">
        <is>
          <t>区域</t>
        </is>
      </c>
      <c r="E1" s="4" t="inlineStr">
        <is>
          <t>说明</t>
        </is>
      </c>
    </row>
    <row r="2">
      <c r="A2" s="19" t="inlineStr">
        <is>
          <t>16S-A1-F</t>
        </is>
      </c>
      <c r="B2" s="19" t="inlineStr">
        <is>
          <t>A1-F</t>
        </is>
      </c>
      <c r="C2" s="19" t="inlineStr">
        <is>
          <t>A1-F</t>
        </is>
      </c>
      <c r="D2" s="19" t="inlineStr">
        <is>
          <t>V1·V2</t>
        </is>
      </c>
      <c r="E2" s="19" t="inlineStr"/>
    </row>
    <row r="3">
      <c r="A3" s="19" t="inlineStr">
        <is>
          <t>16S-A1-F.SNAP</t>
        </is>
      </c>
      <c r="B3" s="19" t="inlineStr">
        <is>
          <t>A1-F.V1f（SNAP）</t>
        </is>
      </c>
      <c r="C3" s="19" t="inlineStr">
        <is>
          <t>A1-F</t>
        </is>
      </c>
      <c r="D3" s="19" t="inlineStr">
        <is>
          <t>V1·V2</t>
        </is>
      </c>
      <c r="E3" s="19" t="inlineStr">
        <is>
          <t>借鉴 Swift SNAP</t>
        </is>
      </c>
    </row>
    <row r="4">
      <c r="A4" s="19" t="inlineStr">
        <is>
          <t>16S-A1-R.1</t>
        </is>
      </c>
      <c r="B4" s="19" t="inlineStr">
        <is>
          <t>A1-R.1</t>
        </is>
      </c>
      <c r="C4" s="19" t="inlineStr">
        <is>
          <t>A1-R</t>
        </is>
      </c>
      <c r="D4" s="19" t="inlineStr">
        <is>
          <t>V1·V2</t>
        </is>
      </c>
      <c r="E4" s="19" t="inlineStr"/>
    </row>
    <row r="5">
      <c r="A5" s="19" t="inlineStr">
        <is>
          <t>16S-A1-R.2</t>
        </is>
      </c>
      <c r="B5" s="19" t="inlineStr">
        <is>
          <t>A1-R.2</t>
        </is>
      </c>
      <c r="C5" s="19" t="inlineStr">
        <is>
          <t>A1-R</t>
        </is>
      </c>
      <c r="D5" s="19" t="inlineStr">
        <is>
          <t>V1·V2</t>
        </is>
      </c>
      <c r="E5" s="19" t="inlineStr"/>
    </row>
    <row r="6">
      <c r="A6" s="19" t="inlineStr">
        <is>
          <t>16S-A1-R.3</t>
        </is>
      </c>
      <c r="B6" s="19" t="inlineStr">
        <is>
          <t>A1-R.3</t>
        </is>
      </c>
      <c r="C6" s="19" t="inlineStr">
        <is>
          <t>A1-R</t>
        </is>
      </c>
      <c r="D6" s="19" t="inlineStr">
        <is>
          <t>V1·V2</t>
        </is>
      </c>
      <c r="E6" s="19" t="inlineStr"/>
    </row>
    <row r="7">
      <c r="A7" s="19" t="inlineStr">
        <is>
          <t>16S-A1-R.4s</t>
        </is>
      </c>
      <c r="B7" s="19" t="inlineStr">
        <is>
          <t>A1-R.4（补充）</t>
        </is>
      </c>
      <c r="C7" s="19" t="inlineStr">
        <is>
          <t>A1-R</t>
        </is>
      </c>
      <c r="D7" s="19" t="inlineStr">
        <is>
          <t>V1·V2</t>
        </is>
      </c>
      <c r="E7" s="19" t="inlineStr">
        <is>
          <t>支原体补充</t>
        </is>
      </c>
    </row>
    <row r="8">
      <c r="A8" s="19" t="inlineStr">
        <is>
          <t>16S-A2-F.1</t>
        </is>
      </c>
      <c r="B8" s="19" t="inlineStr">
        <is>
          <t>A2-F.1</t>
        </is>
      </c>
      <c r="C8" s="19" t="inlineStr">
        <is>
          <t>A2-F</t>
        </is>
      </c>
      <c r="D8" s="19" t="inlineStr">
        <is>
          <t>V3</t>
        </is>
      </c>
      <c r="E8" s="19" t="inlineStr"/>
    </row>
    <row r="9">
      <c r="A9" s="19" t="inlineStr">
        <is>
          <t>16S-A2-F.2s</t>
        </is>
      </c>
      <c r="B9" s="19" t="inlineStr">
        <is>
          <t>A2-F.2（补充）</t>
        </is>
      </c>
      <c r="C9" s="19" t="inlineStr">
        <is>
          <t>A2-F</t>
        </is>
      </c>
      <c r="D9" s="19" t="inlineStr">
        <is>
          <t>V3</t>
        </is>
      </c>
      <c r="E9" s="19" t="inlineStr">
        <is>
          <t>支原体补充</t>
        </is>
      </c>
    </row>
    <row r="10">
      <c r="A10" s="19" t="inlineStr">
        <is>
          <t>16S-A2-R</t>
        </is>
      </c>
      <c r="B10" s="19" t="inlineStr">
        <is>
          <t>A2-R</t>
        </is>
      </c>
      <c r="C10" s="19" t="inlineStr">
        <is>
          <t>A2-R</t>
        </is>
      </c>
      <c r="D10" s="19" t="inlineStr">
        <is>
          <t>V3</t>
        </is>
      </c>
      <c r="E10" s="19" t="inlineStr"/>
    </row>
    <row r="11">
      <c r="A11" s="19" t="inlineStr">
        <is>
          <t>16S-A3-F.1</t>
        </is>
      </c>
      <c r="B11" s="19" t="inlineStr">
        <is>
          <t>A3-F.1</t>
        </is>
      </c>
      <c r="C11" s="19" t="inlineStr">
        <is>
          <t>A3-F</t>
        </is>
      </c>
      <c r="D11" s="19" t="inlineStr">
        <is>
          <t>V4</t>
        </is>
      </c>
      <c r="E11" s="19" t="inlineStr"/>
    </row>
    <row r="12">
      <c r="A12" s="19" t="inlineStr">
        <is>
          <t>16S-A3-F.2</t>
        </is>
      </c>
      <c r="B12" s="19" t="inlineStr">
        <is>
          <t>A3-F.2</t>
        </is>
      </c>
      <c r="C12" s="19" t="inlineStr">
        <is>
          <t>A3-F</t>
        </is>
      </c>
      <c r="D12" s="19" t="inlineStr">
        <is>
          <t>V4</t>
        </is>
      </c>
      <c r="E12" s="19" t="inlineStr"/>
    </row>
    <row r="13">
      <c r="A13" s="19" t="inlineStr">
        <is>
          <t>16S-A3-R</t>
        </is>
      </c>
      <c r="B13" s="19" t="inlineStr">
        <is>
          <t>A3-R</t>
        </is>
      </c>
      <c r="C13" s="19" t="inlineStr">
        <is>
          <t>A3-R</t>
        </is>
      </c>
      <c r="D13" s="19" t="inlineStr">
        <is>
          <t>V4</t>
        </is>
      </c>
      <c r="E13" s="19" t="inlineStr"/>
    </row>
    <row r="14">
      <c r="A14" s="19" t="inlineStr">
        <is>
          <t>16S-A4-R.1</t>
        </is>
      </c>
      <c r="B14" s="19" t="inlineStr">
        <is>
          <t>V5-R.1</t>
        </is>
      </c>
      <c r="C14" s="19" t="inlineStr">
        <is>
          <t>A4-R</t>
        </is>
      </c>
      <c r="D14" s="19" t="inlineStr">
        <is>
          <t>V5</t>
        </is>
      </c>
      <c r="E14" s="19" t="inlineStr"/>
    </row>
    <row r="15">
      <c r="A15" s="19" t="inlineStr">
        <is>
          <t>16S-A4-R.2</t>
        </is>
      </c>
      <c r="B15" s="19" t="inlineStr">
        <is>
          <t>V5-R.2</t>
        </is>
      </c>
      <c r="C15" s="19" t="inlineStr">
        <is>
          <t>A4-R</t>
        </is>
      </c>
      <c r="D15" s="19" t="inlineStr">
        <is>
          <t>V5</t>
        </is>
      </c>
      <c r="E15" s="19" t="inlineStr"/>
    </row>
    <row r="16">
      <c r="A16" s="19" t="inlineStr">
        <is>
          <t>16S-A4-R.SNAP</t>
        </is>
      </c>
      <c r="B16" s="19" t="inlineStr">
        <is>
          <t>V5-R.907R（SNAP）</t>
        </is>
      </c>
      <c r="C16" s="19" t="inlineStr">
        <is>
          <t>A4-R</t>
        </is>
      </c>
      <c r="D16" s="19" t="inlineStr">
        <is>
          <t>V5</t>
        </is>
      </c>
      <c r="E16" s="19" t="inlineStr">
        <is>
          <t>借鉴 Swift SNAP</t>
        </is>
      </c>
    </row>
    <row r="17">
      <c r="A17" s="19" t="inlineStr">
        <is>
          <t>16S-A5-F.1</t>
        </is>
      </c>
      <c r="B17" s="19" t="inlineStr">
        <is>
          <t>A4-F.1</t>
        </is>
      </c>
      <c r="C17" s="19" t="inlineStr">
        <is>
          <t>A5-F</t>
        </is>
      </c>
      <c r="D17" s="19" t="inlineStr">
        <is>
          <t>V6·V7</t>
        </is>
      </c>
      <c r="E17" s="19" t="inlineStr"/>
    </row>
    <row r="18">
      <c r="A18" s="19" t="inlineStr">
        <is>
          <t>16S-A5-F.2</t>
        </is>
      </c>
      <c r="B18" s="19" t="inlineStr">
        <is>
          <t>A4-F.2</t>
        </is>
      </c>
      <c r="C18" s="19" t="inlineStr">
        <is>
          <t>A5-F</t>
        </is>
      </c>
      <c r="D18" s="19" t="inlineStr">
        <is>
          <t>V6·V7</t>
        </is>
      </c>
      <c r="E18" s="19" t="inlineStr"/>
    </row>
    <row r="19">
      <c r="A19" s="19" t="inlineStr">
        <is>
          <t>16S-A5-F.3s</t>
        </is>
      </c>
      <c r="B19" s="19" t="inlineStr">
        <is>
          <t>A4-F.3（补充）</t>
        </is>
      </c>
      <c r="C19" s="19" t="inlineStr">
        <is>
          <t>A5-F</t>
        </is>
      </c>
      <c r="D19" s="19" t="inlineStr">
        <is>
          <t>V6·V7</t>
        </is>
      </c>
      <c r="E19" s="19" t="inlineStr">
        <is>
          <t>支原体补充</t>
        </is>
      </c>
    </row>
    <row r="20">
      <c r="A20" s="19" t="inlineStr">
        <is>
          <t>16S-A5-R.1</t>
        </is>
      </c>
      <c r="B20" s="19" t="inlineStr">
        <is>
          <t>A4-R.1</t>
        </is>
      </c>
      <c r="C20" s="19" t="inlineStr">
        <is>
          <t>A5-R</t>
        </is>
      </c>
      <c r="D20" s="19" t="inlineStr">
        <is>
          <t>V6·V7</t>
        </is>
      </c>
      <c r="E20" s="19" t="inlineStr"/>
    </row>
    <row r="21">
      <c r="A21" s="19" t="inlineStr">
        <is>
          <t>16S-A5-R.2s</t>
        </is>
      </c>
      <c r="B21" s="19" t="inlineStr">
        <is>
          <t>A4-R.2（补充）</t>
        </is>
      </c>
      <c r="C21" s="19" t="inlineStr">
        <is>
          <t>A5-R</t>
        </is>
      </c>
      <c r="D21" s="19" t="inlineStr">
        <is>
          <t>V6·V7</t>
        </is>
      </c>
      <c r="E21" s="19" t="inlineStr">
        <is>
          <t>支原体补充</t>
        </is>
      </c>
    </row>
    <row r="22">
      <c r="A22" s="19" t="inlineStr">
        <is>
          <t>16S-A6-F.1</t>
        </is>
      </c>
      <c r="B22" s="19" t="inlineStr">
        <is>
          <t>A5-F.1</t>
        </is>
      </c>
      <c r="C22" s="19" t="inlineStr">
        <is>
          <t>A6-F</t>
        </is>
      </c>
      <c r="D22" s="19" t="inlineStr">
        <is>
          <t>V8·V9</t>
        </is>
      </c>
      <c r="E22" s="19" t="inlineStr"/>
    </row>
    <row r="23">
      <c r="A23" s="19" t="inlineStr">
        <is>
          <t>16S-A6-F.2</t>
        </is>
      </c>
      <c r="B23" s="19" t="inlineStr">
        <is>
          <t>A5-F.2</t>
        </is>
      </c>
      <c r="C23" s="19" t="inlineStr">
        <is>
          <t>A6-F</t>
        </is>
      </c>
      <c r="D23" s="19" t="inlineStr">
        <is>
          <t>V8·V9</t>
        </is>
      </c>
      <c r="E23" s="19" t="inlineStr"/>
    </row>
    <row r="24">
      <c r="A24" s="19" t="inlineStr">
        <is>
          <t>16S-A6-F.3s</t>
        </is>
      </c>
      <c r="B24" s="19" t="inlineStr">
        <is>
          <t>A5-F.3（补充）</t>
        </is>
      </c>
      <c r="C24" s="19" t="inlineStr">
        <is>
          <t>A6-F</t>
        </is>
      </c>
      <c r="D24" s="19" t="inlineStr">
        <is>
          <t>V8·V9</t>
        </is>
      </c>
      <c r="E24" s="19" t="inlineStr">
        <is>
          <t>支原体补充</t>
        </is>
      </c>
    </row>
    <row r="25">
      <c r="A25" s="19" t="inlineStr">
        <is>
          <t>16S-A6-R</t>
        </is>
      </c>
      <c r="B25" s="19" t="inlineStr">
        <is>
          <t>A5-R</t>
        </is>
      </c>
      <c r="C25" s="19" t="inlineStr">
        <is>
          <t>A6-R</t>
        </is>
      </c>
      <c r="D25" s="19" t="inlineStr">
        <is>
          <t>V8·V9</t>
        </is>
      </c>
      <c r="E25" s="1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12" customWidth="1" min="4" max="4"/>
    <col width="70" customWidth="1" min="5" max="5"/>
  </cols>
  <sheetData>
    <row r="1">
      <c r="A1" s="16" t="inlineStr">
        <is>
          <t>三个池的评估摘要（序列层面的计算，非实测）</t>
        </is>
      </c>
    </row>
    <row r="3">
      <c r="A3" s="4" t="inlineStr">
        <is>
          <t>指标</t>
        </is>
      </c>
      <c r="B3" s="4" t="inlineStr">
        <is>
          <t>12 条池</t>
        </is>
      </c>
      <c r="C3" s="4" t="inlineStr">
        <is>
          <t>16 条池</t>
        </is>
      </c>
      <c r="D3" s="4" t="inlineStr">
        <is>
          <t>24 条池</t>
        </is>
      </c>
      <c r="E3" s="4" t="inlineStr">
        <is>
          <t>说明 / 来源</t>
        </is>
      </c>
    </row>
    <row r="4">
      <c r="A4" s="5" t="inlineStr">
        <is>
          <t>寡核苷酸数</t>
        </is>
      </c>
      <c r="B4" s="5">
        <f>'12 条池'!C22</f>
        <v/>
      </c>
      <c r="C4" s="5">
        <f>'16 条池'!C26</f>
        <v/>
      </c>
      <c r="D4" s="5">
        <f>'24 条池'!C34</f>
        <v/>
      </c>
      <c r="E4" s="6" t="inlineStr">
        <is>
          <t>公式：来自各池工作表的合计行</t>
        </is>
      </c>
    </row>
    <row r="5">
      <c r="A5" s="5" t="inlineStr">
        <is>
          <t>展开序列总数</t>
        </is>
      </c>
      <c r="B5" s="5">
        <f>'12 条池'!D22</f>
        <v/>
      </c>
      <c r="C5" s="5">
        <f>'16 条池'!D26</f>
        <v/>
      </c>
      <c r="D5" s="5">
        <f>'24 条池'!D34</f>
        <v/>
      </c>
      <c r="E5" s="6" t="inlineStr">
        <is>
          <t>公式：来自各池工作表的合计行</t>
        </is>
      </c>
    </row>
    <row r="6">
      <c r="A6" s="5" t="inlineStr">
        <is>
          <t>综合得分 J</t>
        </is>
      </c>
      <c r="B6" s="25" t="n">
        <v>0.8815</v>
      </c>
      <c r="C6" s="25" t="n">
        <v>0.9228</v>
      </c>
      <c r="D6" s="25" t="n">
        <v>0.9319</v>
      </c>
      <c r="E6" s="6" t="inlineStr">
        <is>
          <t>三项等权平均：属准确率（完整数据库）、扩增子覆盖（主要门平均）、支原体至少扩出 3 个扩增子；留出集 2,196 条序列</t>
        </is>
      </c>
    </row>
    <row r="7">
      <c r="A7" s="5" t="inlineStr">
        <is>
          <t>J 的 95% 区间下限</t>
        </is>
      </c>
      <c r="B7" s="25" t="n">
        <v>0.8696</v>
      </c>
      <c r="C7" s="25" t="n">
        <v>0.915</v>
      </c>
      <c r="D7" s="25" t="n">
        <v>0.9247</v>
      </c>
      <c r="E7" s="6" t="inlineStr">
        <is>
          <t>对样本序列 400 次自助重抽样</t>
        </is>
      </c>
    </row>
    <row r="8">
      <c r="A8" s="5" t="inlineStr">
        <is>
          <t>J 的 95% 区间上限</t>
        </is>
      </c>
      <c r="B8" s="25" t="n">
        <v>0.8913</v>
      </c>
      <c r="C8" s="25" t="n">
        <v>0.9301</v>
      </c>
      <c r="D8" s="25" t="n">
        <v>0.9385</v>
      </c>
      <c r="E8" s="6" t="inlineStr">
        <is>
          <t>同上</t>
        </is>
      </c>
    </row>
    <row r="9">
      <c r="A9" s="5" t="inlineStr">
        <is>
          <t>属准确率（完整数据库）</t>
        </is>
      </c>
      <c r="B9" s="26" t="n">
        <v>0.9383</v>
      </c>
      <c r="C9" s="26" t="n">
        <v>0.9394</v>
      </c>
      <c r="D9" s="26" t="n">
        <v>0.9413</v>
      </c>
      <c r="E9" s="6" t="inlineStr">
        <is>
          <t>属级最近邻，样本只有扩出的扩增子</t>
        </is>
      </c>
    </row>
    <row r="10">
      <c r="A10" s="5" t="inlineStr">
        <is>
          <t>扩增子覆盖（主要门平均）</t>
        </is>
      </c>
      <c r="B10" s="26" t="n">
        <v>0.848</v>
      </c>
      <c r="C10" s="26" t="n">
        <v>0.8969</v>
      </c>
      <c r="D10" s="26" t="n">
        <v>0.9055</v>
      </c>
      <c r="E10" s="6" t="inlineStr">
        <is>
          <t>Greengenes 与 SILVA 主要门平均的平均</t>
        </is>
      </c>
    </row>
    <row r="11">
      <c r="A11" s="5" t="inlineStr">
        <is>
          <t>支原体至少扩出 3 个扩增子</t>
        </is>
      </c>
      <c r="B11" s="26" t="n">
        <v>0.8581</v>
      </c>
      <c r="C11" s="26" t="n">
        <v>0.9323</v>
      </c>
      <c r="D11" s="26" t="n">
        <v>0.9489</v>
      </c>
      <c r="E11" s="6" t="inlineStr">
        <is>
          <t>缺数据的序列按未扩出算，数值偏保守</t>
        </is>
      </c>
    </row>
    <row r="12">
      <c r="A12" s="5" t="inlineStr">
        <is>
          <t>6 个扩增子全部扩出，Greengenes</t>
        </is>
      </c>
      <c r="B12" s="26" t="n">
        <v>0.533</v>
      </c>
      <c r="C12" s="26" t="n">
        <v>0.665</v>
      </c>
      <c r="D12" s="26" t="n">
        <v>0.704</v>
      </c>
      <c r="E12" s="6" t="inlineStr"/>
    </row>
    <row r="13">
      <c r="A13" s="5" t="inlineStr">
        <is>
          <t>6 个扩增子全部扩出，SILVA</t>
        </is>
      </c>
      <c r="B13" s="26" t="n">
        <v>0.412</v>
      </c>
      <c r="C13" s="26" t="n">
        <v>0.545</v>
      </c>
      <c r="D13" s="26" t="n">
        <v>0.576</v>
      </c>
      <c r="E13" s="6" t="inlineStr"/>
    </row>
    <row r="14">
      <c r="A14" s="5" t="inlineStr">
        <is>
          <t>平均 Tm 最低 °C</t>
        </is>
      </c>
      <c r="B14" s="8" t="n">
        <v>54.8</v>
      </c>
      <c r="C14" s="8" t="n">
        <v>56.1</v>
      </c>
      <c r="D14" s="8" t="n">
        <v>54.8</v>
      </c>
      <c r="E14" s="6" t="inlineStr">
        <is>
          <t>primer3，50 mM Na⁺、2 mM Mg²⁺、0.2 mM dNTP、250 nM 引物</t>
        </is>
      </c>
    </row>
    <row r="15">
      <c r="A15" s="5" t="inlineStr">
        <is>
          <t>平均 Tm 最高 °C</t>
        </is>
      </c>
      <c r="B15" s="8" t="n">
        <v>66.90000000000001</v>
      </c>
      <c r="C15" s="8" t="n">
        <v>66.90000000000001</v>
      </c>
      <c r="D15" s="8" t="n">
        <v>66.90000000000001</v>
      </c>
      <c r="E15" s="6" t="inlineStr"/>
    </row>
    <row r="16">
      <c r="A16" s="5" t="inlineStr">
        <is>
          <t>严重二聚体数</t>
        </is>
      </c>
      <c r="B16" s="5" t="n">
        <v>0</v>
      </c>
      <c r="C16" s="5" t="n">
        <v>0</v>
      </c>
      <c r="D16" s="5" t="n">
        <v>0</v>
      </c>
      <c r="E16" s="6" t="inlineStr">
        <is>
          <t>池内含展开序列两两检查（ΔG ≤ −9 kcal/mol 或 3′ 端 ≤ −6）</t>
        </is>
      </c>
    </row>
    <row r="17">
      <c r="A17" s="5" t="inlineStr">
        <is>
          <t>人基因组 ≤2 错配位点</t>
        </is>
      </c>
      <c r="B17" s="27" t="n">
        <v>2849</v>
      </c>
      <c r="C17" s="27" t="n">
        <v>702</v>
      </c>
      <c r="D17" s="27" t="n">
        <v>3125</v>
      </c>
      <c r="E17" s="6" t="inlineStr">
        <is>
          <t>hg19；16 条池低是因为用了 V1_f，不是条数</t>
        </is>
      </c>
    </row>
    <row r="18">
      <c r="A18" s="5" t="inlineStr">
        <is>
          <t>人基因组 ≤3 错配潜在产物（80–1500 bp）</t>
        </is>
      </c>
      <c r="B18" s="5" t="n">
        <v>50</v>
      </c>
      <c r="C18" s="5" t="n">
        <v>3</v>
      </c>
      <c r="D18" s="5" t="n">
        <v>60</v>
      </c>
      <c r="E18" s="6" t="inlineStr">
        <is>
          <t>同上</t>
        </is>
      </c>
    </row>
    <row r="21">
      <c r="A21" s="15" t="inlineStr">
        <is>
          <t>以上评估数值是计算结果（硬编码，来源：primer_order_list_levels.html 和 docs/primer_design/lvl4_*.csv），不会随配制表变化；前两行是公式。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2026-10-06T02:33:19Z</dcterms:created>
  <dcterms:modified xsi:type="dcterms:W3CDTF">2026-10-06T02:33:19Z</dcterms:modified>
</cp:coreProperties>
</file>