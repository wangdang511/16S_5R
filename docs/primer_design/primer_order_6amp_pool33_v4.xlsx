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订购清单" sheetId="2" state="visible" r:id="rId2"/>
    <sheet name="位点汇总" sheetId="3" state="visible" r:id="rId3"/>
    <sheet name="扩增子" sheetId="4" state="visible" r:id="rId4"/>
    <sheet name="变更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  <font>
      <b val="1"/>
    </font>
  </fonts>
  <fills count="5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0" fontId="1" fillId="3" borderId="0" pivotButton="0" quotePrefix="0" xfId="0"/>
    <xf numFmtId="0" fontId="1" fillId="2" borderId="0" pivotButton="0" quotePrefix="0" xfId="0"/>
    <xf numFmtId="165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3" fillId="4" borderId="0" pivotButton="0" quotePrefix="0" xfId="0"/>
    <xf numFmtId="164" fontId="2" fillId="4" borderId="0" pivotButton="0" quotePrefix="0" xfId="0"/>
    <xf numFmtId="165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E14" authorId="0" shapeId="0">
      <text>
        <t>v4 改动：第 15 位 A→T（v3 为 GCTGGCACGKARTTAGCCR）。原因：加 UDP 尾巴后，与 16S-A6-F.2 的 5′端形成 3′端互补，96 管中 23 管 3′端 ΔG&lt;-4.5。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16S 6 扩增子 5′重叠布局：33 条池订购清单（v3：低 GC 引物延长 + 双歧杆菌补充）</t>
        </is>
      </c>
    </row>
    <row r="2">
      <c r="A2" s="2" t="inlineStr"/>
    </row>
    <row r="3">
      <c r="A3" s="2" t="inlineStr">
        <is>
          <t>相对 v2 的修改：① 8 条引物在 5′端延长 1–2 nt（A1-R.3、A1-R.4、A2-R.3、A6-F.1、A6-F.4s、A6-F.5s、A6-R.1、A6-R.3），使 58 °C 下 Olivar 的 dG≤−11.8 的展开序列比例由 46% 升到 55%；A4 系列、A3-R.1、A1-R.1/.2、A1-F.SNAP、A5-F、A5-R 延长后会明显损失 J 或覆盖，未延长。② 新增 16S-A1-F.6s（GGGTTYGATTCTGGCTCAG，9–27）补双歧杆菌。黄色底为改动行。</t>
        </is>
      </c>
    </row>
    <row r="4">
      <c r="A4" s="2" t="inlineStr">
        <is>
          <t>组成：33 条、198 个展开序列。</t>
        </is>
      </c>
    </row>
    <row r="5">
      <c r="A5" s="2" t="inlineStr">
        <is>
          <t>评估：J 0.9144（与 v2 相同），扩增子覆盖 0.8769，支原体≥3 扩增子 0.9245；Olivar 总坏度 35652（v2 为 35447，+0.6%）。</t>
        </is>
      </c>
    </row>
    <row r="6">
      <c r="A6" s="2" t="inlineStr">
        <is>
          <t>二聚体（v3 用 primer3 重算，60 °C，198 个展开序列两两）：全局最差 ΔG −5.4 kcal/mol（A3-F.1 自身），没有 ≤−6 的配对；3′端锚定最差 −3.6（A2-R.2 × A6-F.4s），没有 ≤−4 的有向配对。Olivar 总坏度 35652（v2 为 35447）。这些计算不含接头和 UDP。</t>
        </is>
      </c>
    </row>
    <row r="7">
      <c r="A7" s="2" t="inlineStr">
        <is>
          <t>订购清单：蓝色为输入（序列、展开数、每位点总量）；加入体积按展开数分配，有补充引物的位点主引物占 90%、补充占 10%。每位点总量默认 2.5 µL（100 µM 母液；100 µL 10× 混合物），可在“订购清单”B1 修改。反应请用热启动聚合酶（低温下部分引物自二聚体 ΔG 约 −10 kcal/mol）。</t>
        </is>
      </c>
    </row>
    <row r="8">
      <c r="A8" s="2" t="inlineStr">
        <is>
          <t>简并碱基：R=A/G Y=C/T S=G/C W=A/T K=G/T M=A/C B=C/G/T D=A/G/T H=A/C/T V=A/C/G N=任意。订购时请选“混合碱基”合成，不要拆成单条。</t>
        </is>
      </c>
    </row>
    <row r="9">
      <c r="A9" s="2" t="inlineStr">
        <is>
          <t>Tm：50 mM Na⁺、2 mM Mg²⁺、0.2 mM dNTP、250 nM 引物，按所有展开序列取范围。</t>
        </is>
      </c>
    </row>
    <row r="10">
      <c r="A10" s="2" t="inlineStr">
        <is>
          <t>脱靶（v3 重新汇总）：人 hg19 ≤2 错配位点 516 个（v2 为 565），线粒体 ≤3 错配 0 个；潜在产物（正反向命中相距 ≤2000 bp，≤3 错配）6 个（292–1875 bp，与 v2 相同），≤2 错配 0 个。猪 susScr3 ≤2 错配位点 979 个（v2 为 930；A1-F.SNAP 占 492、新增 A1-F.6s 占 122），线粒体 0 个；≤3 错配潜在产物 18 个（v2 为 13；新增的 5 个都含 A1-F.6s，是 3 错配的正向–正向组合，342–1963 bp），≤2 错配 0 个。8 条延长引物：人 140→14 个位点，猪 96→23 个。</t>
        </is>
      </c>
    </row>
    <row r="11">
      <c r="A11" s="2" t="inlineStr">
        <is>
          <t>已知弱点：Neisseria 的 A1 约 25%、A5 约 75%；Veillonella 的 A1–A5 在 71–89%；Blautia/Ruminococcus 的 A1 约 79%；古菌基本不被扩增；A1-F.SNAP 在猪基因组上有 492 个位点，猪样本宿主比例高时要留意。</t>
        </is>
      </c>
    </row>
    <row r="12">
      <c r="A12" t="inlineStr">
        <is>
          <t>重要：表中序列只是基因特异部分。你要用的 10 bp 内联 UDP（以及测序接头，如果有）必须加在 5′端，加上后的 Tm、自二聚体和管内二聚体我没有评估。订购前请把真实的 UDP 序列加到 5′端，重新跑一次二聚体检查（Olivar 的做法是把前缀计入自比对和坏度，不计入 dG）。dG ≤ −11.8 的达标比例：58 °C 时 109/198（55%），不是全部；A4 各引物、A3-R.1、A1-R.1、A5-F.1/.3、A5-R 等仍不达标：搜索 1–6 nt 延长时，没有一种延长能在位点覆盖下降不超过 0.3 个百分点的前提下达标，或延长后 J 下降超过 0.0003（A4-F.1、A4-R.4s、A5-F.3、A1-R.2、A6-F.2 属后者）。A1-F.SNAP 因 E. coli 1–8 位缺数据未延长。</t>
        </is>
      </c>
    </row>
    <row r="13">
      <c r="A13" s="16" t="inlineStr">
        <is>
          <t>v4 相对 v3 的修改：只改 16S-A2-R.1 一个碱基（第 15 位 A→T，红色底行）；其余 32 条引物不变。原因是加 10 nt 内联 UDP 后，该引物 3′端与 16S-A6-F.2 的 5′端互补，使 96 管中 23 管的 3′端稳定性低于 −4.5 kcal/mol。改后 96 管整管评估 A 级由 63 升到 80，没有 C 级；位点覆盖率约降 4 个点（SILVA 0.962→0.924，Greengenes 0.973→0.931）；人基因组 ≤2 错配位点 28→21，猪 11→21。Tm 范围 61.9–67.2 → 63.0–68.4。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0" customWidth="1" min="4" max="4"/>
    <col width="44" customWidth="1" min="5" max="5"/>
    <col width="12" customWidth="1" min="6" max="6"/>
    <col width="8" customWidth="1" min="7" max="7"/>
    <col width="8" customWidth="1" min="8" max="8"/>
    <col width="12" customWidth="1" min="9" max="9"/>
    <col width="14" customWidth="1" min="10" max="10"/>
    <col width="14" customWidth="1" min="11" max="11"/>
    <col width="6" customWidth="1" min="12" max="12"/>
    <col width="12" customWidth="1" min="13" max="13"/>
    <col width="12" customWidth="1" min="14" max="14"/>
    <col width="52" customWidth="1" min="15" max="15"/>
  </cols>
  <sheetData>
    <row r="1">
      <c r="A1" s="3" t="inlineStr">
        <is>
          <t>每位点总量 µL（可改）</t>
        </is>
      </c>
      <c r="B1" s="4" t="n">
        <v>2.5</v>
      </c>
    </row>
    <row r="3">
      <c r="A3" s="5" t="inlineStr">
        <is>
          <t>序号</t>
        </is>
      </c>
      <c r="B3" s="5" t="inlineStr">
        <is>
          <t>名称</t>
        </is>
      </c>
      <c r="C3" s="5" t="inlineStr">
        <is>
          <t>位点</t>
        </is>
      </c>
      <c r="D3" s="5" t="inlineStr">
        <is>
          <t>类型</t>
        </is>
      </c>
      <c r="E3" s="5" t="inlineStr">
        <is>
          <t>5′→3′序列</t>
        </is>
      </c>
      <c r="F3" s="5" t="inlineStr">
        <is>
          <t>位置</t>
        </is>
      </c>
      <c r="G3" s="5" t="inlineStr">
        <is>
          <t>长度nt</t>
        </is>
      </c>
      <c r="H3" s="5" t="inlineStr">
        <is>
          <t>展开数</t>
        </is>
      </c>
      <c r="I3" s="5" t="inlineStr">
        <is>
          <t>Tm范围°C</t>
        </is>
      </c>
      <c r="J3" s="5" t="inlineStr">
        <is>
          <t>人基因组≤2错配位点</t>
        </is>
      </c>
      <c r="K3" s="5" t="inlineStr">
        <is>
          <t>猪基因组≤2错配位点</t>
        </is>
      </c>
      <c r="L3" s="5" t="inlineStr">
        <is>
          <t>组</t>
        </is>
      </c>
      <c r="M3" s="5" t="inlineStr">
        <is>
          <t>占位点比例</t>
        </is>
      </c>
      <c r="N3" s="5" t="inlineStr">
        <is>
          <t>加入体积 µL</t>
        </is>
      </c>
      <c r="O3" s="5" t="inlineStr">
        <is>
          <t>备注</t>
        </is>
      </c>
    </row>
    <row r="4">
      <c r="A4" s="6" t="n">
        <v>1</v>
      </c>
      <c r="B4" s="6" t="inlineStr">
        <is>
          <t>16S-A1-F.SNAP</t>
        </is>
      </c>
      <c r="C4" s="6" t="inlineStr">
        <is>
          <t>A1-F</t>
        </is>
      </c>
      <c r="D4" s="6" t="inlineStr">
        <is>
          <t>主引物（SNAP V1_f）</t>
        </is>
      </c>
      <c r="E4" s="4" t="inlineStr">
        <is>
          <t>GAGTTTGATCMTGGCTCAG</t>
        </is>
      </c>
      <c r="F4" s="6" t="inlineStr">
        <is>
          <t>9–27</t>
        </is>
      </c>
      <c r="G4" s="6" t="n">
        <v>19</v>
      </c>
      <c r="H4" s="4" t="n">
        <v>2</v>
      </c>
      <c r="I4" s="6" t="inlineStr">
        <is>
          <t>57.1–58.9</t>
        </is>
      </c>
      <c r="J4" s="6" t="n">
        <v>56</v>
      </c>
      <c r="K4" s="6" t="n">
        <v>492</v>
      </c>
      <c r="L4" s="6" t="inlineStr">
        <is>
          <t>主</t>
        </is>
      </c>
      <c r="M4" s="7">
        <f>IF(COUNTIFS($C$4:$C$36,C4,$L$4:$L$36,"补")=0,1,IF(L4="补",0.1,0.9))*H4/SUMIFS($H$4:$H$36,$C$4:$C$36,C4,$L$4:$L$36,L4)</f>
        <v/>
      </c>
      <c r="N4" s="8">
        <f>M4*$B$1</f>
        <v/>
      </c>
      <c r="O4" s="6" t="inlineStr">
        <is>
          <t>Swift SNAP V1_f（9–27）；人 56 个位点，猪 492 个</t>
        </is>
      </c>
    </row>
    <row r="5">
      <c r="A5" s="6" t="n">
        <v>2</v>
      </c>
      <c r="B5" s="6" t="inlineStr">
        <is>
          <t>16S-A1-R.1</t>
        </is>
      </c>
      <c r="C5" s="6" t="inlineStr">
        <is>
          <t>A1-R</t>
        </is>
      </c>
      <c r="D5" s="6" t="inlineStr">
        <is>
          <t>主引物</t>
        </is>
      </c>
      <c r="E5" s="4" t="inlineStr">
        <is>
          <t>GTTACCYCACCAACWARCT</t>
        </is>
      </c>
      <c r="F5" s="6" t="inlineStr">
        <is>
          <t>246–264</t>
        </is>
      </c>
      <c r="G5" s="6" t="n">
        <v>19</v>
      </c>
      <c r="H5" s="4" t="n">
        <v>8</v>
      </c>
      <c r="I5" s="6" t="inlineStr">
        <is>
          <t>55.1–61.3</t>
        </is>
      </c>
      <c r="J5" s="6" t="n">
        <v>49</v>
      </c>
      <c r="K5" s="6" t="n">
        <v>44</v>
      </c>
      <c r="L5" s="6" t="inlineStr">
        <is>
          <t>主</t>
        </is>
      </c>
      <c r="M5" s="7">
        <f>IF(COUNTIFS($C$4:$C$36,C5,$L$4:$L$36,"补")=0,1,IF(L5="补",0.1,0.9))*H5/SUMIFS($H$4:$H$36,$C$4:$C$36,C5,$L$4:$L$36,L5)</f>
        <v/>
      </c>
      <c r="N5" s="8">
        <f>M5*$B$1</f>
        <v/>
      </c>
      <c r="O5" s="6" t="inlineStr"/>
    </row>
    <row r="6">
      <c r="A6" s="6" t="n">
        <v>3</v>
      </c>
      <c r="B6" s="6" t="inlineStr">
        <is>
          <t>16S-A1-R.2</t>
        </is>
      </c>
      <c r="C6" s="6" t="inlineStr">
        <is>
          <t>A1-R</t>
        </is>
      </c>
      <c r="D6" s="6" t="inlineStr">
        <is>
          <t>主引物</t>
        </is>
      </c>
      <c r="E6" s="4" t="inlineStr">
        <is>
          <t>GTTACCCCRCCAACTABCT</t>
        </is>
      </c>
      <c r="F6" s="6" t="inlineStr">
        <is>
          <t>246–264</t>
        </is>
      </c>
      <c r="G6" s="6" t="n">
        <v>19</v>
      </c>
      <c r="H6" s="4" t="n">
        <v>6</v>
      </c>
      <c r="I6" s="6" t="inlineStr">
        <is>
          <t>57.1–63.1</t>
        </is>
      </c>
      <c r="J6" s="6" t="n">
        <v>18</v>
      </c>
      <c r="K6" s="6" t="n">
        <v>22</v>
      </c>
      <c r="L6" s="6" t="inlineStr">
        <is>
          <t>主</t>
        </is>
      </c>
      <c r="M6" s="7">
        <f>IF(COUNTIFS($C$4:$C$36,C6,$L$4:$L$36,"补")=0,1,IF(L6="补",0.1,0.9))*H6/SUMIFS($H$4:$H$36,$C$4:$C$36,C6,$L$4:$L$36,L6)</f>
        <v/>
      </c>
      <c r="N6" s="8">
        <f>M6*$B$1</f>
        <v/>
      </c>
      <c r="O6" s="6" t="inlineStr"/>
    </row>
    <row r="7">
      <c r="A7" s="9" t="n">
        <v>4</v>
      </c>
      <c r="B7" s="9" t="inlineStr">
        <is>
          <t>16S-A1-R.3</t>
        </is>
      </c>
      <c r="C7" s="9" t="inlineStr">
        <is>
          <t>A1-R</t>
        </is>
      </c>
      <c r="D7" s="9" t="inlineStr">
        <is>
          <t>主引物</t>
        </is>
      </c>
      <c r="E7" s="10" t="inlineStr">
        <is>
          <t>CCGTTACCYTACCAACTARYT</t>
        </is>
      </c>
      <c r="F7" s="9" t="inlineStr">
        <is>
          <t>246–266</t>
        </is>
      </c>
      <c r="G7" s="9" t="n">
        <v>21</v>
      </c>
      <c r="H7" s="10" t="n">
        <v>8</v>
      </c>
      <c r="I7" s="9" t="inlineStr">
        <is>
          <t>56.7–62.4</t>
        </is>
      </c>
      <c r="J7" s="9" t="n">
        <v>0</v>
      </c>
      <c r="K7" s="9" t="n">
        <v>0</v>
      </c>
      <c r="L7" s="9" t="inlineStr">
        <is>
          <t>主</t>
        </is>
      </c>
      <c r="M7" s="11">
        <f>IF(COUNTIFS($C$4:$C$36,C7,$L$4:$L$36,"补")=0,1,IF(L7="补",0.1,0.9))*H7/SUMIFS($H$4:$H$36,$C$4:$C$36,C7,$L$4:$L$36,L7)</f>
        <v/>
      </c>
      <c r="N7" s="12">
        <f>M7*$B$1</f>
        <v/>
      </c>
      <c r="O7" s="9" t="inlineStr">
        <is>
          <t>延长（原 CGTTACCYTACCAACTARYT，5′端加 1 nt，使 58 °C 下 ΔG≤−11.8）</t>
        </is>
      </c>
    </row>
    <row r="8">
      <c r="A8" s="9" t="n">
        <v>5</v>
      </c>
      <c r="B8" s="9" t="inlineStr">
        <is>
          <t>16S-A1-R.4</t>
        </is>
      </c>
      <c r="C8" s="9" t="inlineStr">
        <is>
          <t>A1-R</t>
        </is>
      </c>
      <c r="D8" s="9" t="inlineStr">
        <is>
          <t>主引物</t>
        </is>
      </c>
      <c r="E8" s="10" t="inlineStr">
        <is>
          <t>CCATTACCCYACCAACTARYT</t>
        </is>
      </c>
      <c r="F8" s="9" t="inlineStr">
        <is>
          <t>246–266</t>
        </is>
      </c>
      <c r="G8" s="9" t="n">
        <v>21</v>
      </c>
      <c r="H8" s="10" t="n">
        <v>8</v>
      </c>
      <c r="I8" s="9" t="inlineStr">
        <is>
          <t>56.1–63.0</t>
        </is>
      </c>
      <c r="J8" s="9" t="n">
        <v>2</v>
      </c>
      <c r="K8" s="9" t="n">
        <v>10</v>
      </c>
      <c r="L8" s="9" t="inlineStr">
        <is>
          <t>主</t>
        </is>
      </c>
      <c r="M8" s="11">
        <f>IF(COUNTIFS($C$4:$C$36,C8,$L$4:$L$36,"补")=0,1,IF(L8="补",0.1,0.9))*H8/SUMIFS($H$4:$H$36,$C$4:$C$36,C8,$L$4:$L$36,L8)</f>
        <v/>
      </c>
      <c r="N8" s="12">
        <f>M8*$B$1</f>
        <v/>
      </c>
      <c r="O8" s="9" t="inlineStr">
        <is>
          <t>延长（原 CATTACCCYACCAACTARYT，5′端加 1 nt，使 58 °C 下 ΔG≤−11.8）</t>
        </is>
      </c>
    </row>
    <row r="9">
      <c r="A9" s="6" t="n">
        <v>6</v>
      </c>
      <c r="B9" s="6" t="inlineStr">
        <is>
          <t>16S-A1-R.7s</t>
        </is>
      </c>
      <c r="C9" s="6" t="inlineStr">
        <is>
          <t>A1-R</t>
        </is>
      </c>
      <c r="D9" s="6" t="inlineStr">
        <is>
          <t>补充</t>
        </is>
      </c>
      <c r="E9" s="4" t="inlineStr">
        <is>
          <t>GTTACCCCGCCRWCWAGCT</t>
        </is>
      </c>
      <c r="F9" s="6" t="inlineStr">
        <is>
          <t>246–264</t>
        </is>
      </c>
      <c r="G9" s="6" t="n">
        <v>19</v>
      </c>
      <c r="H9" s="4" t="n">
        <v>8</v>
      </c>
      <c r="I9" s="6" t="inlineStr">
        <is>
          <t>62.6–66.3</t>
        </is>
      </c>
      <c r="J9" s="6" t="n">
        <v>12</v>
      </c>
      <c r="K9" s="6" t="n">
        <v>23</v>
      </c>
      <c r="L9" s="6" t="inlineStr">
        <is>
          <t>补</t>
        </is>
      </c>
      <c r="M9" s="7">
        <f>IF(COUNTIFS($C$4:$C$36,C9,$L$4:$L$36,"补")=0,1,IF(L9="补",0.1,0.9))*H9/SUMIFS($H$4:$H$36,$C$4:$C$36,C9,$L$4:$L$36,L9)</f>
        <v/>
      </c>
      <c r="N9" s="8">
        <f>M9*$B$1</f>
        <v/>
      </c>
      <c r="O9" s="6" t="inlineStr">
        <is>
          <t>Prevotella/拟杆菌门</t>
        </is>
      </c>
    </row>
    <row r="10">
      <c r="A10" s="6" t="n">
        <v>7</v>
      </c>
      <c r="B10" s="6" t="inlineStr">
        <is>
          <t>16S-A1-R.8s</t>
        </is>
      </c>
      <c r="C10" s="6" t="inlineStr">
        <is>
          <t>A1-R</t>
        </is>
      </c>
      <c r="D10" s="6" t="inlineStr">
        <is>
          <t>补充</t>
        </is>
      </c>
      <c r="E10" s="4" t="inlineStr">
        <is>
          <t>GTTACCCCGCCWRCTRCCT</t>
        </is>
      </c>
      <c r="F10" s="6" t="inlineStr">
        <is>
          <t>246–264</t>
        </is>
      </c>
      <c r="G10" s="6" t="n">
        <v>19</v>
      </c>
      <c r="H10" s="4" t="n">
        <v>8</v>
      </c>
      <c r="I10" s="6" t="inlineStr">
        <is>
          <t>61.5–68.6</t>
        </is>
      </c>
      <c r="J10" s="6" t="n">
        <v>43</v>
      </c>
      <c r="K10" s="6" t="n">
        <v>40</v>
      </c>
      <c r="L10" s="6" t="inlineStr">
        <is>
          <t>补</t>
        </is>
      </c>
      <c r="M10" s="7">
        <f>IF(COUNTIFS($C$4:$C$36,C10,$L$4:$L$36,"补")=0,1,IF(L10="补",0.1,0.9))*H10/SUMIFS($H$4:$H$36,$C$4:$C$36,C10,$L$4:$L$36,L10)</f>
        <v/>
      </c>
      <c r="N10" s="8">
        <f>M10*$B$1</f>
        <v/>
      </c>
      <c r="O10" s="6" t="inlineStr">
        <is>
          <t>Prevotella/拟杆菌门；人/猪潜在短产物的来源</t>
        </is>
      </c>
    </row>
    <row r="11">
      <c r="A11" s="6" t="n">
        <v>8</v>
      </c>
      <c r="B11" s="6" t="inlineStr">
        <is>
          <t>16S-A1-R.9s</t>
        </is>
      </c>
      <c r="C11" s="6" t="inlineStr">
        <is>
          <t>A1-R</t>
        </is>
      </c>
      <c r="D11" s="6" t="inlineStr">
        <is>
          <t>补充</t>
        </is>
      </c>
      <c r="E11" s="4" t="inlineStr">
        <is>
          <t>GTCACCCCGCCAWCAAGCT</t>
        </is>
      </c>
      <c r="F11" s="6" t="inlineStr">
        <is>
          <t>246–264</t>
        </is>
      </c>
      <c r="G11" s="6" t="n">
        <v>19</v>
      </c>
      <c r="H11" s="4" t="n">
        <v>2</v>
      </c>
      <c r="I11" s="6" t="inlineStr">
        <is>
          <t>66.4–66.9</t>
        </is>
      </c>
      <c r="J11" s="6" t="n">
        <v>5</v>
      </c>
      <c r="K11" s="6" t="n">
        <v>5</v>
      </c>
      <c r="L11" s="6" t="inlineStr">
        <is>
          <t>补</t>
        </is>
      </c>
      <c r="M11" s="7">
        <f>IF(COUNTIFS($C$4:$C$36,C11,$L$4:$L$36,"补")=0,1,IF(L11="补",0.1,0.9))*H11/SUMIFS($H$4:$H$36,$C$4:$C$36,C11,$L$4:$L$36,L11)</f>
        <v/>
      </c>
      <c r="N11" s="8">
        <f>M11*$B$1</f>
        <v/>
      </c>
      <c r="O11" s="6" t="inlineStr">
        <is>
          <t>Bifidobacterium</t>
        </is>
      </c>
    </row>
    <row r="12">
      <c r="A12" s="6" t="n">
        <v>9</v>
      </c>
      <c r="B12" s="6" t="inlineStr">
        <is>
          <t>16S-A2-F.1</t>
        </is>
      </c>
      <c r="C12" s="6" t="inlineStr">
        <is>
          <t>A2-F</t>
        </is>
      </c>
      <c r="D12" s="6" t="inlineStr">
        <is>
          <t>主引物</t>
        </is>
      </c>
      <c r="E12" s="4" t="inlineStr">
        <is>
          <t>CCAKACWCCTACGGGAGGC</t>
        </is>
      </c>
      <c r="F12" s="6" t="inlineStr">
        <is>
          <t>334–352</t>
        </is>
      </c>
      <c r="G12" s="6" t="n">
        <v>19</v>
      </c>
      <c r="H12" s="4" t="n">
        <v>4</v>
      </c>
      <c r="I12" s="6" t="inlineStr">
        <is>
          <t>62.3–65.4</t>
        </is>
      </c>
      <c r="J12" s="6" t="n">
        <v>14</v>
      </c>
      <c r="K12" s="6" t="n">
        <v>12</v>
      </c>
      <c r="L12" s="6" t="inlineStr">
        <is>
          <t>主</t>
        </is>
      </c>
      <c r="M12" s="7">
        <f>IF(COUNTIFS($C$4:$C$36,C12,$L$4:$L$36,"补")=0,1,IF(L12="补",0.1,0.9))*H12/SUMIFS($H$4:$H$36,$C$4:$C$36,C12,$L$4:$L$36,L12)</f>
        <v/>
      </c>
      <c r="N12" s="8">
        <f>M12*$B$1</f>
        <v/>
      </c>
      <c r="O12" s="6" t="inlineStr">
        <is>
          <t>起点 334，替代原 A2-F.1–.3（314），脱靶降 84–90%</t>
        </is>
      </c>
    </row>
    <row r="13">
      <c r="A13" s="6" t="n">
        <v>10</v>
      </c>
      <c r="B13" s="6" t="inlineStr">
        <is>
          <t>16S-A2-F.2</t>
        </is>
      </c>
      <c r="C13" s="6" t="inlineStr">
        <is>
          <t>A2-F</t>
        </is>
      </c>
      <c r="D13" s="6" t="inlineStr">
        <is>
          <t>主引物</t>
        </is>
      </c>
      <c r="E13" s="4" t="inlineStr">
        <is>
          <t>CCCSACTCCTACGGGAGRC</t>
        </is>
      </c>
      <c r="F13" s="6" t="inlineStr">
        <is>
          <t>334–352</t>
        </is>
      </c>
      <c r="G13" s="6" t="n">
        <v>19</v>
      </c>
      <c r="H13" s="4" t="n">
        <v>4</v>
      </c>
      <c r="I13" s="6" t="inlineStr">
        <is>
          <t>64.5–67.5</t>
        </is>
      </c>
      <c r="J13" s="6" t="n">
        <v>12</v>
      </c>
      <c r="K13" s="6" t="n">
        <v>9</v>
      </c>
      <c r="L13" s="6" t="inlineStr">
        <is>
          <t>主</t>
        </is>
      </c>
      <c r="M13" s="7">
        <f>IF(COUNTIFS($C$4:$C$36,C13,$L$4:$L$36,"补")=0,1,IF(L13="补",0.1,0.9))*H13/SUMIFS($H$4:$H$36,$C$4:$C$36,C13,$L$4:$L$36,L13)</f>
        <v/>
      </c>
      <c r="N13" s="8">
        <f>M13*$B$1</f>
        <v/>
      </c>
      <c r="O13" s="6" t="inlineStr">
        <is>
          <t>同上</t>
        </is>
      </c>
    </row>
    <row r="14">
      <c r="A14" s="17" t="n">
        <v>11</v>
      </c>
      <c r="B14" s="17" t="inlineStr">
        <is>
          <t>16S-A2-R.1</t>
        </is>
      </c>
      <c r="C14" s="17" t="inlineStr">
        <is>
          <t>A2-R</t>
        </is>
      </c>
      <c r="D14" s="17" t="inlineStr">
        <is>
          <t>主引物</t>
        </is>
      </c>
      <c r="E14" s="18" t="inlineStr">
        <is>
          <t>GCTGGCACGKARTTTGCCR</t>
        </is>
      </c>
      <c r="F14" s="17" t="inlineStr">
        <is>
          <t>504–522</t>
        </is>
      </c>
      <c r="G14" s="17" t="n">
        <v>19</v>
      </c>
      <c r="H14" s="18" t="n">
        <v>8</v>
      </c>
      <c r="I14" s="17" t="inlineStr">
        <is>
          <t>63.0–68.4</t>
        </is>
      </c>
      <c r="J14" s="17" t="n">
        <v>21</v>
      </c>
      <c r="K14" s="17" t="n">
        <v>21</v>
      </c>
      <c r="L14" s="17" t="inlineStr">
        <is>
          <t>主</t>
        </is>
      </c>
      <c r="M14" s="19">
        <f>IF(COUNTIFS($C$4:$C$36,C14,$L$4:$L$36,"补")=0,1,IF(L14="补",0.1,0.9))*H14/SUMIFS($H$4:$H$36,$C$4:$C$36,C14,$L$4:$L$36,L14)</f>
        <v/>
      </c>
      <c r="N14" s="20">
        <f>M14*$B$1</f>
        <v/>
      </c>
      <c r="O14" s="6" t="inlineStr"/>
    </row>
    <row r="15">
      <c r="A15" s="6" t="n">
        <v>12</v>
      </c>
      <c r="B15" s="6" t="inlineStr">
        <is>
          <t>16S-A2-R.2</t>
        </is>
      </c>
      <c r="C15" s="6" t="inlineStr">
        <is>
          <t>A2-R</t>
        </is>
      </c>
      <c r="D15" s="6" t="inlineStr">
        <is>
          <t>主引物</t>
        </is>
      </c>
      <c r="E15" s="4" t="inlineStr">
        <is>
          <t>GCTGGCACGAASTTAGYCS</t>
        </is>
      </c>
      <c r="F15" s="6" t="inlineStr">
        <is>
          <t>504–522</t>
        </is>
      </c>
      <c r="G15" s="6" t="n">
        <v>19</v>
      </c>
      <c r="H15" s="4" t="n">
        <v>8</v>
      </c>
      <c r="I15" s="6" t="inlineStr">
        <is>
          <t>62.1–65.3</t>
        </is>
      </c>
      <c r="J15" s="6" t="n">
        <v>7</v>
      </c>
      <c r="K15" s="6" t="n">
        <v>10</v>
      </c>
      <c r="L15" s="6" t="inlineStr">
        <is>
          <t>主</t>
        </is>
      </c>
      <c r="M15" s="7">
        <f>IF(COUNTIFS($C$4:$C$36,C15,$L$4:$L$36,"补")=0,1,IF(L15="补",0.1,0.9))*H15/SUMIFS($H$4:$H$36,$C$4:$C$36,C15,$L$4:$L$36,L15)</f>
        <v/>
      </c>
      <c r="N15" s="8">
        <f>M15*$B$1</f>
        <v/>
      </c>
      <c r="O15" s="6" t="inlineStr"/>
    </row>
    <row r="16">
      <c r="A16" s="9" t="n">
        <v>13</v>
      </c>
      <c r="B16" s="9" t="inlineStr">
        <is>
          <t>16S-A2-R.3</t>
        </is>
      </c>
      <c r="C16" s="9" t="inlineStr">
        <is>
          <t>A2-R</t>
        </is>
      </c>
      <c r="D16" s="9" t="inlineStr">
        <is>
          <t>主引物</t>
        </is>
      </c>
      <c r="E16" s="10" t="inlineStr">
        <is>
          <t>TGCTGGCACAKAGTTCGYYG</t>
        </is>
      </c>
      <c r="F16" s="9" t="inlineStr">
        <is>
          <t>504–523</t>
        </is>
      </c>
      <c r="G16" s="9" t="n">
        <v>20</v>
      </c>
      <c r="H16" s="10" t="n">
        <v>8</v>
      </c>
      <c r="I16" s="9" t="inlineStr">
        <is>
          <t>62.4–69.3</t>
        </is>
      </c>
      <c r="J16" s="9" t="n">
        <v>4</v>
      </c>
      <c r="K16" s="9" t="n">
        <v>1</v>
      </c>
      <c r="L16" s="9" t="inlineStr">
        <is>
          <t>主</t>
        </is>
      </c>
      <c r="M16" s="11">
        <f>IF(COUNTIFS($C$4:$C$36,C16,$L$4:$L$36,"补")=0,1,IF(L16="补",0.1,0.9))*H16/SUMIFS($H$4:$H$36,$C$4:$C$36,C16,$L$4:$L$36,L16)</f>
        <v/>
      </c>
      <c r="N16" s="12">
        <f>M16*$B$1</f>
        <v/>
      </c>
      <c r="O16" s="13" t="inlineStr">
        <is>
          <t>延长（原 GCTGGCACAKAGTTCGYYG，5′端加 1 nt，使 58 °C 下 ΔG≤−11.8）</t>
        </is>
      </c>
    </row>
    <row r="17">
      <c r="A17" s="6" t="n">
        <v>14</v>
      </c>
      <c r="B17" s="6" t="inlineStr">
        <is>
          <t>16S-A3-F.1</t>
        </is>
      </c>
      <c r="C17" s="6" t="inlineStr">
        <is>
          <t>A3-F</t>
        </is>
      </c>
      <c r="D17" s="6" t="inlineStr">
        <is>
          <t>主引物</t>
        </is>
      </c>
      <c r="E17" s="4" t="inlineStr">
        <is>
          <t>CCAGCAGCCGCGGTAABWC</t>
        </is>
      </c>
      <c r="F17" s="6" t="inlineStr">
        <is>
          <t>518–536</t>
        </is>
      </c>
      <c r="G17" s="6" t="n">
        <v>19</v>
      </c>
      <c r="H17" s="4" t="n">
        <v>6</v>
      </c>
      <c r="I17" s="6" t="inlineStr">
        <is>
          <t>64.8–67.8</t>
        </is>
      </c>
      <c r="J17" s="6" t="n">
        <v>10</v>
      </c>
      <c r="K17" s="6" t="n">
        <v>13</v>
      </c>
      <c r="L17" s="6" t="inlineStr">
        <is>
          <t>主</t>
        </is>
      </c>
      <c r="M17" s="7">
        <f>IF(COUNTIFS($C$4:$C$36,C17,$L$4:$L$36,"补")=0,1,IF(L17="补",0.1,0.9))*H17/SUMIFS($H$4:$H$36,$C$4:$C$36,C17,$L$4:$L$36,L17)</f>
        <v/>
      </c>
      <c r="N17" s="8">
        <f>M17*$B$1</f>
        <v/>
      </c>
      <c r="O17" s="6" t="inlineStr"/>
    </row>
    <row r="18">
      <c r="A18" s="6" t="n">
        <v>15</v>
      </c>
      <c r="B18" s="6" t="inlineStr">
        <is>
          <t>16S-A3-F.2</t>
        </is>
      </c>
      <c r="C18" s="6" t="inlineStr">
        <is>
          <t>A3-F</t>
        </is>
      </c>
      <c r="D18" s="6" t="inlineStr">
        <is>
          <t>主引物</t>
        </is>
      </c>
      <c r="E18" s="4" t="inlineStr">
        <is>
          <t>CCAGCAGCCGCGGTAAAAC</t>
        </is>
      </c>
      <c r="F18" s="6" t="inlineStr">
        <is>
          <t>518–536</t>
        </is>
      </c>
      <c r="G18" s="6" t="n">
        <v>19</v>
      </c>
      <c r="H18" s="4" t="n">
        <v>1</v>
      </c>
      <c r="I18" s="6" t="inlineStr">
        <is>
          <t>65.9–65.9</t>
        </is>
      </c>
      <c r="J18" s="6" t="n">
        <v>2</v>
      </c>
      <c r="K18" s="6" t="n">
        <v>0</v>
      </c>
      <c r="L18" s="6" t="inlineStr">
        <is>
          <t>主</t>
        </is>
      </c>
      <c r="M18" s="7">
        <f>IF(COUNTIFS($C$4:$C$36,C18,$L$4:$L$36,"补")=0,1,IF(L18="补",0.1,0.9))*H18/SUMIFS($H$4:$H$36,$C$4:$C$36,C18,$L$4:$L$36,L18)</f>
        <v/>
      </c>
      <c r="N18" s="8">
        <f>M18*$B$1</f>
        <v/>
      </c>
      <c r="O18" s="6" t="inlineStr"/>
    </row>
    <row r="19">
      <c r="A19" s="6" t="n">
        <v>16</v>
      </c>
      <c r="B19" s="6" t="inlineStr">
        <is>
          <t>16S-A3-R.1</t>
        </is>
      </c>
      <c r="C19" s="6" t="inlineStr">
        <is>
          <t>A3-R</t>
        </is>
      </c>
      <c r="D19" s="6" t="inlineStr">
        <is>
          <t>主引物</t>
        </is>
      </c>
      <c r="E19" s="4" t="inlineStr">
        <is>
          <t>TCTAATCCYGTTYGCTMCC</t>
        </is>
      </c>
      <c r="F19" s="6" t="inlineStr">
        <is>
          <t>774–792</t>
        </is>
      </c>
      <c r="G19" s="6" t="n">
        <v>19</v>
      </c>
      <c r="H19" s="4" t="n">
        <v>8</v>
      </c>
      <c r="I19" s="6" t="inlineStr">
        <is>
          <t>55.2–62.6</t>
        </is>
      </c>
      <c r="J19" s="6" t="n">
        <v>53</v>
      </c>
      <c r="K19" s="6" t="n">
        <v>36</v>
      </c>
      <c r="L19" s="6" t="inlineStr">
        <is>
          <t>主</t>
        </is>
      </c>
      <c r="M19" s="7">
        <f>IF(COUNTIFS($C$4:$C$36,C19,$L$4:$L$36,"补")=0,1,IF(L19="补",0.1,0.9))*H19/SUMIFS($H$4:$H$36,$C$4:$C$36,C19,$L$4:$L$36,L19)</f>
        <v/>
      </c>
      <c r="N19" s="8">
        <f>M19*$B$1</f>
        <v/>
      </c>
      <c r="O19" s="6" t="inlineStr"/>
    </row>
    <row r="20">
      <c r="A20" s="6" t="n">
        <v>17</v>
      </c>
      <c r="B20" s="6" t="inlineStr">
        <is>
          <t>16S-A4-F.1</t>
        </is>
      </c>
      <c r="C20" s="6" t="inlineStr">
        <is>
          <t>A4-F</t>
        </is>
      </c>
      <c r="D20" s="6" t="inlineStr">
        <is>
          <t>主引物</t>
        </is>
      </c>
      <c r="E20" s="4" t="inlineStr">
        <is>
          <t>GATTAGAKACCCYGGTAGTCY</t>
        </is>
      </c>
      <c r="F20" s="6" t="inlineStr">
        <is>
          <t>786–806</t>
        </is>
      </c>
      <c r="G20" s="6" t="n">
        <v>21</v>
      </c>
      <c r="H20" s="4" t="n">
        <v>8</v>
      </c>
      <c r="I20" s="6" t="inlineStr">
        <is>
          <t>56.5–62.3</t>
        </is>
      </c>
      <c r="J20" s="6" t="n">
        <v>1</v>
      </c>
      <c r="K20" s="6" t="n">
        <v>0</v>
      </c>
      <c r="L20" s="6" t="inlineStr">
        <is>
          <t>主</t>
        </is>
      </c>
      <c r="M20" s="7">
        <f>IF(COUNTIFS($C$4:$C$36,C20,$L$4:$L$36,"补")=0,1,IF(L20="补",0.1,0.9))*H20/SUMIFS($H$4:$H$36,$C$4:$C$36,C20,$L$4:$L$36,L20)</f>
        <v/>
      </c>
      <c r="N20" s="8">
        <f>M20*$B$1</f>
        <v/>
      </c>
      <c r="O20" s="6" t="inlineStr"/>
    </row>
    <row r="21">
      <c r="A21" s="6" t="n">
        <v>18</v>
      </c>
      <c r="B21" s="6" t="inlineStr">
        <is>
          <t>16S-A4-R.1</t>
        </is>
      </c>
      <c r="C21" s="6" t="inlineStr">
        <is>
          <t>A4-R</t>
        </is>
      </c>
      <c r="D21" s="6" t="inlineStr">
        <is>
          <t>主引物</t>
        </is>
      </c>
      <c r="E21" s="4" t="inlineStr">
        <is>
          <t>CGCGTWGCATCGAATTAADC</t>
        </is>
      </c>
      <c r="F21" s="6" t="inlineStr">
        <is>
          <t>954–973</t>
        </is>
      </c>
      <c r="G21" s="6" t="n">
        <v>20</v>
      </c>
      <c r="H21" s="4" t="n">
        <v>6</v>
      </c>
      <c r="I21" s="6" t="inlineStr">
        <is>
          <t>58.6–62.3</t>
        </is>
      </c>
      <c r="J21" s="6" t="n">
        <v>1</v>
      </c>
      <c r="K21" s="6" t="n">
        <v>0</v>
      </c>
      <c r="L21" s="6" t="inlineStr">
        <is>
          <t>主</t>
        </is>
      </c>
      <c r="M21" s="7">
        <f>IF(COUNTIFS($C$4:$C$36,C21,$L$4:$L$36,"补")=0,1,IF(L21="补",0.1,0.9))*H21/SUMIFS($H$4:$H$36,$C$4:$C$36,C21,$L$4:$L$36,L21)</f>
        <v/>
      </c>
      <c r="N21" s="8">
        <f>M21*$B$1</f>
        <v/>
      </c>
      <c r="O21" s="6" t="inlineStr"/>
    </row>
    <row r="22">
      <c r="A22" s="6" t="n">
        <v>19</v>
      </c>
      <c r="B22" s="6" t="inlineStr">
        <is>
          <t>16S-A4-R.2</t>
        </is>
      </c>
      <c r="C22" s="6" t="inlineStr">
        <is>
          <t>A4-R</t>
        </is>
      </c>
      <c r="D22" s="6" t="inlineStr">
        <is>
          <t>主引物</t>
        </is>
      </c>
      <c r="E22" s="4" t="inlineStr">
        <is>
          <t>CGCGTWKCKTCGAATTAAAC</t>
        </is>
      </c>
      <c r="F22" s="6" t="inlineStr">
        <is>
          <t>954–973</t>
        </is>
      </c>
      <c r="G22" s="6" t="n">
        <v>20</v>
      </c>
      <c r="H22" s="4" t="n">
        <v>8</v>
      </c>
      <c r="I22" s="6" t="inlineStr">
        <is>
          <t>56.4–62.5</t>
        </is>
      </c>
      <c r="J22" s="6" t="n">
        <v>0</v>
      </c>
      <c r="K22" s="6" t="n">
        <v>1</v>
      </c>
      <c r="L22" s="6" t="inlineStr">
        <is>
          <t>主</t>
        </is>
      </c>
      <c r="M22" s="7">
        <f>IF(COUNTIFS($C$4:$C$36,C22,$L$4:$L$36,"补")=0,1,IF(L22="补",0.1,0.9))*H22/SUMIFS($H$4:$H$36,$C$4:$C$36,C22,$L$4:$L$36,L22)</f>
        <v/>
      </c>
      <c r="N22" s="8">
        <f>M22*$B$1</f>
        <v/>
      </c>
      <c r="O22" s="6" t="inlineStr"/>
    </row>
    <row r="23">
      <c r="A23" s="6" t="n">
        <v>20</v>
      </c>
      <c r="B23" s="6" t="inlineStr">
        <is>
          <t>16S-A4-R.4s</t>
        </is>
      </c>
      <c r="C23" s="6" t="inlineStr">
        <is>
          <t>A4-R</t>
        </is>
      </c>
      <c r="D23" s="6" t="inlineStr">
        <is>
          <t>补充</t>
        </is>
      </c>
      <c r="E23" s="4" t="inlineStr">
        <is>
          <t>CGTGTATYRTCGAATTAARC</t>
        </is>
      </c>
      <c r="F23" s="6" t="inlineStr">
        <is>
          <t>954–973</t>
        </is>
      </c>
      <c r="G23" s="6" t="n">
        <v>20</v>
      </c>
      <c r="H23" s="4" t="n">
        <v>8</v>
      </c>
      <c r="I23" s="6" t="inlineStr">
        <is>
          <t>51.2–58.2</t>
        </is>
      </c>
      <c r="J23" s="6" t="n">
        <v>6</v>
      </c>
      <c r="K23" s="6" t="n">
        <v>6</v>
      </c>
      <c r="L23" s="6" t="inlineStr">
        <is>
          <t>补</t>
        </is>
      </c>
      <c r="M23" s="7">
        <f>IF(COUNTIFS($C$4:$C$36,C23,$L$4:$L$36,"补")=0,1,IF(L23="补",0.1,0.9))*H23/SUMIFS($H$4:$H$36,$C$4:$C$36,C23,$L$4:$L$36,L23)</f>
        <v/>
      </c>
      <c r="N23" s="8">
        <f>M23*$B$1</f>
        <v/>
      </c>
      <c r="O23" s="6" t="inlineStr">
        <is>
          <t>Mycoplasma/Ureaplasma</t>
        </is>
      </c>
    </row>
    <row r="24">
      <c r="A24" s="6" t="n">
        <v>21</v>
      </c>
      <c r="B24" s="6" t="inlineStr">
        <is>
          <t>16S-A4-R.5s</t>
        </is>
      </c>
      <c r="C24" s="6" t="inlineStr">
        <is>
          <t>A4-R</t>
        </is>
      </c>
      <c r="D24" s="6" t="inlineStr">
        <is>
          <t>补充</t>
        </is>
      </c>
      <c r="E24" s="4" t="inlineStr">
        <is>
          <t>CGCGTABCTTCRAATTAAAC</t>
        </is>
      </c>
      <c r="F24" s="6" t="inlineStr">
        <is>
          <t>954–973</t>
        </is>
      </c>
      <c r="G24" s="6" t="n">
        <v>20</v>
      </c>
      <c r="H24" s="4" t="n">
        <v>6</v>
      </c>
      <c r="I24" s="6" t="inlineStr">
        <is>
          <t>54.4–59.0</t>
        </is>
      </c>
      <c r="J24" s="6" t="n">
        <v>1</v>
      </c>
      <c r="K24" s="6" t="n">
        <v>0</v>
      </c>
      <c r="L24" s="6" t="inlineStr">
        <is>
          <t>补</t>
        </is>
      </c>
      <c r="M24" s="7">
        <f>IF(COUNTIFS($C$4:$C$36,C24,$L$4:$L$36,"补")=0,1,IF(L24="补",0.1,0.9))*H24/SUMIFS($H$4:$H$36,$C$4:$C$36,C24,$L$4:$L$36,L24)</f>
        <v/>
      </c>
      <c r="N24" s="8">
        <f>M24*$B$1</f>
        <v/>
      </c>
      <c r="O24" s="6" t="inlineStr">
        <is>
          <t>Mycoplasma/Ureaplasma</t>
        </is>
      </c>
    </row>
    <row r="25">
      <c r="A25" s="6" t="n">
        <v>22</v>
      </c>
      <c r="B25" s="6" t="inlineStr">
        <is>
          <t>16S-A5-F.1</t>
        </is>
      </c>
      <c r="C25" s="6" t="inlineStr">
        <is>
          <t>A5-F</t>
        </is>
      </c>
      <c r="D25" s="6" t="inlineStr">
        <is>
          <t>主引物</t>
        </is>
      </c>
      <c r="E25" s="4" t="inlineStr">
        <is>
          <t>MWACGCGARGAACCTTACC</t>
        </is>
      </c>
      <c r="F25" s="6" t="inlineStr">
        <is>
          <t>967–985</t>
        </is>
      </c>
      <c r="G25" s="6" t="n">
        <v>19</v>
      </c>
      <c r="H25" s="4" t="n">
        <v>8</v>
      </c>
      <c r="I25" s="6" t="inlineStr">
        <is>
          <t>58.3–62.1</t>
        </is>
      </c>
      <c r="J25" s="6" t="n">
        <v>9</v>
      </c>
      <c r="K25" s="6" t="n">
        <v>6</v>
      </c>
      <c r="L25" s="6" t="inlineStr">
        <is>
          <t>主</t>
        </is>
      </c>
      <c r="M25" s="7">
        <f>IF(COUNTIFS($C$4:$C$36,C25,$L$4:$L$36,"补")=0,1,IF(L25="补",0.1,0.9))*H25/SUMIFS($H$4:$H$36,$C$4:$C$36,C25,$L$4:$L$36,L25)</f>
        <v/>
      </c>
      <c r="N25" s="8">
        <f>M25*$B$1</f>
        <v/>
      </c>
      <c r="O25" s="6" t="inlineStr"/>
    </row>
    <row r="26">
      <c r="A26" s="6" t="n">
        <v>23</v>
      </c>
      <c r="B26" s="6" t="inlineStr">
        <is>
          <t>16S-A5-F.3</t>
        </is>
      </c>
      <c r="C26" s="6" t="inlineStr">
        <is>
          <t>A5-F</t>
        </is>
      </c>
      <c r="D26" s="6" t="inlineStr">
        <is>
          <t>主引物</t>
        </is>
      </c>
      <c r="E26" s="4" t="inlineStr">
        <is>
          <t>RTACMCGAARAACCTTACC</t>
        </is>
      </c>
      <c r="F26" s="6" t="inlineStr">
        <is>
          <t>967–985</t>
        </is>
      </c>
      <c r="G26" s="6" t="n">
        <v>19</v>
      </c>
      <c r="H26" s="4" t="n">
        <v>8</v>
      </c>
      <c r="I26" s="6" t="inlineStr">
        <is>
          <t>53.9–58.2</t>
        </is>
      </c>
      <c r="J26" s="6" t="n">
        <v>18</v>
      </c>
      <c r="K26" s="6" t="n">
        <v>26</v>
      </c>
      <c r="L26" s="6" t="inlineStr">
        <is>
          <t>主</t>
        </is>
      </c>
      <c r="M26" s="7">
        <f>IF(COUNTIFS($C$4:$C$36,C26,$L$4:$L$36,"补")=0,1,IF(L26="补",0.1,0.9))*H26/SUMIFS($H$4:$H$36,$C$4:$C$36,C26,$L$4:$L$36,L26)</f>
        <v/>
      </c>
      <c r="N26" s="8">
        <f>M26*$B$1</f>
        <v/>
      </c>
      <c r="O26" s="6" t="inlineStr"/>
    </row>
    <row r="27">
      <c r="A27" s="9" t="n">
        <v>24</v>
      </c>
      <c r="B27" s="9" t="inlineStr">
        <is>
          <t>16S-A5-R.1</t>
        </is>
      </c>
      <c r="C27" s="9" t="inlineStr">
        <is>
          <t>A5-R</t>
        </is>
      </c>
      <c r="D27" s="9" t="inlineStr">
        <is>
          <t>主引物</t>
        </is>
      </c>
      <c r="E27" s="10" t="inlineStr">
        <is>
          <t>GGSCATGMTGAYTTGACGT</t>
        </is>
      </c>
      <c r="F27" s="9" t="inlineStr">
        <is>
          <t>1192–1210</t>
        </is>
      </c>
      <c r="G27" s="9" t="n">
        <v>19</v>
      </c>
      <c r="H27" s="10" t="n">
        <v>8</v>
      </c>
      <c r="I27" s="9" t="inlineStr">
        <is>
          <t>59.6–64.3</t>
        </is>
      </c>
      <c r="J27" s="9" t="n">
        <v>16</v>
      </c>
      <c r="K27" s="9" t="n">
        <v>24</v>
      </c>
      <c r="L27" s="9" t="inlineStr">
        <is>
          <t>主</t>
        </is>
      </c>
      <c r="M27" s="11">
        <f>IF(COUNTIFS($C$4:$C$36,C27,$L$4:$L$36,"补")=0,1,IF(L27="补",0.1,0.9))*H27/SUMIFS($H$4:$H$36,$C$4:$C$36,C27,$L$4:$L$36,L27)</f>
        <v/>
      </c>
      <c r="N27" s="12">
        <f>M27*$B$1</f>
        <v/>
      </c>
      <c r="O27" s="13" t="inlineStr">
        <is>
          <t>【已修改】A5-R 由起点 1188 换为 1192，消除回文 TGACGTCA</t>
        </is>
      </c>
    </row>
    <row r="28">
      <c r="A28" s="9" t="n">
        <v>25</v>
      </c>
      <c r="B28" s="9" t="inlineStr">
        <is>
          <t>16S-A5-R.2</t>
        </is>
      </c>
      <c r="C28" s="9" t="inlineStr">
        <is>
          <t>A5-R</t>
        </is>
      </c>
      <c r="D28" s="9" t="inlineStr">
        <is>
          <t>主引物</t>
        </is>
      </c>
      <c r="E28" s="10" t="inlineStr">
        <is>
          <t>GGCCATRCTGACTWGACRT</t>
        </is>
      </c>
      <c r="F28" s="9" t="inlineStr">
        <is>
          <t>1192–1210</t>
        </is>
      </c>
      <c r="G28" s="9" t="n">
        <v>19</v>
      </c>
      <c r="H28" s="10" t="n">
        <v>8</v>
      </c>
      <c r="I28" s="9" t="inlineStr">
        <is>
          <t>57.0–64.3</t>
        </is>
      </c>
      <c r="J28" s="9" t="n">
        <v>31</v>
      </c>
      <c r="K28" s="9" t="n">
        <v>34</v>
      </c>
      <c r="L28" s="9" t="inlineStr">
        <is>
          <t>主</t>
        </is>
      </c>
      <c r="M28" s="11">
        <f>IF(COUNTIFS($C$4:$C$36,C28,$L$4:$L$36,"补")=0,1,IF(L28="补",0.1,0.9))*H28/SUMIFS($H$4:$H$36,$C$4:$C$36,C28,$L$4:$L$36,L28)</f>
        <v/>
      </c>
      <c r="N28" s="12">
        <f>M28*$B$1</f>
        <v/>
      </c>
      <c r="O28" s="13" t="inlineStr">
        <is>
          <t>【已修改】同上</t>
        </is>
      </c>
    </row>
    <row r="29">
      <c r="A29" s="9" t="n">
        <v>26</v>
      </c>
      <c r="B29" s="9" t="inlineStr">
        <is>
          <t>16S-A6-F.1</t>
        </is>
      </c>
      <c r="C29" s="9" t="inlineStr">
        <is>
          <t>A6-F</t>
        </is>
      </c>
      <c r="D29" s="9" t="inlineStr">
        <is>
          <t>主引物</t>
        </is>
      </c>
      <c r="E29" s="10" t="inlineStr">
        <is>
          <t>GGGCTRCACACRTGCTACAA</t>
        </is>
      </c>
      <c r="F29" s="9" t="inlineStr">
        <is>
          <t>1221–1240</t>
        </is>
      </c>
      <c r="G29" s="9" t="n">
        <v>20</v>
      </c>
      <c r="H29" s="10" t="n">
        <v>4</v>
      </c>
      <c r="I29" s="9" t="inlineStr">
        <is>
          <t>61.5–67.2</t>
        </is>
      </c>
      <c r="J29" s="9" t="n">
        <v>5</v>
      </c>
      <c r="K29" s="9" t="n">
        <v>4</v>
      </c>
      <c r="L29" s="9" t="inlineStr">
        <is>
          <t>主</t>
        </is>
      </c>
      <c r="M29" s="11">
        <f>IF(COUNTIFS($C$4:$C$36,C29,$L$4:$L$36,"补")=0,1,IF(L29="补",0.1,0.9))*H29/SUMIFS($H$4:$H$36,$C$4:$C$36,C29,$L$4:$L$36,L29)</f>
        <v/>
      </c>
      <c r="N29" s="12">
        <f>M29*$B$1</f>
        <v/>
      </c>
      <c r="O29" s="9" t="inlineStr">
        <is>
          <t>延长（原 GGCTRCACACRTGCTACAA，5′端加 1 nt，使 58 °C 下 ΔG≤−11.8）</t>
        </is>
      </c>
    </row>
    <row r="30">
      <c r="A30" s="6" t="n">
        <v>27</v>
      </c>
      <c r="B30" s="6" t="inlineStr">
        <is>
          <t>16S-A6-F.2</t>
        </is>
      </c>
      <c r="C30" s="6" t="inlineStr">
        <is>
          <t>A6-F</t>
        </is>
      </c>
      <c r="D30" s="6" t="inlineStr">
        <is>
          <t>主引物</t>
        </is>
      </c>
      <c r="E30" s="4" t="inlineStr">
        <is>
          <t>GGCKACACACGTGMTACAA</t>
        </is>
      </c>
      <c r="F30" s="6" t="inlineStr">
        <is>
          <t>1222–1240</t>
        </is>
      </c>
      <c r="G30" s="6" t="n">
        <v>19</v>
      </c>
      <c r="H30" s="4" t="n">
        <v>4</v>
      </c>
      <c r="I30" s="6" t="inlineStr">
        <is>
          <t>58.6–64.5</t>
        </is>
      </c>
      <c r="J30" s="6" t="n">
        <v>17</v>
      </c>
      <c r="K30" s="6" t="n">
        <v>12</v>
      </c>
      <c r="L30" s="6" t="inlineStr">
        <is>
          <t>主</t>
        </is>
      </c>
      <c r="M30" s="7">
        <f>IF(COUNTIFS($C$4:$C$36,C30,$L$4:$L$36,"补")=0,1,IF(L30="补",0.1,0.9))*H30/SUMIFS($H$4:$H$36,$C$4:$C$36,C30,$L$4:$L$36,L30)</f>
        <v/>
      </c>
      <c r="N30" s="8">
        <f>M30*$B$1</f>
        <v/>
      </c>
      <c r="O30" s="6" t="inlineStr"/>
    </row>
    <row r="31">
      <c r="A31" s="9" t="n">
        <v>28</v>
      </c>
      <c r="B31" s="9" t="inlineStr">
        <is>
          <t>16S-A6-F.3</t>
        </is>
      </c>
      <c r="C31" s="9" t="inlineStr">
        <is>
          <t>A6-F</t>
        </is>
      </c>
      <c r="D31" s="9" t="inlineStr">
        <is>
          <t>主引物</t>
        </is>
      </c>
      <c r="E31" s="10" t="inlineStr">
        <is>
          <t>GGCTWCACGCCTGCTACAW</t>
        </is>
      </c>
      <c r="F31" s="9" t="inlineStr">
        <is>
          <t>1222–1240</t>
        </is>
      </c>
      <c r="G31" s="9" t="n">
        <v>19</v>
      </c>
      <c r="H31" s="10" t="n">
        <v>4</v>
      </c>
      <c r="I31" s="9" t="inlineStr">
        <is>
          <t>63.5–64.3</t>
        </is>
      </c>
      <c r="J31" s="9" t="n">
        <v>16</v>
      </c>
      <c r="K31" s="9" t="n">
        <v>8</v>
      </c>
      <c r="L31" s="9" t="inlineStr">
        <is>
          <t>主</t>
        </is>
      </c>
      <c r="M31" s="11">
        <f>IF(COUNTIFS($C$4:$C$36,C31,$L$4:$L$36,"补")=0,1,IF(L31="补",0.1,0.9))*H31/SUMIFS($H$4:$H$36,$C$4:$C$36,C31,$L$4:$L$36,L31)</f>
        <v/>
      </c>
      <c r="N31" s="12">
        <f>M31*$B$1</f>
        <v/>
      </c>
      <c r="O31" s="13" t="inlineStr">
        <is>
          <t>【已修改】第 11 位 G→C，打断回文 CACGCGTG</t>
        </is>
      </c>
    </row>
    <row r="32">
      <c r="A32" s="9" t="n">
        <v>29</v>
      </c>
      <c r="B32" s="9" t="inlineStr">
        <is>
          <t>16S-A6-F.4s</t>
        </is>
      </c>
      <c r="C32" s="9" t="inlineStr">
        <is>
          <t>A6-F</t>
        </is>
      </c>
      <c r="D32" s="9" t="inlineStr">
        <is>
          <t>补充</t>
        </is>
      </c>
      <c r="E32" s="10" t="inlineStr">
        <is>
          <t>TGGGCYWCACACGTACTACAA</t>
        </is>
      </c>
      <c r="F32" s="9" t="inlineStr">
        <is>
          <t>1220–1240</t>
        </is>
      </c>
      <c r="G32" s="9" t="n">
        <v>21</v>
      </c>
      <c r="H32" s="10" t="n">
        <v>4</v>
      </c>
      <c r="I32" s="9" t="inlineStr">
        <is>
          <t>62.3–65.2</t>
        </is>
      </c>
      <c r="J32" s="9" t="n">
        <v>0</v>
      </c>
      <c r="K32" s="9" t="n">
        <v>0</v>
      </c>
      <c r="L32" s="9" t="inlineStr">
        <is>
          <t>补</t>
        </is>
      </c>
      <c r="M32" s="11">
        <f>IF(COUNTIFS($C$4:$C$36,C32,$L$4:$L$36,"补")=0,1,IF(L32="补",0.1,0.9))*H32/SUMIFS($H$4:$H$36,$C$4:$C$36,C32,$L$4:$L$36,L32)</f>
        <v/>
      </c>
      <c r="N32" s="12">
        <f>M32*$B$1</f>
        <v/>
      </c>
      <c r="O32" s="9" t="inlineStr">
        <is>
          <t>延长（原 GGCYWCACACGTACTACAA，5′端加 2 nt，使 58 °C 下 ΔG≤−11.8）</t>
        </is>
      </c>
    </row>
    <row r="33">
      <c r="A33" s="9" t="n">
        <v>30</v>
      </c>
      <c r="B33" s="9" t="inlineStr">
        <is>
          <t>16S-A6-F.5s</t>
        </is>
      </c>
      <c r="C33" s="9" t="inlineStr">
        <is>
          <t>A6-F</t>
        </is>
      </c>
      <c r="D33" s="9" t="inlineStr">
        <is>
          <t>补充</t>
        </is>
      </c>
      <c r="E33" s="10" t="inlineStr">
        <is>
          <t>GGGCTTCACACGTCATACAA</t>
        </is>
      </c>
      <c r="F33" s="9" t="inlineStr">
        <is>
          <t>1221–1240</t>
        </is>
      </c>
      <c r="G33" s="9" t="n">
        <v>20</v>
      </c>
      <c r="H33" s="10" t="n">
        <v>1</v>
      </c>
      <c r="I33" s="9" t="inlineStr">
        <is>
          <t>61.7–61.7</t>
        </is>
      </c>
      <c r="J33" s="9" t="n">
        <v>1</v>
      </c>
      <c r="K33" s="9" t="n">
        <v>3</v>
      </c>
      <c r="L33" s="9" t="inlineStr">
        <is>
          <t>补</t>
        </is>
      </c>
      <c r="M33" s="11">
        <f>IF(COUNTIFS($C$4:$C$36,C33,$L$4:$L$36,"补")=0,1,IF(L33="补",0.1,0.9))*H33/SUMIFS($H$4:$H$36,$C$4:$C$36,C33,$L$4:$L$36,L33)</f>
        <v/>
      </c>
      <c r="N33" s="12">
        <f>M33*$B$1</f>
        <v/>
      </c>
      <c r="O33" s="9" t="inlineStr">
        <is>
          <t>延长（原 GGCTTCACACGTCATACAA，5′端加 1 nt，使 58 °C 下 ΔG≤−11.8）</t>
        </is>
      </c>
    </row>
    <row r="34">
      <c r="A34" s="9" t="n">
        <v>31</v>
      </c>
      <c r="B34" s="9" t="inlineStr">
        <is>
          <t>16S-A6-R.1</t>
        </is>
      </c>
      <c r="C34" s="9" t="inlineStr">
        <is>
          <t>A6-R</t>
        </is>
      </c>
      <c r="D34" s="9" t="inlineStr">
        <is>
          <t>主引物</t>
        </is>
      </c>
      <c r="E34" s="10" t="inlineStr">
        <is>
          <t>ACCTTGTTACGACTTCRYCCY</t>
        </is>
      </c>
      <c r="F34" s="9" t="inlineStr">
        <is>
          <t>1486–1506</t>
        </is>
      </c>
      <c r="G34" s="9" t="n">
        <v>21</v>
      </c>
      <c r="H34" s="10" t="n">
        <v>8</v>
      </c>
      <c r="I34" s="9" t="inlineStr">
        <is>
          <t>60.2–66.1</t>
        </is>
      </c>
      <c r="J34" s="9" t="n">
        <v>1</v>
      </c>
      <c r="K34" s="9" t="n">
        <v>4</v>
      </c>
      <c r="L34" s="9" t="inlineStr">
        <is>
          <t>主</t>
        </is>
      </c>
      <c r="M34" s="11">
        <f>IF(COUNTIFS($C$4:$C$36,C34,$L$4:$L$36,"补")=0,1,IF(L34="补",0.1,0.9))*H34/SUMIFS($H$4:$H$36,$C$4:$C$36,C34,$L$4:$L$36,L34)</f>
        <v/>
      </c>
      <c r="N34" s="12">
        <f>M34*$B$1</f>
        <v/>
      </c>
      <c r="O34" s="9" t="inlineStr">
        <is>
          <t>延长（原 CTTGTTACGACTTCRYCCY，5′端加 2 nt，使 58 °C 下 ΔG≤−11.8）</t>
        </is>
      </c>
    </row>
    <row r="35">
      <c r="A35" s="9" t="n">
        <v>32</v>
      </c>
      <c r="B35" s="9" t="inlineStr">
        <is>
          <t>16S-A6-R.3</t>
        </is>
      </c>
      <c r="C35" s="9" t="inlineStr">
        <is>
          <t>A6-R</t>
        </is>
      </c>
      <c r="D35" s="9" t="inlineStr">
        <is>
          <t>主引物</t>
        </is>
      </c>
      <c r="E35" s="10" t="inlineStr">
        <is>
          <t>ACCTTGTTACGACTTMACHCC</t>
        </is>
      </c>
      <c r="F35" s="9" t="inlineStr">
        <is>
          <t>1486–1506</t>
        </is>
      </c>
      <c r="G35" s="9" t="n">
        <v>21</v>
      </c>
      <c r="H35" s="10" t="n">
        <v>6</v>
      </c>
      <c r="I35" s="9" t="inlineStr">
        <is>
          <t>58.7–63.4</t>
        </is>
      </c>
      <c r="J35" s="9" t="n">
        <v>1</v>
      </c>
      <c r="K35" s="9" t="n">
        <v>1</v>
      </c>
      <c r="L35" s="9" t="inlineStr">
        <is>
          <t>主</t>
        </is>
      </c>
      <c r="M35" s="11">
        <f>IF(COUNTIFS($C$4:$C$36,C35,$L$4:$L$36,"补")=0,1,IF(L35="补",0.1,0.9))*H35/SUMIFS($H$4:$H$36,$C$4:$C$36,C35,$L$4:$L$36,L35)</f>
        <v/>
      </c>
      <c r="N35" s="12">
        <f>M35*$B$1</f>
        <v/>
      </c>
      <c r="O35" s="9" t="inlineStr">
        <is>
          <t>延长（原 CCTTGTTACGACTTMACHCC，5′端加 1 nt，使 58 °C 下 ΔG≤−11.8）</t>
        </is>
      </c>
    </row>
    <row r="36">
      <c r="A36" s="9" t="n">
        <v>33</v>
      </c>
      <c r="B36" s="9" t="inlineStr">
        <is>
          <t>16S-A1-F.6s</t>
        </is>
      </c>
      <c r="C36" s="9" t="inlineStr">
        <is>
          <t>A1-F</t>
        </is>
      </c>
      <c r="D36" s="9" t="inlineStr">
        <is>
          <t>补充引物（双歧杆菌）</t>
        </is>
      </c>
      <c r="E36" s="10" t="inlineStr">
        <is>
          <t>GGGTTYGATTCTGGCTCAG</t>
        </is>
      </c>
      <c r="F36" s="9" t="inlineStr">
        <is>
          <t>9–27</t>
        </is>
      </c>
      <c r="G36" s="9" t="n">
        <v>19</v>
      </c>
      <c r="H36" s="10" t="n">
        <v>2</v>
      </c>
      <c r="I36" s="9" t="inlineStr">
        <is>
          <t>59.5–61.6</t>
        </is>
      </c>
      <c r="J36" s="9" t="n">
        <v>77</v>
      </c>
      <c r="K36" s="9" t="n">
        <v>122</v>
      </c>
      <c r="L36" s="9" t="inlineStr">
        <is>
          <t>补</t>
        </is>
      </c>
      <c r="M36" s="11">
        <f>IF(COUNTIFS($C$4:$C$36,C36,$L$4:$L$36,"补")=0,1,IF(L36="补",0.1,0.9))*H36/SUMIFS($H$4:$H$36,$C$4:$C$36,C36,$L$4:$L$36,L36)</f>
        <v/>
      </c>
      <c r="N36" s="12">
        <f>M36*$B$1</f>
        <v/>
      </c>
      <c r="O36" s="9" t="inlineStr">
        <is>
          <t>双歧杆菌补充（Bifidobacteriaceae 8/8，仅 8 条有 V1 数据，需用 B. longum 验证）</t>
        </is>
      </c>
    </row>
    <row r="37">
      <c r="B37" s="3" t="inlineStr">
        <is>
          <t>合计</t>
        </is>
      </c>
      <c r="H37" s="3">
        <f>SUM(H4:H36)</f>
        <v/>
      </c>
      <c r="N37" s="3">
        <f>SUM(N4:N36)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4" customWidth="1" min="5" max="5"/>
  </cols>
  <sheetData>
    <row r="1">
      <c r="A1" s="14" t="inlineStr">
        <is>
          <t>位点</t>
        </is>
      </c>
      <c r="B1" s="14" t="inlineStr">
        <is>
          <t>引物数</t>
        </is>
      </c>
      <c r="C1" s="14" t="inlineStr">
        <is>
          <t>展开数</t>
        </is>
      </c>
      <c r="D1" s="14" t="inlineStr">
        <is>
          <t>加入体积 µL（合计）</t>
        </is>
      </c>
      <c r="E1" s="14" t="inlineStr">
        <is>
          <t>位置</t>
        </is>
      </c>
    </row>
    <row r="2">
      <c r="A2" s="6" t="inlineStr">
        <is>
          <t>A1-F</t>
        </is>
      </c>
      <c r="B2" s="6">
        <f>COUNTIF('订购清单'!$C$4:$C$36,A2)</f>
        <v/>
      </c>
      <c r="C2" s="6">
        <f>SUMIFS('订购清单'!$H$4:$H$36,'订购清单'!$C$4:$C$36,A2)</f>
        <v/>
      </c>
      <c r="D2" s="8">
        <f>SUMIFS('订购清单'!$N$4:$N$36,'订购清单'!$C$4:$C$36,A2)</f>
        <v/>
      </c>
      <c r="E2" s="6" t="inlineStr">
        <is>
          <t>9–27</t>
        </is>
      </c>
    </row>
    <row r="3">
      <c r="A3" s="6" t="inlineStr">
        <is>
          <t>A1-R</t>
        </is>
      </c>
      <c r="B3" s="6">
        <f>COUNTIF('订购清单'!$C$4:$C$36,A3)</f>
        <v/>
      </c>
      <c r="C3" s="6">
        <f>SUMIFS('订购清单'!$H$4:$H$36,'订购清单'!$C$4:$C$36,A3)</f>
        <v/>
      </c>
      <c r="D3" s="8">
        <f>SUMIFS('订购清单'!$N$4:$N$36,'订购清单'!$C$4:$C$36,A3)</f>
        <v/>
      </c>
      <c r="E3" s="6" t="inlineStr">
        <is>
          <t>246–265</t>
        </is>
      </c>
    </row>
    <row r="4">
      <c r="A4" s="6" t="inlineStr">
        <is>
          <t>A2-F</t>
        </is>
      </c>
      <c r="B4" s="6">
        <f>COUNTIF('订购清单'!$C$4:$C$36,A4)</f>
        <v/>
      </c>
      <c r="C4" s="6">
        <f>SUMIFS('订购清单'!$H$4:$H$36,'订购清单'!$C$4:$C$36,A4)</f>
        <v/>
      </c>
      <c r="D4" s="8">
        <f>SUMIFS('订购清单'!$N$4:$N$36,'订购清单'!$C$4:$C$36,A4)</f>
        <v/>
      </c>
      <c r="E4" s="6" t="inlineStr">
        <is>
          <t>334–352</t>
        </is>
      </c>
    </row>
    <row r="5">
      <c r="A5" s="6" t="inlineStr">
        <is>
          <t>A2-R</t>
        </is>
      </c>
      <c r="B5" s="6">
        <f>COUNTIF('订购清单'!$C$4:$C$36,A5)</f>
        <v/>
      </c>
      <c r="C5" s="6">
        <f>SUMIFS('订购清单'!$H$4:$H$36,'订购清单'!$C$4:$C$36,A5)</f>
        <v/>
      </c>
      <c r="D5" s="8">
        <f>SUMIFS('订购清单'!$N$4:$N$36,'订购清单'!$C$4:$C$36,A5)</f>
        <v/>
      </c>
      <c r="E5" s="6" t="inlineStr">
        <is>
          <t>504–522</t>
        </is>
      </c>
    </row>
    <row r="6">
      <c r="A6" s="6" t="inlineStr">
        <is>
          <t>A3-F</t>
        </is>
      </c>
      <c r="B6" s="6">
        <f>COUNTIF('订购清单'!$C$4:$C$36,A6)</f>
        <v/>
      </c>
      <c r="C6" s="6">
        <f>SUMIFS('订购清单'!$H$4:$H$36,'订购清单'!$C$4:$C$36,A6)</f>
        <v/>
      </c>
      <c r="D6" s="8">
        <f>SUMIFS('订购清单'!$N$4:$N$36,'订购清单'!$C$4:$C$36,A6)</f>
        <v/>
      </c>
      <c r="E6" s="6" t="inlineStr">
        <is>
          <t>518–536（515F 型）</t>
        </is>
      </c>
    </row>
    <row r="7">
      <c r="A7" s="6" t="inlineStr">
        <is>
          <t>A3-R</t>
        </is>
      </c>
      <c r="B7" s="6">
        <f>COUNTIF('订购清单'!$C$4:$C$36,A7)</f>
        <v/>
      </c>
      <c r="C7" s="6">
        <f>SUMIFS('订购清单'!$H$4:$H$36,'订购清单'!$C$4:$C$36,A7)</f>
        <v/>
      </c>
      <c r="D7" s="8">
        <f>SUMIFS('订购清单'!$N$4:$N$36,'订购清单'!$C$4:$C$36,A7)</f>
        <v/>
      </c>
      <c r="E7" s="6" t="inlineStr">
        <is>
          <t>774–792</t>
        </is>
      </c>
    </row>
    <row r="8">
      <c r="A8" s="6" t="inlineStr">
        <is>
          <t>A4-F</t>
        </is>
      </c>
      <c r="B8" s="6">
        <f>COUNTIF('订购清单'!$C$4:$C$36,A8)</f>
        <v/>
      </c>
      <c r="C8" s="6">
        <f>SUMIFS('订购清单'!$H$4:$H$36,'订购清单'!$C$4:$C$36,A8)</f>
        <v/>
      </c>
      <c r="D8" s="8">
        <f>SUMIFS('订购清单'!$N$4:$N$36,'订购清单'!$C$4:$C$36,A8)</f>
        <v/>
      </c>
      <c r="E8" s="6" t="inlineStr">
        <is>
          <t>788–806（785F 型）</t>
        </is>
      </c>
    </row>
    <row r="9">
      <c r="A9" s="6" t="inlineStr">
        <is>
          <t>A4-R</t>
        </is>
      </c>
      <c r="B9" s="6">
        <f>COUNTIF('订购清单'!$C$4:$C$36,A9)</f>
        <v/>
      </c>
      <c r="C9" s="6">
        <f>SUMIFS('订购清单'!$H$4:$H$36,'订购清单'!$C$4:$C$36,A9)</f>
        <v/>
      </c>
      <c r="D9" s="8">
        <f>SUMIFS('订购清单'!$N$4:$N$36,'订购清单'!$C$4:$C$36,A9)</f>
        <v/>
      </c>
      <c r="E9" s="6" t="inlineStr">
        <is>
          <t>954–972</t>
        </is>
      </c>
    </row>
    <row r="10">
      <c r="A10" s="6" t="inlineStr">
        <is>
          <t>A5-F</t>
        </is>
      </c>
      <c r="B10" s="6">
        <f>COUNTIF('订购清单'!$C$4:$C$36,A10)</f>
        <v/>
      </c>
      <c r="C10" s="6">
        <f>SUMIFS('订购清单'!$H$4:$H$36,'订购清单'!$C$4:$C$36,A10)</f>
        <v/>
      </c>
      <c r="D10" s="8">
        <f>SUMIFS('订购清单'!$N$4:$N$36,'订购清单'!$C$4:$C$36,A10)</f>
        <v/>
      </c>
      <c r="E10" s="6" t="inlineStr">
        <is>
          <t>967–985</t>
        </is>
      </c>
    </row>
    <row r="11">
      <c r="A11" s="6" t="inlineStr">
        <is>
          <t>A5-R</t>
        </is>
      </c>
      <c r="B11" s="6">
        <f>COUNTIF('订购清单'!$C$4:$C$36,A11)</f>
        <v/>
      </c>
      <c r="C11" s="6">
        <f>SUMIFS('订购清单'!$H$4:$H$36,'订购清单'!$C$4:$C$36,A11)</f>
        <v/>
      </c>
      <c r="D11" s="8">
        <f>SUMIFS('订购清单'!$N$4:$N$36,'订购清单'!$C$4:$C$36,A11)</f>
        <v/>
      </c>
      <c r="E11" s="6" t="inlineStr">
        <is>
          <t>1192–1210</t>
        </is>
      </c>
    </row>
    <row r="12">
      <c r="A12" s="6" t="inlineStr">
        <is>
          <t>A6-F</t>
        </is>
      </c>
      <c r="B12" s="6">
        <f>COUNTIF('订购清单'!$C$4:$C$36,A12)</f>
        <v/>
      </c>
      <c r="C12" s="6">
        <f>SUMIFS('订购清单'!$H$4:$H$36,'订购清单'!$C$4:$C$36,A12)</f>
        <v/>
      </c>
      <c r="D12" s="8">
        <f>SUMIFS('订购清单'!$N$4:$N$36,'订购清单'!$C$4:$C$36,A12)</f>
        <v/>
      </c>
      <c r="E12" s="6" t="inlineStr">
        <is>
          <t>1222–1240</t>
        </is>
      </c>
    </row>
    <row r="13">
      <c r="A13" s="6" t="inlineStr">
        <is>
          <t>A6-R</t>
        </is>
      </c>
      <c r="B13" s="6">
        <f>COUNTIF('订购清单'!$C$4:$C$36,A13)</f>
        <v/>
      </c>
      <c r="C13" s="6">
        <f>SUMIFS('订购清单'!$H$4:$H$36,'订购清单'!$C$4:$C$36,A13)</f>
        <v/>
      </c>
      <c r="D13" s="8">
        <f>SUMIFS('订购清单'!$N$4:$N$36,'订购清单'!$C$4:$C$36,A13)</f>
        <v/>
      </c>
      <c r="E13" s="6" t="inlineStr">
        <is>
          <t>1486–1504</t>
        </is>
      </c>
    </row>
    <row r="14">
      <c r="A14" s="3" t="inlineStr">
        <is>
          <t>合计</t>
        </is>
      </c>
      <c r="B14" s="3">
        <f>SUM(B2:B13)</f>
        <v/>
      </c>
      <c r="C14" s="3">
        <f>SUM(C2:C13)</f>
        <v/>
      </c>
      <c r="D14" s="15">
        <f>SUM(D2:D13)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4" customWidth="1" min="5" max="5"/>
    <col width="14" customWidth="1" min="6" max="6"/>
    <col width="34" customWidth="1" min="7" max="7"/>
  </cols>
  <sheetData>
    <row r="1">
      <c r="A1" s="14" t="inlineStr">
        <is>
          <t>扩增子</t>
        </is>
      </c>
      <c r="B1" s="14" t="inlineStr">
        <is>
          <t>区域</t>
        </is>
      </c>
      <c r="C1" s="14" t="inlineStr">
        <is>
          <t>正向引物位点</t>
        </is>
      </c>
      <c r="D1" s="14" t="inlineStr">
        <is>
          <t>反向引物位点</t>
        </is>
      </c>
      <c r="E1" s="14" t="inlineStr">
        <is>
          <t>扩增子范围</t>
        </is>
      </c>
      <c r="F1" s="14" t="inlineStr">
        <is>
          <t>长度 bp（约）</t>
        </is>
      </c>
      <c r="G1" s="14" t="inlineStr">
        <is>
          <t>2×150 内联 UDP 可读通</t>
        </is>
      </c>
    </row>
    <row r="2">
      <c r="A2" s="6" t="inlineStr">
        <is>
          <t>A1</t>
        </is>
      </c>
      <c r="B2" s="6" t="inlineStr">
        <is>
          <t>V1·V2</t>
        </is>
      </c>
      <c r="C2" s="6" t="inlineStr">
        <is>
          <t>9–27</t>
        </is>
      </c>
      <c r="D2" s="6" t="inlineStr">
        <is>
          <t>246–266</t>
        </is>
      </c>
      <c r="E2" s="6" t="inlineStr">
        <is>
          <t>9–266</t>
        </is>
      </c>
      <c r="F2" s="6" t="n">
        <v>258</v>
      </c>
      <c r="G2" s="6">
        <f>IF(F2&lt;=280,"是","基本（中间 "&amp;(F2-280)&amp;" bp 未读到）")</f>
        <v/>
      </c>
    </row>
    <row r="3">
      <c r="A3" s="6" t="inlineStr">
        <is>
          <t>A2</t>
        </is>
      </c>
      <c r="B3" s="6" t="inlineStr">
        <is>
          <t>V3</t>
        </is>
      </c>
      <c r="C3" s="6" t="inlineStr">
        <is>
          <t>334–352</t>
        </is>
      </c>
      <c r="D3" s="6" t="inlineStr">
        <is>
          <t>504–523</t>
        </is>
      </c>
      <c r="E3" s="6" t="inlineStr">
        <is>
          <t>334–523</t>
        </is>
      </c>
      <c r="F3" s="6" t="n">
        <v>190</v>
      </c>
      <c r="G3" s="6">
        <f>IF(F3&lt;=280,"是","基本（中间 "&amp;(F3-280)&amp;" bp 未读到）")</f>
        <v/>
      </c>
    </row>
    <row r="4">
      <c r="A4" s="6" t="inlineStr">
        <is>
          <t>A3</t>
        </is>
      </c>
      <c r="B4" s="6" t="inlineStr">
        <is>
          <t>V4</t>
        </is>
      </c>
      <c r="C4" s="6" t="inlineStr">
        <is>
          <t>518–536</t>
        </is>
      </c>
      <c r="D4" s="6" t="inlineStr">
        <is>
          <t>774–792</t>
        </is>
      </c>
      <c r="E4" s="6" t="inlineStr">
        <is>
          <t>518–792</t>
        </is>
      </c>
      <c r="F4" s="6" t="n">
        <v>275</v>
      </c>
      <c r="G4" s="6">
        <f>IF(F4&lt;=280,"是","基本（中间 "&amp;(F4-280)&amp;" bp 未读到）")</f>
        <v/>
      </c>
    </row>
    <row r="5">
      <c r="A5" s="6" t="inlineStr">
        <is>
          <t>A4</t>
        </is>
      </c>
      <c r="B5" s="6" t="inlineStr">
        <is>
          <t>V5</t>
        </is>
      </c>
      <c r="C5" s="6" t="inlineStr">
        <is>
          <t>786–806</t>
        </is>
      </c>
      <c r="D5" s="6" t="inlineStr">
        <is>
          <t>954–973</t>
        </is>
      </c>
      <c r="E5" s="6" t="inlineStr">
        <is>
          <t>786–973</t>
        </is>
      </c>
      <c r="F5" s="6" t="n">
        <v>188</v>
      </c>
      <c r="G5" s="6">
        <f>IF(F5&lt;=280,"是","基本（中间 "&amp;(F5-280)&amp;" bp 未读到）")</f>
        <v/>
      </c>
    </row>
    <row r="6">
      <c r="A6" s="6" t="inlineStr">
        <is>
          <t>A5</t>
        </is>
      </c>
      <c r="B6" s="6" t="inlineStr">
        <is>
          <t>V6·V7</t>
        </is>
      </c>
      <c r="C6" s="6" t="inlineStr">
        <is>
          <t>967–985</t>
        </is>
      </c>
      <c r="D6" s="6" t="inlineStr">
        <is>
          <t>1192–1210</t>
        </is>
      </c>
      <c r="E6" s="6" t="inlineStr">
        <is>
          <t>967–1210</t>
        </is>
      </c>
      <c r="F6" s="6" t="n">
        <v>244</v>
      </c>
      <c r="G6" s="6">
        <f>IF(F6&lt;=280,"是","基本（中间 "&amp;(F6-280)&amp;" bp 未读到）")</f>
        <v/>
      </c>
    </row>
    <row r="7">
      <c r="A7" s="6" t="inlineStr">
        <is>
          <t>A6</t>
        </is>
      </c>
      <c r="B7" s="6" t="inlineStr">
        <is>
          <t>V8·V9</t>
        </is>
      </c>
      <c r="C7" s="6" t="inlineStr">
        <is>
          <t>1220–1240</t>
        </is>
      </c>
      <c r="D7" s="6" t="inlineStr">
        <is>
          <t>1486–1506</t>
        </is>
      </c>
      <c r="E7" s="6" t="inlineStr">
        <is>
          <t>1220–1506</t>
        </is>
      </c>
      <c r="F7" s="6" t="n">
        <v>287</v>
      </c>
      <c r="G7" s="6">
        <f>IF(F7&lt;=280,"是","基本（中间 "&amp;(F7-280)&amp;" bp 未读到）")</f>
        <v/>
      </c>
    </row>
    <row r="9">
      <c r="A9" s="6" t="inlineStr">
        <is>
          <t>相邻扩增子的引物位点 5′端重叠 5–7 nt（如 A3 反向 774–792 与 A4 正向 786–806 重叠 7 nt），3′端不重叠，管内无短于 188 bp 的交叉产物。长度为同一位点内所有引物外缘之间的最长产物，同位点内较短引物给出的产物最多短 3 bp。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24" customWidth="1" min="4" max="4"/>
    <col width="24" customWidth="1" min="5" max="5"/>
    <col width="60" customWidth="1" min="6" max="6"/>
    <col width="70" customWidth="1" min="7" max="7"/>
  </cols>
  <sheetData>
    <row r="1">
      <c r="A1" s="21" t="inlineStr">
        <is>
          <t>版本</t>
        </is>
      </c>
      <c r="B1" s="21" t="inlineStr">
        <is>
          <t>引物</t>
        </is>
      </c>
      <c r="C1" s="21" t="inlineStr">
        <is>
          <t>位置</t>
        </is>
      </c>
      <c r="D1" s="21" t="inlineStr">
        <is>
          <t>v3 序列</t>
        </is>
      </c>
      <c r="E1" s="21" t="inlineStr">
        <is>
          <t>v4 序列</t>
        </is>
      </c>
      <c r="F1" s="21" t="inlineStr">
        <is>
          <t>原因</t>
        </is>
      </c>
      <c r="G1" s="21" t="inlineStr">
        <is>
          <t>影响</t>
        </is>
      </c>
    </row>
    <row r="2">
      <c r="A2" s="16" t="inlineStr">
        <is>
          <t>v4</t>
        </is>
      </c>
      <c r="B2" s="16" t="inlineStr">
        <is>
          <t>16S-A2-R.1</t>
        </is>
      </c>
      <c r="C2" s="16" t="inlineStr">
        <is>
          <t>504–522</t>
        </is>
      </c>
      <c r="D2" s="16" t="inlineStr">
        <is>
          <t>GCTGGCACGKARTTAGCCR</t>
        </is>
      </c>
      <c r="E2" s="16" t="inlineStr">
        <is>
          <t>GCTGGCACGKARTTTGCCR</t>
        </is>
      </c>
      <c r="F2" s="16" t="inlineStr">
        <is>
          <t>加 UDP 尾巴后与 16S-A6-F.2 的 5′端形成 3′端互补（96 管中 23 管 3′端 ΔG&lt;-4.5）</t>
        </is>
      </c>
      <c r="G2" s="16" t="inlineStr">
        <is>
          <t>整管 A 级 63→80，C 级 0；覆盖率 SILVA 0.962→0.924、Greengenes 0.973→0.931；人 ≤2 错配 28→21，猪 11→21；Tm 范围 61.9–67.2→63.0–68.4；展开数不变（8）</t>
        </is>
      </c>
    </row>
    <row r="3">
      <c r="A3" s="16" t="inlineStr">
        <is>
          <t>说明</t>
        </is>
      </c>
      <c r="B3" s="16" t="inlineStr"/>
      <c r="C3" s="16" t="inlineStr"/>
      <c r="D3" s="16" t="inlineStr"/>
      <c r="E3" s="16" t="inlineStr"/>
      <c r="F3" s="16" t="inlineStr">
        <is>
          <t>不用 UDP 或后期不需要时可继续使用 v3 序列；用 UDP 且发现 A2 / A6 扩增子产量低或二聚体明显时再启用 v4。</t>
        </is>
      </c>
      <c r="G3" s="16" t="inlineStr">
        <is>
          <t>来源：docs/primer_design/udp_denovo960/primer_tweak/ 与 udp_strategy_report.html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2026-10-08T00:57:54Z</dcterms:created>
  <dcterms:modified xsi:type="dcterms:W3CDTF">2026-10-10T08:12:32Z</dcterms:modified>
</cp:coreProperties>
</file>