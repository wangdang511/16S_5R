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48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UDP：核心 48 对（96 对的前 48 对）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144×144 候选池算 i5×i7 的热点正向×反向相互作用 → 第四阶段模拟退火选 96 对并配对（前 48 对为核心 48 组）→ 整管实测，按实测互换 i7 修复。</t>
        </is>
      </c>
    </row>
    <row r="3">
      <c r="A3" s="2" t="inlineStr">
        <is>
          <t>分级来源：实测 48 个管；A：全局二聚体 ≥ −7 且 3′端 ≥ −4.5 kcal/mol；B：≥ −8.5 且 ≥ −5.5；C：其余（经验阈值，无尾巴基线 −5.7 / −3.8）。热点代理的预测比整管实测乐观，本表的分级均为整管实测。</t>
        </is>
      </c>
    </row>
    <row r="4">
      <c r="A4" s="2" t="inlineStr">
        <is>
          <t>分级结果：48 组 A 33 / B 15 / C 0。</t>
        </is>
      </c>
    </row>
    <row r="5">
      <c r="A5" s="2" t="inlineStr">
        <is>
          <t>引物池：primer_order_6amp_pool33_v3.xlsx（v4 相对 v3 只改 16S-A2-R.1 第 15 位 A→T；分级是用该引物池整管实测的）。</t>
        </is>
      </c>
    </row>
    <row r="6">
      <c r="A6" s="2" t="inlineStr">
        <is>
          <t>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7">
      <c r="A7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8">
      <c r="A8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U237</t>
        </is>
      </c>
      <c r="F2" s="4" t="inlineStr">
        <is>
          <t>U865</t>
        </is>
      </c>
      <c r="G2" s="5" t="inlineStr">
        <is>
          <t>CGGTATCGTC</t>
        </is>
      </c>
      <c r="H2" s="5" t="inlineStr">
        <is>
          <t>TGTTGTGCTT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B</t>
        </is>
      </c>
      <c r="L2" s="4" t="inlineStr">
        <is>
          <t>实测</t>
        </is>
      </c>
      <c r="M2" s="4" t="n">
        <v>-6.53</v>
      </c>
      <c r="N2" s="4" t="n">
        <v>-4.7</v>
      </c>
      <c r="O2" s="4" t="n">
        <v>-1.59</v>
      </c>
      <c r="P2" s="4" t="n">
        <v>65712</v>
      </c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U013</t>
        </is>
      </c>
      <c r="F3" s="4" t="inlineStr">
        <is>
          <t>U806</t>
        </is>
      </c>
      <c r="G3" s="5" t="inlineStr">
        <is>
          <t>CCATACCAAT</t>
        </is>
      </c>
      <c r="H3" s="5" t="inlineStr">
        <is>
          <t>GTCGGTAATA</t>
        </is>
      </c>
      <c r="I3" s="4">
        <f>LEN(SUBSTITUTE(SUBSTITUTE(G3,"A",""),"T",""))</f>
        <v/>
      </c>
      <c r="J3" s="4">
        <f>LEN(SUBSTITUTE(SUBSTITUTE(H3,"A",""),"T",""))</f>
        <v/>
      </c>
      <c r="K3" s="7" t="inlineStr">
        <is>
          <t>A</t>
        </is>
      </c>
      <c r="L3" s="4" t="inlineStr">
        <is>
          <t>实测</t>
        </is>
      </c>
      <c r="M3" s="4" t="n">
        <v>-6.1</v>
      </c>
      <c r="N3" s="4" t="n">
        <v>-4.17</v>
      </c>
      <c r="O3" s="4" t="n">
        <v>-2.61</v>
      </c>
      <c r="P3" s="4" t="n">
        <v>51689</v>
      </c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U158</t>
        </is>
      </c>
      <c r="F4" s="4" t="inlineStr">
        <is>
          <t>U497</t>
        </is>
      </c>
      <c r="G4" s="5" t="inlineStr">
        <is>
          <t>CACGCTTCCA</t>
        </is>
      </c>
      <c r="H4" s="5" t="inlineStr">
        <is>
          <t>CGGACCTATA</t>
        </is>
      </c>
      <c r="I4" s="4">
        <f>LEN(SUBSTITUTE(SUBSTITUTE(G4,"A",""),"T",""))</f>
        <v/>
      </c>
      <c r="J4" s="4">
        <f>LEN(SUBSTITUTE(SUBSTITUTE(H4,"A",""),"T",""))</f>
        <v/>
      </c>
      <c r="K4" s="7" t="inlineStr">
        <is>
          <t>A</t>
        </is>
      </c>
      <c r="L4" s="4" t="inlineStr">
        <is>
          <t>实测</t>
        </is>
      </c>
      <c r="M4" s="4" t="n">
        <v>-6.44</v>
      </c>
      <c r="N4" s="4" t="n">
        <v>-3.83</v>
      </c>
      <c r="O4" s="4" t="n">
        <v>-2.61</v>
      </c>
      <c r="P4" s="4" t="n">
        <v>60610</v>
      </c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U050</t>
        </is>
      </c>
      <c r="F5" s="4" t="inlineStr">
        <is>
          <t>U757</t>
        </is>
      </c>
      <c r="G5" s="5" t="inlineStr">
        <is>
          <t>GAGTCAGTAT</t>
        </is>
      </c>
      <c r="H5" s="5" t="inlineStr">
        <is>
          <t>AGACGATAGC</t>
        </is>
      </c>
      <c r="I5" s="4">
        <f>LEN(SUBSTITUTE(SUBSTITUTE(G5,"A",""),"T",""))</f>
        <v/>
      </c>
      <c r="J5" s="4">
        <f>LEN(SUBSTITUTE(SUBSTITUTE(H5,"A",""),"T",""))</f>
        <v/>
      </c>
      <c r="K5" s="7" t="inlineStr">
        <is>
          <t>A</t>
        </is>
      </c>
      <c r="L5" s="4" t="inlineStr">
        <is>
          <t>实测</t>
        </is>
      </c>
      <c r="M5" s="4" t="n">
        <v>-6.65</v>
      </c>
      <c r="N5" s="4" t="n">
        <v>-4.32</v>
      </c>
      <c r="O5" s="4" t="n">
        <v>-1.62</v>
      </c>
      <c r="P5" s="4" t="n">
        <v>157312</v>
      </c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U082</t>
        </is>
      </c>
      <c r="F6" s="4" t="inlineStr">
        <is>
          <t>U456</t>
        </is>
      </c>
      <c r="G6" s="5" t="inlineStr">
        <is>
          <t>CCATCCGGAA</t>
        </is>
      </c>
      <c r="H6" s="5" t="inlineStr">
        <is>
          <t>ACCGAACACC</t>
        </is>
      </c>
      <c r="I6" s="4">
        <f>LEN(SUBSTITUTE(SUBSTITUTE(G6,"A",""),"T",""))</f>
        <v/>
      </c>
      <c r="J6" s="4">
        <f>LEN(SUBSTITUTE(SUBSTITUTE(H6,"A",""),"T",""))</f>
        <v/>
      </c>
      <c r="K6" s="7" t="inlineStr">
        <is>
          <t>A</t>
        </is>
      </c>
      <c r="L6" s="4" t="inlineStr">
        <is>
          <t>实测</t>
        </is>
      </c>
      <c r="M6" s="4" t="n">
        <v>-6.03</v>
      </c>
      <c r="N6" s="4" t="n">
        <v>-3.83</v>
      </c>
      <c r="O6" s="4" t="n">
        <v>-1.62</v>
      </c>
      <c r="P6" s="4" t="n">
        <v>45375</v>
      </c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U669</t>
        </is>
      </c>
      <c r="F7" s="4" t="inlineStr">
        <is>
          <t>U035</t>
        </is>
      </c>
      <c r="G7" s="5" t="inlineStr">
        <is>
          <t>ATTAGCCTGA</t>
        </is>
      </c>
      <c r="H7" s="5" t="inlineStr">
        <is>
          <t>AATGCGGTCA</t>
        </is>
      </c>
      <c r="I7" s="4">
        <f>LEN(SUBSTITUTE(SUBSTITUTE(G7,"A",""),"T",""))</f>
        <v/>
      </c>
      <c r="J7" s="4">
        <f>LEN(SUBSTITUTE(SUBSTITUTE(H7,"A",""),"T",""))</f>
        <v/>
      </c>
      <c r="K7" s="7" t="inlineStr">
        <is>
          <t>A</t>
        </is>
      </c>
      <c r="L7" s="4" t="inlineStr">
        <is>
          <t>实测</t>
        </is>
      </c>
      <c r="M7" s="4" t="n">
        <v>-6.85</v>
      </c>
      <c r="N7" s="4" t="n">
        <v>-3.83</v>
      </c>
      <c r="O7" s="4" t="n">
        <v>-2.61</v>
      </c>
      <c r="P7" s="4" t="n">
        <v>149755</v>
      </c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U752</t>
        </is>
      </c>
      <c r="F8" s="4" t="inlineStr">
        <is>
          <t>U027</t>
        </is>
      </c>
      <c r="G8" s="5" t="inlineStr">
        <is>
          <t>CAGGAGGCAA</t>
        </is>
      </c>
      <c r="H8" s="5" t="inlineStr">
        <is>
          <t>GTGTTCCTAC</t>
        </is>
      </c>
      <c r="I8" s="4">
        <f>LEN(SUBSTITUTE(SUBSTITUTE(G8,"A",""),"T",""))</f>
        <v/>
      </c>
      <c r="J8" s="4">
        <f>LEN(SUBSTITUTE(SUBSTITUTE(H8,"A",""),"T",""))</f>
        <v/>
      </c>
      <c r="K8" s="7" t="inlineStr">
        <is>
          <t>A</t>
        </is>
      </c>
      <c r="L8" s="4" t="inlineStr">
        <is>
          <t>实测</t>
        </is>
      </c>
      <c r="M8" s="4" t="n">
        <v>-6.03</v>
      </c>
      <c r="N8" s="4" t="n">
        <v>-4.03</v>
      </c>
      <c r="O8" s="4" t="n">
        <v>-1.64</v>
      </c>
      <c r="P8" s="4" t="n">
        <v>65121</v>
      </c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U898</t>
        </is>
      </c>
      <c r="F9" s="4" t="inlineStr">
        <is>
          <t>U489</t>
        </is>
      </c>
      <c r="G9" s="5" t="inlineStr">
        <is>
          <t>GTAGGAGCGA</t>
        </is>
      </c>
      <c r="H9" s="5" t="inlineStr">
        <is>
          <t>AGGCGCCATT</t>
        </is>
      </c>
      <c r="I9" s="4">
        <f>LEN(SUBSTITUTE(SUBSTITUTE(G9,"A",""),"T",""))</f>
        <v/>
      </c>
      <c r="J9" s="4">
        <f>LEN(SUBSTITUTE(SUBSTITUTE(H9,"A",""),"T",""))</f>
        <v/>
      </c>
      <c r="K9" s="7" t="inlineStr">
        <is>
          <t>A</t>
        </is>
      </c>
      <c r="L9" s="4" t="inlineStr">
        <is>
          <t>实测</t>
        </is>
      </c>
      <c r="M9" s="4" t="n">
        <v>-6.47</v>
      </c>
      <c r="N9" s="4" t="n">
        <v>-3.83</v>
      </c>
      <c r="O9" s="4" t="n">
        <v>-1.59</v>
      </c>
      <c r="P9" s="4" t="n">
        <v>163714</v>
      </c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U954</t>
        </is>
      </c>
      <c r="F10" s="4" t="inlineStr">
        <is>
          <t>U878</t>
        </is>
      </c>
      <c r="G10" s="5" t="inlineStr">
        <is>
          <t>GTTATCGGCC</t>
        </is>
      </c>
      <c r="H10" s="5" t="inlineStr">
        <is>
          <t>TAACTGAAGC</t>
        </is>
      </c>
      <c r="I10" s="4">
        <f>LEN(SUBSTITUTE(SUBSTITUTE(G10,"A",""),"T",""))</f>
        <v/>
      </c>
      <c r="J10" s="4">
        <f>LEN(SUBSTITUTE(SUBSTITUTE(H10,"A",""),"T",""))</f>
        <v/>
      </c>
      <c r="K10" s="6" t="inlineStr">
        <is>
          <t>B</t>
        </is>
      </c>
      <c r="L10" s="4" t="inlineStr">
        <is>
          <t>实测</t>
        </is>
      </c>
      <c r="M10" s="4" t="n">
        <v>-8.33</v>
      </c>
      <c r="N10" s="4" t="n">
        <v>-4.54</v>
      </c>
      <c r="O10" s="4" t="n">
        <v>-1.62</v>
      </c>
      <c r="P10" s="4" t="n">
        <v>408389</v>
      </c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U701</t>
        </is>
      </c>
      <c r="F11" s="4" t="inlineStr">
        <is>
          <t>U102</t>
        </is>
      </c>
      <c r="G11" s="5" t="inlineStr">
        <is>
          <t>CCACAATGTT</t>
        </is>
      </c>
      <c r="H11" s="5" t="inlineStr">
        <is>
          <t>CTATCCTCGG</t>
        </is>
      </c>
      <c r="I11" s="4">
        <f>LEN(SUBSTITUTE(SUBSTITUTE(G11,"A",""),"T",""))</f>
        <v/>
      </c>
      <c r="J11" s="4">
        <f>LEN(SUBSTITUTE(SUBSTITUTE(H11,"A",""),"T",""))</f>
        <v/>
      </c>
      <c r="K11" s="7" t="inlineStr">
        <is>
          <t>A</t>
        </is>
      </c>
      <c r="L11" s="4" t="inlineStr">
        <is>
          <t>实测</t>
        </is>
      </c>
      <c r="M11" s="4" t="n">
        <v>-6.44</v>
      </c>
      <c r="N11" s="4" t="n">
        <v>-4.41</v>
      </c>
      <c r="O11" s="4" t="n">
        <v>-3.69</v>
      </c>
      <c r="P11" s="4" t="n">
        <v>37900</v>
      </c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U496</t>
        </is>
      </c>
      <c r="F12" s="4" t="inlineStr">
        <is>
          <t>U179</t>
        </is>
      </c>
      <c r="G12" s="5" t="inlineStr">
        <is>
          <t>CGCATAAGGT</t>
        </is>
      </c>
      <c r="H12" s="5" t="inlineStr">
        <is>
          <t>TCAACCTTGC</t>
        </is>
      </c>
      <c r="I12" s="4">
        <f>LEN(SUBSTITUTE(SUBSTITUTE(G12,"A",""),"T",""))</f>
        <v/>
      </c>
      <c r="J12" s="4">
        <f>LEN(SUBSTITUTE(SUBSTITUTE(H12,"A",""),"T",""))</f>
        <v/>
      </c>
      <c r="K12" s="7" t="inlineStr">
        <is>
          <t>A</t>
        </is>
      </c>
      <c r="L12" s="4" t="inlineStr">
        <is>
          <t>实测</t>
        </is>
      </c>
      <c r="M12" s="4" t="n">
        <v>-6</v>
      </c>
      <c r="N12" s="4" t="n">
        <v>-3.83</v>
      </c>
      <c r="O12" s="4" t="n">
        <v>-1.62</v>
      </c>
      <c r="P12" s="4" t="n">
        <v>82349</v>
      </c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U565</t>
        </is>
      </c>
      <c r="F13" s="4" t="inlineStr">
        <is>
          <t>U795</t>
        </is>
      </c>
      <c r="G13" s="5" t="inlineStr">
        <is>
          <t>TCGACGTAGG</t>
        </is>
      </c>
      <c r="H13" s="5" t="inlineStr">
        <is>
          <t>CCACGGTATC</t>
        </is>
      </c>
      <c r="I13" s="4">
        <f>LEN(SUBSTITUTE(SUBSTITUTE(G13,"A",""),"T",""))</f>
        <v/>
      </c>
      <c r="J13" s="4">
        <f>LEN(SUBSTITUTE(SUBSTITUTE(H13,"A",""),"T",""))</f>
        <v/>
      </c>
      <c r="K13" s="7" t="inlineStr">
        <is>
          <t>A</t>
        </is>
      </c>
      <c r="L13" s="4" t="inlineStr">
        <is>
          <t>实测</t>
        </is>
      </c>
      <c r="M13" s="4" t="n">
        <v>-6.89</v>
      </c>
      <c r="N13" s="4" t="n">
        <v>-4.48</v>
      </c>
      <c r="O13" s="4" t="n">
        <v>-1.62</v>
      </c>
      <c r="P13" s="4" t="n">
        <v>137880</v>
      </c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U656</t>
        </is>
      </c>
      <c r="F14" s="4" t="inlineStr">
        <is>
          <t>U185</t>
        </is>
      </c>
      <c r="G14" s="5" t="inlineStr">
        <is>
          <t>CAATTGCGGA</t>
        </is>
      </c>
      <c r="H14" s="5" t="inlineStr">
        <is>
          <t>GACGACCTCA</t>
        </is>
      </c>
      <c r="I14" s="4">
        <f>LEN(SUBSTITUTE(SUBSTITUTE(G14,"A",""),"T",""))</f>
        <v/>
      </c>
      <c r="J14" s="4">
        <f>LEN(SUBSTITUTE(SUBSTITUTE(H14,"A",""),"T",""))</f>
        <v/>
      </c>
      <c r="K14" s="7" t="inlineStr">
        <is>
          <t>A</t>
        </is>
      </c>
      <c r="L14" s="4" t="inlineStr">
        <is>
          <t>实测</t>
        </is>
      </c>
      <c r="M14" s="4" t="n">
        <v>-6.02</v>
      </c>
      <c r="N14" s="4" t="n">
        <v>-3.83</v>
      </c>
      <c r="O14" s="4" t="n">
        <v>-2.61</v>
      </c>
      <c r="P14" s="4" t="n">
        <v>46263</v>
      </c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U702</t>
        </is>
      </c>
      <c r="F15" s="4" t="inlineStr">
        <is>
          <t>U753</t>
        </is>
      </c>
      <c r="G15" s="5" t="inlineStr">
        <is>
          <t>TCAGTTGAGA</t>
        </is>
      </c>
      <c r="H15" s="5" t="inlineStr">
        <is>
          <t>GACGAGTGAA</t>
        </is>
      </c>
      <c r="I15" s="4">
        <f>LEN(SUBSTITUTE(SUBSTITUTE(G15,"A",""),"T",""))</f>
        <v/>
      </c>
      <c r="J15" s="4">
        <f>LEN(SUBSTITUTE(SUBSTITUTE(H15,"A",""),"T",""))</f>
        <v/>
      </c>
      <c r="K15" s="6" t="inlineStr">
        <is>
          <t>B</t>
        </is>
      </c>
      <c r="L15" s="4" t="inlineStr">
        <is>
          <t>实测</t>
        </is>
      </c>
      <c r="M15" s="4" t="n">
        <v>-7.55</v>
      </c>
      <c r="N15" s="4" t="n">
        <v>-3.71</v>
      </c>
      <c r="O15" s="4" t="n">
        <v>-2.61</v>
      </c>
      <c r="P15" s="4" t="n">
        <v>72869</v>
      </c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U017</t>
        </is>
      </c>
      <c r="F16" s="4" t="inlineStr">
        <is>
          <t>U594</t>
        </is>
      </c>
      <c r="G16" s="5" t="inlineStr">
        <is>
          <t>ATACGCATCA</t>
        </is>
      </c>
      <c r="H16" s="5" t="inlineStr">
        <is>
          <t>CGCAGGACTT</t>
        </is>
      </c>
      <c r="I16" s="4">
        <f>LEN(SUBSTITUTE(SUBSTITUTE(G16,"A",""),"T",""))</f>
        <v/>
      </c>
      <c r="J16" s="4">
        <f>LEN(SUBSTITUTE(SUBSTITUTE(H16,"A",""),"T",""))</f>
        <v/>
      </c>
      <c r="K16" s="7" t="inlineStr">
        <is>
          <t>A</t>
        </is>
      </c>
      <c r="L16" s="4" t="inlineStr">
        <is>
          <t>实测</t>
        </is>
      </c>
      <c r="M16" s="4" t="n">
        <v>-6.11</v>
      </c>
      <c r="N16" s="4" t="n">
        <v>-3.83</v>
      </c>
      <c r="O16" s="4" t="n">
        <v>-1.59</v>
      </c>
      <c r="P16" s="4" t="n">
        <v>103873</v>
      </c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U523</t>
        </is>
      </c>
      <c r="F17" s="4" t="inlineStr">
        <is>
          <t>U341</t>
        </is>
      </c>
      <c r="G17" s="5" t="inlineStr">
        <is>
          <t>TCCGACAATC</t>
        </is>
      </c>
      <c r="H17" s="5" t="inlineStr">
        <is>
          <t>CTTGGTGTTG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B</t>
        </is>
      </c>
      <c r="L17" s="4" t="inlineStr">
        <is>
          <t>实测</t>
        </is>
      </c>
      <c r="M17" s="4" t="n">
        <v>-5.86</v>
      </c>
      <c r="N17" s="4" t="n">
        <v>-4.7</v>
      </c>
      <c r="O17" s="4" t="n">
        <v>-1.77</v>
      </c>
      <c r="P17" s="4" t="n">
        <v>41335</v>
      </c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U072</t>
        </is>
      </c>
      <c r="F18" s="4" t="inlineStr">
        <is>
          <t>U958</t>
        </is>
      </c>
      <c r="G18" s="5" t="inlineStr">
        <is>
          <t>TACACTATCC</t>
        </is>
      </c>
      <c r="H18" s="5" t="inlineStr">
        <is>
          <t>AGTAGAATCC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B</t>
        </is>
      </c>
      <c r="L18" s="4" t="inlineStr">
        <is>
          <t>实测</t>
        </is>
      </c>
      <c r="M18" s="4" t="n">
        <v>-5.74</v>
      </c>
      <c r="N18" s="4" t="n">
        <v>-4.54</v>
      </c>
      <c r="O18" s="4" t="n">
        <v>-1.62</v>
      </c>
      <c r="P18" s="4" t="n">
        <v>46036</v>
      </c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U080</t>
        </is>
      </c>
      <c r="F19" s="4" t="inlineStr">
        <is>
          <t>U194</t>
        </is>
      </c>
      <c r="G19" s="5" t="inlineStr">
        <is>
          <t>CAGTAACGAG</t>
        </is>
      </c>
      <c r="H19" s="5" t="inlineStr">
        <is>
          <t>TATCTGGTTC</t>
        </is>
      </c>
      <c r="I19" s="4">
        <f>LEN(SUBSTITUTE(SUBSTITUTE(G19,"A",""),"T",""))</f>
        <v/>
      </c>
      <c r="J19" s="4">
        <f>LEN(SUBSTITUTE(SUBSTITUTE(H19,"A",""),"T",""))</f>
        <v/>
      </c>
      <c r="K19" s="7" t="inlineStr">
        <is>
          <t>A</t>
        </is>
      </c>
      <c r="L19" s="4" t="inlineStr">
        <is>
          <t>实测</t>
        </is>
      </c>
      <c r="M19" s="4" t="n">
        <v>-6.59</v>
      </c>
      <c r="N19" s="4" t="n">
        <v>-4.02</v>
      </c>
      <c r="O19" s="4" t="n">
        <v>-1.62</v>
      </c>
      <c r="P19" s="4" t="n">
        <v>156236</v>
      </c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U940</t>
        </is>
      </c>
      <c r="F20" s="4" t="inlineStr">
        <is>
          <t>U505</t>
        </is>
      </c>
      <c r="G20" s="5" t="inlineStr">
        <is>
          <t>TGGCCTCAAG</t>
        </is>
      </c>
      <c r="H20" s="5" t="inlineStr">
        <is>
          <t>GAAGGACGTC</t>
        </is>
      </c>
      <c r="I20" s="4">
        <f>LEN(SUBSTITUTE(SUBSTITUTE(G20,"A",""),"T",""))</f>
        <v/>
      </c>
      <c r="J20" s="4">
        <f>LEN(SUBSTITUTE(SUBSTITUTE(H20,"A",""),"T",""))</f>
        <v/>
      </c>
      <c r="K20" s="7" t="inlineStr">
        <is>
          <t>A</t>
        </is>
      </c>
      <c r="L20" s="4" t="inlineStr">
        <is>
          <t>实测</t>
        </is>
      </c>
      <c r="M20" s="4" t="n">
        <v>-6.69</v>
      </c>
      <c r="N20" s="4" t="n">
        <v>-4.02</v>
      </c>
      <c r="O20" s="4" t="n">
        <v>-1.62</v>
      </c>
      <c r="P20" s="4" t="n">
        <v>222077</v>
      </c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U918</t>
        </is>
      </c>
      <c r="F21" s="4" t="inlineStr">
        <is>
          <t>U078</t>
        </is>
      </c>
      <c r="G21" s="5" t="inlineStr">
        <is>
          <t>CCTCGAAGTG</t>
        </is>
      </c>
      <c r="H21" s="5" t="inlineStr">
        <is>
          <t>AGGACACCAC</t>
        </is>
      </c>
      <c r="I21" s="4">
        <f>LEN(SUBSTITUTE(SUBSTITUTE(G21,"A",""),"T",""))</f>
        <v/>
      </c>
      <c r="J21" s="4">
        <f>LEN(SUBSTITUTE(SUBSTITUTE(H21,"A",""),"T",""))</f>
        <v/>
      </c>
      <c r="K21" s="6" t="inlineStr">
        <is>
          <t>B</t>
        </is>
      </c>
      <c r="L21" s="4" t="inlineStr">
        <is>
          <t>实测</t>
        </is>
      </c>
      <c r="M21" s="4" t="n">
        <v>-7.17</v>
      </c>
      <c r="N21" s="4" t="n">
        <v>-3.96</v>
      </c>
      <c r="O21" s="4" t="n">
        <v>-1.62</v>
      </c>
      <c r="P21" s="4" t="n">
        <v>251332</v>
      </c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U169</t>
        </is>
      </c>
      <c r="F22" s="4" t="inlineStr">
        <is>
          <t>U373</t>
        </is>
      </c>
      <c r="G22" s="5" t="inlineStr">
        <is>
          <t>TGGCCACCTT</t>
        </is>
      </c>
      <c r="H22" s="5" t="inlineStr">
        <is>
          <t>GAGTATCCGG</t>
        </is>
      </c>
      <c r="I22" s="4">
        <f>LEN(SUBSTITUTE(SUBSTITUTE(G22,"A",""),"T",""))</f>
        <v/>
      </c>
      <c r="J22" s="4">
        <f>LEN(SUBSTITUTE(SUBSTITUTE(H22,"A",""),"T",""))</f>
        <v/>
      </c>
      <c r="K22" s="7" t="inlineStr">
        <is>
          <t>A</t>
        </is>
      </c>
      <c r="L22" s="4" t="inlineStr">
        <is>
          <t>实测</t>
        </is>
      </c>
      <c r="M22" s="4" t="n">
        <v>-6.15</v>
      </c>
      <c r="N22" s="4" t="n">
        <v>-4.41</v>
      </c>
      <c r="O22" s="4" t="n">
        <v>-2.17</v>
      </c>
      <c r="P22" s="4" t="n">
        <v>37403</v>
      </c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U435</t>
        </is>
      </c>
      <c r="F23" s="4" t="inlineStr">
        <is>
          <t>U491</t>
        </is>
      </c>
      <c r="G23" s="5" t="inlineStr">
        <is>
          <t>TGCGTTCGCT</t>
        </is>
      </c>
      <c r="H23" s="5" t="inlineStr">
        <is>
          <t>TGGATGTCCG</t>
        </is>
      </c>
      <c r="I23" s="4">
        <f>LEN(SUBSTITUTE(SUBSTITUTE(G23,"A",""),"T",""))</f>
        <v/>
      </c>
      <c r="J23" s="4">
        <f>LEN(SUBSTITUTE(SUBSTITUTE(H23,"A",""),"T",""))</f>
        <v/>
      </c>
      <c r="K23" s="7" t="inlineStr">
        <is>
          <t>A</t>
        </is>
      </c>
      <c r="L23" s="4" t="inlineStr">
        <is>
          <t>实测</t>
        </is>
      </c>
      <c r="M23" s="4" t="n">
        <v>-6.37</v>
      </c>
      <c r="N23" s="4" t="n">
        <v>-3.78</v>
      </c>
      <c r="O23" s="4" t="n">
        <v>-2.03</v>
      </c>
      <c r="P23" s="4" t="n">
        <v>37814</v>
      </c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U801</t>
        </is>
      </c>
      <c r="F24" s="4" t="inlineStr">
        <is>
          <t>U615</t>
        </is>
      </c>
      <c r="G24" s="5" t="inlineStr">
        <is>
          <t>TTCATCTCTG</t>
        </is>
      </c>
      <c r="H24" s="5" t="inlineStr">
        <is>
          <t>AAGGTACAAC</t>
        </is>
      </c>
      <c r="I24" s="4">
        <f>LEN(SUBSTITUTE(SUBSTITUTE(G24,"A",""),"T",""))</f>
        <v/>
      </c>
      <c r="J24" s="4">
        <f>LEN(SUBSTITUTE(SUBSTITUTE(H24,"A",""),"T",""))</f>
        <v/>
      </c>
      <c r="K24" s="7" t="inlineStr">
        <is>
          <t>A</t>
        </is>
      </c>
      <c r="L24" s="4" t="inlineStr">
        <is>
          <t>实测</t>
        </is>
      </c>
      <c r="M24" s="4" t="n">
        <v>-6.78</v>
      </c>
      <c r="N24" s="4" t="n">
        <v>-3.96</v>
      </c>
      <c r="O24" s="4" t="n">
        <v>-1.62</v>
      </c>
      <c r="P24" s="4" t="n">
        <v>134944</v>
      </c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U779</t>
        </is>
      </c>
      <c r="F25" s="4" t="inlineStr">
        <is>
          <t>U573</t>
        </is>
      </c>
      <c r="G25" s="5" t="inlineStr">
        <is>
          <t>CATTGGAGAT</t>
        </is>
      </c>
      <c r="H25" s="5" t="inlineStr">
        <is>
          <t>TGTCAATTCG</t>
        </is>
      </c>
      <c r="I25" s="4">
        <f>LEN(SUBSTITUTE(SUBSTITUTE(G25,"A",""),"T",""))</f>
        <v/>
      </c>
      <c r="J25" s="4">
        <f>LEN(SUBSTITUTE(SUBSTITUTE(H25,"A",""),"T",""))</f>
        <v/>
      </c>
      <c r="K25" s="7" t="inlineStr">
        <is>
          <t>A</t>
        </is>
      </c>
      <c r="L25" s="4" t="inlineStr">
        <is>
          <t>实测</t>
        </is>
      </c>
      <c r="M25" s="4" t="n">
        <v>-6.09</v>
      </c>
      <c r="N25" s="4" t="n">
        <v>-4.17</v>
      </c>
      <c r="O25" s="4" t="n">
        <v>-1.77</v>
      </c>
      <c r="P25" s="4" t="n">
        <v>46592</v>
      </c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U568</t>
        </is>
      </c>
      <c r="F26" s="4" t="inlineStr">
        <is>
          <t>U429</t>
        </is>
      </c>
      <c r="G26" s="5" t="inlineStr">
        <is>
          <t>GTGAGAAGTT</t>
        </is>
      </c>
      <c r="H26" s="5" t="inlineStr">
        <is>
          <t>CTGACGCGTT</t>
        </is>
      </c>
      <c r="I26" s="4">
        <f>LEN(SUBSTITUTE(SUBSTITUTE(G26,"A",""),"T",""))</f>
        <v/>
      </c>
      <c r="J26" s="4">
        <f>LEN(SUBSTITUTE(SUBSTITUTE(H26,"A",""),"T",""))</f>
        <v/>
      </c>
      <c r="K26" s="7" t="inlineStr">
        <is>
          <t>A</t>
        </is>
      </c>
      <c r="L26" s="4" t="inlineStr">
        <is>
          <t>实测</t>
        </is>
      </c>
      <c r="M26" s="4" t="n">
        <v>-6.22</v>
      </c>
      <c r="N26" s="4" t="n">
        <v>-3.79</v>
      </c>
      <c r="O26" s="4" t="n">
        <v>-1.59</v>
      </c>
      <c r="P26" s="4" t="n">
        <v>53577</v>
      </c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U137</t>
        </is>
      </c>
      <c r="F27" s="4" t="inlineStr">
        <is>
          <t>U502</t>
        </is>
      </c>
      <c r="G27" s="5" t="inlineStr">
        <is>
          <t>ACTGGCTCTC</t>
        </is>
      </c>
      <c r="H27" s="5" t="inlineStr">
        <is>
          <t>GATCACGTCG</t>
        </is>
      </c>
      <c r="I27" s="4">
        <f>LEN(SUBSTITUTE(SUBSTITUTE(G27,"A",""),"T",""))</f>
        <v/>
      </c>
      <c r="J27" s="4">
        <f>LEN(SUBSTITUTE(SUBSTITUTE(H27,"A",""),"T",""))</f>
        <v/>
      </c>
      <c r="K27" s="6" t="inlineStr">
        <is>
          <t>B</t>
        </is>
      </c>
      <c r="L27" s="4" t="inlineStr">
        <is>
          <t>实测</t>
        </is>
      </c>
      <c r="M27" s="4" t="n">
        <v>-6.2</v>
      </c>
      <c r="N27" s="4" t="n">
        <v>-4.7</v>
      </c>
      <c r="O27" s="4" t="n">
        <v>-1.77</v>
      </c>
      <c r="P27" s="4" t="n">
        <v>44154</v>
      </c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U664</t>
        </is>
      </c>
      <c r="F28" s="4" t="inlineStr">
        <is>
          <t>U957</t>
        </is>
      </c>
      <c r="G28" s="5" t="inlineStr">
        <is>
          <t>AATCTCCGAA</t>
        </is>
      </c>
      <c r="H28" s="5" t="inlineStr">
        <is>
          <t>CTTACTGGAC</t>
        </is>
      </c>
      <c r="I28" s="4">
        <f>LEN(SUBSTITUTE(SUBSTITUTE(G28,"A",""),"T",""))</f>
        <v/>
      </c>
      <c r="J28" s="4">
        <f>LEN(SUBSTITUTE(SUBSTITUTE(H28,"A",""),"T",""))</f>
        <v/>
      </c>
      <c r="K28" s="7" t="inlineStr">
        <is>
          <t>A</t>
        </is>
      </c>
      <c r="L28" s="4" t="inlineStr">
        <is>
          <t>实测</t>
        </is>
      </c>
      <c r="M28" s="4" t="n">
        <v>-5.77</v>
      </c>
      <c r="N28" s="4" t="n">
        <v>-3.83</v>
      </c>
      <c r="O28" s="4" t="n">
        <v>-1.62</v>
      </c>
      <c r="P28" s="4" t="n">
        <v>46666</v>
      </c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U754</t>
        </is>
      </c>
      <c r="F29" s="4" t="inlineStr">
        <is>
          <t>U289</t>
        </is>
      </c>
      <c r="G29" s="5" t="inlineStr">
        <is>
          <t>TGCATGTTAC</t>
        </is>
      </c>
      <c r="H29" s="5" t="inlineStr">
        <is>
          <t>GAACACTGGC</t>
        </is>
      </c>
      <c r="I29" s="4">
        <f>LEN(SUBSTITUTE(SUBSTITUTE(G29,"A",""),"T",""))</f>
        <v/>
      </c>
      <c r="J29" s="4">
        <f>LEN(SUBSTITUTE(SUBSTITUTE(H29,"A",""),"T",""))</f>
        <v/>
      </c>
      <c r="K29" s="6" t="inlineStr">
        <is>
          <t>B</t>
        </is>
      </c>
      <c r="L29" s="4" t="inlineStr">
        <is>
          <t>实测</t>
        </is>
      </c>
      <c r="M29" s="4" t="n">
        <v>-7.16</v>
      </c>
      <c r="N29" s="4" t="n">
        <v>-4.95</v>
      </c>
      <c r="O29" s="4" t="n">
        <v>-2.6</v>
      </c>
      <c r="P29" s="4" t="n">
        <v>132580</v>
      </c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U655</t>
        </is>
      </c>
      <c r="F30" s="4" t="inlineStr">
        <is>
          <t>U760</t>
        </is>
      </c>
      <c r="G30" s="5" t="inlineStr">
        <is>
          <t>TGGATGCATA</t>
        </is>
      </c>
      <c r="H30" s="5" t="inlineStr">
        <is>
          <t>GTAACTCCAA</t>
        </is>
      </c>
      <c r="I30" s="4">
        <f>LEN(SUBSTITUTE(SUBSTITUTE(G30,"A",""),"T",""))</f>
        <v/>
      </c>
      <c r="J30" s="4">
        <f>LEN(SUBSTITUTE(SUBSTITUTE(H30,"A",""),"T",""))</f>
        <v/>
      </c>
      <c r="K30" s="7" t="inlineStr">
        <is>
          <t>A</t>
        </is>
      </c>
      <c r="L30" s="4" t="inlineStr">
        <is>
          <t>实测</t>
        </is>
      </c>
      <c r="M30" s="4" t="n">
        <v>-6.93</v>
      </c>
      <c r="N30" s="4" t="n">
        <v>-3.83</v>
      </c>
      <c r="O30" s="4" t="n">
        <v>-2.61</v>
      </c>
      <c r="P30" s="4" t="n">
        <v>59925</v>
      </c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U839</t>
        </is>
      </c>
      <c r="F31" s="4" t="inlineStr">
        <is>
          <t>U637</t>
        </is>
      </c>
      <c r="G31" s="5" t="inlineStr">
        <is>
          <t>ACCGGTCGAT</t>
        </is>
      </c>
      <c r="H31" s="5" t="inlineStr">
        <is>
          <t>GCTCGCATTC</t>
        </is>
      </c>
      <c r="I31" s="4">
        <f>LEN(SUBSTITUTE(SUBSTITUTE(G31,"A",""),"T",""))</f>
        <v/>
      </c>
      <c r="J31" s="4">
        <f>LEN(SUBSTITUTE(SUBSTITUTE(H31,"A",""),"T",""))</f>
        <v/>
      </c>
      <c r="K31" s="7" t="inlineStr">
        <is>
          <t>A</t>
        </is>
      </c>
      <c r="L31" s="4" t="inlineStr">
        <is>
          <t>实测</t>
        </is>
      </c>
      <c r="M31" s="4" t="n">
        <v>-5.74</v>
      </c>
      <c r="N31" s="4" t="n">
        <v>-4.17</v>
      </c>
      <c r="O31" s="4" t="n">
        <v>-1.62</v>
      </c>
      <c r="P31" s="4" t="n">
        <v>49579</v>
      </c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U531</t>
        </is>
      </c>
      <c r="F32" s="4" t="inlineStr">
        <is>
          <t>U457</t>
        </is>
      </c>
      <c r="G32" s="5" t="inlineStr">
        <is>
          <t>CCTGTGGACA</t>
        </is>
      </c>
      <c r="H32" s="5" t="inlineStr">
        <is>
          <t>GCCAATGAAT</t>
        </is>
      </c>
      <c r="I32" s="4">
        <f>LEN(SUBSTITUTE(SUBSTITUTE(G32,"A",""),"T",""))</f>
        <v/>
      </c>
      <c r="J32" s="4">
        <f>LEN(SUBSTITUTE(SUBSTITUTE(H32,"A",""),"T",""))</f>
        <v/>
      </c>
      <c r="K32" s="7" t="inlineStr">
        <is>
          <t>A</t>
        </is>
      </c>
      <c r="L32" s="4" t="inlineStr">
        <is>
          <t>实测</t>
        </is>
      </c>
      <c r="M32" s="4" t="n">
        <v>-6.26</v>
      </c>
      <c r="N32" s="4" t="n">
        <v>-3.83</v>
      </c>
      <c r="O32" s="4" t="n">
        <v>-1.92</v>
      </c>
      <c r="P32" s="4" t="n">
        <v>52414</v>
      </c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U483</t>
        </is>
      </c>
      <c r="F33" s="4" t="inlineStr">
        <is>
          <t>U843</t>
        </is>
      </c>
      <c r="G33" s="5" t="inlineStr">
        <is>
          <t>CTCCTGAATA</t>
        </is>
      </c>
      <c r="H33" s="5" t="inlineStr">
        <is>
          <t>ACAACTAGTG</t>
        </is>
      </c>
      <c r="I33" s="4">
        <f>LEN(SUBSTITUTE(SUBSTITUTE(G33,"A",""),"T",""))</f>
        <v/>
      </c>
      <c r="J33" s="4">
        <f>LEN(SUBSTITUTE(SUBSTITUTE(H33,"A",""),"T",""))</f>
        <v/>
      </c>
      <c r="K33" s="7" t="inlineStr">
        <is>
          <t>A</t>
        </is>
      </c>
      <c r="L33" s="4" t="inlineStr">
        <is>
          <t>实测</t>
        </is>
      </c>
      <c r="M33" s="4" t="n">
        <v>-6.27</v>
      </c>
      <c r="N33" s="4" t="n">
        <v>-3.93</v>
      </c>
      <c r="O33" s="4" t="n">
        <v>-1.77</v>
      </c>
      <c r="P33" s="4" t="n">
        <v>44812</v>
      </c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U650</t>
        </is>
      </c>
      <c r="F34" s="4" t="inlineStr">
        <is>
          <t>U420</t>
        </is>
      </c>
      <c r="G34" s="5" t="inlineStr">
        <is>
          <t>GATCACAAGA</t>
        </is>
      </c>
      <c r="H34" s="5" t="inlineStr">
        <is>
          <t>TTGTATGTGC</t>
        </is>
      </c>
      <c r="I34" s="4">
        <f>LEN(SUBSTITUTE(SUBSTITUTE(G34,"A",""),"T",""))</f>
        <v/>
      </c>
      <c r="J34" s="4">
        <f>LEN(SUBSTITUTE(SUBSTITUTE(H34,"A",""),"T",""))</f>
        <v/>
      </c>
      <c r="K34" s="7" t="inlineStr">
        <is>
          <t>A</t>
        </is>
      </c>
      <c r="L34" s="4" t="inlineStr">
        <is>
          <t>实测</t>
        </is>
      </c>
      <c r="M34" s="4" t="n">
        <v>-6.38</v>
      </c>
      <c r="N34" s="4" t="n">
        <v>-3.93</v>
      </c>
      <c r="O34" s="4" t="n">
        <v>-1.62</v>
      </c>
      <c r="P34" s="4" t="n">
        <v>93922</v>
      </c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U176</t>
        </is>
      </c>
      <c r="F35" s="4" t="inlineStr">
        <is>
          <t>U319</t>
        </is>
      </c>
      <c r="G35" s="5" t="inlineStr">
        <is>
          <t>ATTCCGGAGC</t>
        </is>
      </c>
      <c r="H35" s="5" t="inlineStr">
        <is>
          <t>GTGCACCACT</t>
        </is>
      </c>
      <c r="I35" s="4">
        <f>LEN(SUBSTITUTE(SUBSTITUTE(G35,"A",""),"T",""))</f>
        <v/>
      </c>
      <c r="J35" s="4">
        <f>LEN(SUBSTITUTE(SUBSTITUTE(H35,"A",""),"T",""))</f>
        <v/>
      </c>
      <c r="K35" s="6" t="inlineStr">
        <is>
          <t>B</t>
        </is>
      </c>
      <c r="L35" s="4" t="inlineStr">
        <is>
          <t>实测</t>
        </is>
      </c>
      <c r="M35" s="4" t="n">
        <v>-6.73</v>
      </c>
      <c r="N35" s="4" t="n">
        <v>-4.78</v>
      </c>
      <c r="O35" s="4" t="n">
        <v>-1.59</v>
      </c>
      <c r="P35" s="4" t="n">
        <v>95778</v>
      </c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U544</t>
        </is>
      </c>
      <c r="F36" s="4" t="inlineStr">
        <is>
          <t>U252</t>
        </is>
      </c>
      <c r="G36" s="5" t="inlineStr">
        <is>
          <t>GATTCGTTGG</t>
        </is>
      </c>
      <c r="H36" s="5" t="inlineStr">
        <is>
          <t>TGTCAGCGAG</t>
        </is>
      </c>
      <c r="I36" s="4">
        <f>LEN(SUBSTITUTE(SUBSTITUTE(G36,"A",""),"T",""))</f>
        <v/>
      </c>
      <c r="J36" s="4">
        <f>LEN(SUBSTITUTE(SUBSTITUTE(H36,"A",""),"T",""))</f>
        <v/>
      </c>
      <c r="K36" s="6" t="inlineStr">
        <is>
          <t>B</t>
        </is>
      </c>
      <c r="L36" s="4" t="inlineStr">
        <is>
          <t>实测</t>
        </is>
      </c>
      <c r="M36" s="4" t="n">
        <v>-6.98</v>
      </c>
      <c r="N36" s="4" t="n">
        <v>-4.54</v>
      </c>
      <c r="O36" s="4" t="n">
        <v>-1.77</v>
      </c>
      <c r="P36" s="4" t="n">
        <v>91931</v>
      </c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U538</t>
        </is>
      </c>
      <c r="F37" s="4" t="inlineStr">
        <is>
          <t>U658</t>
        </is>
      </c>
      <c r="G37" s="5" t="inlineStr">
        <is>
          <t>GTACAATAGG</t>
        </is>
      </c>
      <c r="H37" s="5" t="inlineStr">
        <is>
          <t>CCATGGTTAG</t>
        </is>
      </c>
      <c r="I37" s="4">
        <f>LEN(SUBSTITUTE(SUBSTITUTE(G37,"A",""),"T",""))</f>
        <v/>
      </c>
      <c r="J37" s="4">
        <f>LEN(SUBSTITUTE(SUBSTITUTE(H37,"A",""),"T",""))</f>
        <v/>
      </c>
      <c r="K37" s="7" t="inlineStr">
        <is>
          <t>A</t>
        </is>
      </c>
      <c r="L37" s="4" t="inlineStr">
        <is>
          <t>实测</t>
        </is>
      </c>
      <c r="M37" s="4" t="n">
        <v>-6.32</v>
      </c>
      <c r="N37" s="4" t="n">
        <v>-3.99</v>
      </c>
      <c r="O37" s="4" t="n">
        <v>-1.77</v>
      </c>
      <c r="P37" s="4" t="n">
        <v>83236</v>
      </c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U892</t>
        </is>
      </c>
      <c r="F38" s="4" t="inlineStr">
        <is>
          <t>U290</t>
        </is>
      </c>
      <c r="G38" s="5" t="inlineStr">
        <is>
          <t>TGTGCGTCGA</t>
        </is>
      </c>
      <c r="H38" s="5" t="inlineStr">
        <is>
          <t>AGGTCGTCCA</t>
        </is>
      </c>
      <c r="I38" s="4">
        <f>LEN(SUBSTITUTE(SUBSTITUTE(G38,"A",""),"T",""))</f>
        <v/>
      </c>
      <c r="J38" s="4">
        <f>LEN(SUBSTITUTE(SUBSTITUTE(H38,"A",""),"T",""))</f>
        <v/>
      </c>
      <c r="K38" s="7" t="inlineStr">
        <is>
          <t>A</t>
        </is>
      </c>
      <c r="L38" s="4" t="inlineStr">
        <is>
          <t>实测</t>
        </is>
      </c>
      <c r="M38" s="4" t="n">
        <v>-5.98</v>
      </c>
      <c r="N38" s="4" t="n">
        <v>-4.01</v>
      </c>
      <c r="O38" s="4" t="n">
        <v>-2.61</v>
      </c>
      <c r="P38" s="4" t="n">
        <v>62398</v>
      </c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U580</t>
        </is>
      </c>
      <c r="F39" s="4" t="inlineStr">
        <is>
          <t>U514</t>
        </is>
      </c>
      <c r="G39" s="5" t="inlineStr">
        <is>
          <t>CAGGTAACTT</t>
        </is>
      </c>
      <c r="H39" s="5" t="inlineStr">
        <is>
          <t>AAGGCTGAGC</t>
        </is>
      </c>
      <c r="I39" s="4">
        <f>LEN(SUBSTITUTE(SUBSTITUTE(G39,"A",""),"T",""))</f>
        <v/>
      </c>
      <c r="J39" s="4">
        <f>LEN(SUBSTITUTE(SUBSTITUTE(H39,"A",""),"T",""))</f>
        <v/>
      </c>
      <c r="K39" s="6" t="inlineStr">
        <is>
          <t>B</t>
        </is>
      </c>
      <c r="L39" s="4" t="inlineStr">
        <is>
          <t>实测</t>
        </is>
      </c>
      <c r="M39" s="4" t="n">
        <v>-6.06</v>
      </c>
      <c r="N39" s="4" t="n">
        <v>-4.92</v>
      </c>
      <c r="O39" s="4" t="n">
        <v>-1.62</v>
      </c>
      <c r="P39" s="4" t="n">
        <v>240376</v>
      </c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U302</t>
        </is>
      </c>
      <c r="F40" s="4" t="inlineStr">
        <is>
          <t>U836</t>
        </is>
      </c>
      <c r="G40" s="5" t="inlineStr">
        <is>
          <t>GACGGTTACT</t>
        </is>
      </c>
      <c r="H40" s="5" t="inlineStr">
        <is>
          <t>GCCGCAATAT</t>
        </is>
      </c>
      <c r="I40" s="4">
        <f>LEN(SUBSTITUTE(SUBSTITUTE(G40,"A",""),"T",""))</f>
        <v/>
      </c>
      <c r="J40" s="4">
        <f>LEN(SUBSTITUTE(SUBSTITUTE(H40,"A",""),"T",""))</f>
        <v/>
      </c>
      <c r="K40" s="7" t="inlineStr">
        <is>
          <t>A</t>
        </is>
      </c>
      <c r="L40" s="4" t="inlineStr">
        <is>
          <t>实测</t>
        </is>
      </c>
      <c r="M40" s="4" t="n">
        <v>-6.27</v>
      </c>
      <c r="N40" s="4" t="n">
        <v>-3.78</v>
      </c>
      <c r="O40" s="4" t="n">
        <v>-2.05</v>
      </c>
      <c r="P40" s="4" t="n">
        <v>60410</v>
      </c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U848</t>
        </is>
      </c>
      <c r="F41" s="4" t="inlineStr">
        <is>
          <t>U540</t>
        </is>
      </c>
      <c r="G41" s="5" t="inlineStr">
        <is>
          <t>GCGGAACCTT</t>
        </is>
      </c>
      <c r="H41" s="5" t="inlineStr">
        <is>
          <t>ATCATCGACT</t>
        </is>
      </c>
      <c r="I41" s="4">
        <f>LEN(SUBSTITUTE(SUBSTITUTE(G41,"A",""),"T",""))</f>
        <v/>
      </c>
      <c r="J41" s="4">
        <f>LEN(SUBSTITUTE(SUBSTITUTE(H41,"A",""),"T",""))</f>
        <v/>
      </c>
      <c r="K41" s="7" t="inlineStr">
        <is>
          <t>A</t>
        </is>
      </c>
      <c r="L41" s="4" t="inlineStr">
        <is>
          <t>实测</t>
        </is>
      </c>
      <c r="M41" s="4" t="n">
        <v>-6.8</v>
      </c>
      <c r="N41" s="4" t="n">
        <v>-3.89</v>
      </c>
      <c r="O41" s="4" t="n">
        <v>-1.59</v>
      </c>
      <c r="P41" s="4" t="n">
        <v>81589</v>
      </c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U853</t>
        </is>
      </c>
      <c r="F42" s="4" t="inlineStr">
        <is>
          <t>U134</t>
        </is>
      </c>
      <c r="G42" s="5" t="inlineStr">
        <is>
          <t>TAGTTAGTCC</t>
        </is>
      </c>
      <c r="H42" s="5" t="inlineStr">
        <is>
          <t>GCCTGGTGTA</t>
        </is>
      </c>
      <c r="I42" s="4">
        <f>LEN(SUBSTITUTE(SUBSTITUTE(G42,"A",""),"T",""))</f>
        <v/>
      </c>
      <c r="J42" s="4">
        <f>LEN(SUBSTITUTE(SUBSTITUTE(H42,"A",""),"T",""))</f>
        <v/>
      </c>
      <c r="K42" s="6" t="inlineStr">
        <is>
          <t>B</t>
        </is>
      </c>
      <c r="L42" s="4" t="inlineStr">
        <is>
          <t>实测</t>
        </is>
      </c>
      <c r="M42" s="4" t="n">
        <v>-6.63</v>
      </c>
      <c r="N42" s="4" t="n">
        <v>-4.54</v>
      </c>
      <c r="O42" s="4" t="n">
        <v>-2.61</v>
      </c>
      <c r="P42" s="4" t="n">
        <v>68300</v>
      </c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U238</t>
        </is>
      </c>
      <c r="F43" s="4" t="inlineStr">
        <is>
          <t>U821</t>
        </is>
      </c>
      <c r="G43" s="5" t="inlineStr">
        <is>
          <t>CATGCGTGGT</t>
        </is>
      </c>
      <c r="H43" s="5" t="inlineStr">
        <is>
          <t>CTGAGAACCA</t>
        </is>
      </c>
      <c r="I43" s="4">
        <f>LEN(SUBSTITUTE(SUBSTITUTE(G43,"A",""),"T",""))</f>
        <v/>
      </c>
      <c r="J43" s="4">
        <f>LEN(SUBSTITUTE(SUBSTITUTE(H43,"A",""),"T",""))</f>
        <v/>
      </c>
      <c r="K43" s="7" t="inlineStr">
        <is>
          <t>A</t>
        </is>
      </c>
      <c r="L43" s="4" t="inlineStr">
        <is>
          <t>实测</t>
        </is>
      </c>
      <c r="M43" s="4" t="n">
        <v>-6.39</v>
      </c>
      <c r="N43" s="4" t="n">
        <v>-3.79</v>
      </c>
      <c r="O43" s="4" t="n">
        <v>-2.61</v>
      </c>
      <c r="P43" s="4" t="n">
        <v>98576</v>
      </c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U938</t>
        </is>
      </c>
      <c r="F44" s="4" t="inlineStr">
        <is>
          <t>U654</t>
        </is>
      </c>
      <c r="G44" s="5" t="inlineStr">
        <is>
          <t>CGAACGGTAG</t>
        </is>
      </c>
      <c r="H44" s="5" t="inlineStr">
        <is>
          <t>CAGGATCGCT</t>
        </is>
      </c>
      <c r="I44" s="4">
        <f>LEN(SUBSTITUTE(SUBSTITUTE(G44,"A",""),"T",""))</f>
        <v/>
      </c>
      <c r="J44" s="4">
        <f>LEN(SUBSTITUTE(SUBSTITUTE(H44,"A",""),"T",""))</f>
        <v/>
      </c>
      <c r="K44" s="7" t="inlineStr">
        <is>
          <t>A</t>
        </is>
      </c>
      <c r="L44" s="4" t="inlineStr">
        <is>
          <t>实测</t>
        </is>
      </c>
      <c r="M44" s="4" t="n">
        <v>-6.77</v>
      </c>
      <c r="N44" s="4" t="n">
        <v>-4.05</v>
      </c>
      <c r="O44" s="4" t="n">
        <v>-1.59</v>
      </c>
      <c r="P44" s="4" t="n">
        <v>324199</v>
      </c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U743</t>
        </is>
      </c>
      <c r="F45" s="4" t="inlineStr">
        <is>
          <t>U610</t>
        </is>
      </c>
      <c r="G45" s="5" t="inlineStr">
        <is>
          <t>ATCAGACATG</t>
        </is>
      </c>
      <c r="H45" s="5" t="inlineStr">
        <is>
          <t>GCACTGGAAC</t>
        </is>
      </c>
      <c r="I45" s="4">
        <f>LEN(SUBSTITUTE(SUBSTITUTE(G45,"A",""),"T",""))</f>
        <v/>
      </c>
      <c r="J45" s="4">
        <f>LEN(SUBSTITUTE(SUBSTITUTE(H45,"A",""),"T",""))</f>
        <v/>
      </c>
      <c r="K45" s="6" t="inlineStr">
        <is>
          <t>B</t>
        </is>
      </c>
      <c r="L45" s="4" t="inlineStr">
        <is>
          <t>实测</t>
        </is>
      </c>
      <c r="M45" s="4" t="n">
        <v>-8.16</v>
      </c>
      <c r="N45" s="4" t="n">
        <v>-3.96</v>
      </c>
      <c r="O45" s="4" t="n">
        <v>-1.62</v>
      </c>
      <c r="P45" s="4" t="n">
        <v>144112</v>
      </c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U593</t>
        </is>
      </c>
      <c r="F46" s="4" t="inlineStr">
        <is>
          <t>U600</t>
        </is>
      </c>
      <c r="G46" s="5" t="inlineStr">
        <is>
          <t>ACACCGTTGG</t>
        </is>
      </c>
      <c r="H46" s="5" t="inlineStr">
        <is>
          <t>TTGGCCACAC</t>
        </is>
      </c>
      <c r="I46" s="4">
        <f>LEN(SUBSTITUTE(SUBSTITUTE(G46,"A",""),"T",""))</f>
        <v/>
      </c>
      <c r="J46" s="4">
        <f>LEN(SUBSTITUTE(SUBSTITUTE(H46,"A",""),"T",""))</f>
        <v/>
      </c>
      <c r="K46" s="6" t="inlineStr">
        <is>
          <t>B</t>
        </is>
      </c>
      <c r="L46" s="4" t="inlineStr">
        <is>
          <t>实测</t>
        </is>
      </c>
      <c r="M46" s="4" t="n">
        <v>-7.49</v>
      </c>
      <c r="N46" s="4" t="n">
        <v>-3.93</v>
      </c>
      <c r="O46" s="4" t="n">
        <v>-2.01</v>
      </c>
      <c r="P46" s="4" t="n">
        <v>129096</v>
      </c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U374</t>
        </is>
      </c>
      <c r="F47" s="4" t="inlineStr">
        <is>
          <t>U153</t>
        </is>
      </c>
      <c r="G47" s="5" t="inlineStr">
        <is>
          <t>CGAGTGATGG</t>
        </is>
      </c>
      <c r="H47" s="5" t="inlineStr">
        <is>
          <t>AGGACGTTAT</t>
        </is>
      </c>
      <c r="I47" s="4">
        <f>LEN(SUBSTITUTE(SUBSTITUTE(G47,"A",""),"T",""))</f>
        <v/>
      </c>
      <c r="J47" s="4">
        <f>LEN(SUBSTITUTE(SUBSTITUTE(H47,"A",""),"T",""))</f>
        <v/>
      </c>
      <c r="K47" s="7" t="inlineStr">
        <is>
          <t>A</t>
        </is>
      </c>
      <c r="L47" s="4" t="inlineStr">
        <is>
          <t>实测</t>
        </is>
      </c>
      <c r="M47" s="4" t="n">
        <v>-6.32</v>
      </c>
      <c r="N47" s="4" t="n">
        <v>-4.17</v>
      </c>
      <c r="O47" s="4" t="n">
        <v>-1.59</v>
      </c>
      <c r="P47" s="4" t="n">
        <v>127256</v>
      </c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U506</t>
        </is>
      </c>
      <c r="F48" s="4" t="inlineStr">
        <is>
          <t>U490</t>
        </is>
      </c>
      <c r="G48" s="5" t="inlineStr">
        <is>
          <t>TTCAAGCTCC</t>
        </is>
      </c>
      <c r="H48" s="5" t="inlineStr">
        <is>
          <t>AACTTGAGCT</t>
        </is>
      </c>
      <c r="I48" s="4">
        <f>LEN(SUBSTITUTE(SUBSTITUTE(G48,"A",""),"T",""))</f>
        <v/>
      </c>
      <c r="J48" s="4">
        <f>LEN(SUBSTITUTE(SUBSTITUTE(H48,"A",""),"T",""))</f>
        <v/>
      </c>
      <c r="K48" s="6" t="inlineStr">
        <is>
          <t>B</t>
        </is>
      </c>
      <c r="L48" s="4" t="inlineStr">
        <is>
          <t>实测</t>
        </is>
      </c>
      <c r="M48" s="4" t="n">
        <v>-6.78</v>
      </c>
      <c r="N48" s="4" t="n">
        <v>-5.08</v>
      </c>
      <c r="O48" s="4" t="n">
        <v>-1.59</v>
      </c>
      <c r="P48" s="4" t="n">
        <v>133940</v>
      </c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U392</t>
        </is>
      </c>
      <c r="F49" s="4" t="inlineStr">
        <is>
          <t>U814</t>
        </is>
      </c>
      <c r="G49" s="5" t="inlineStr">
        <is>
          <t>CGCGATGAGA</t>
        </is>
      </c>
      <c r="H49" s="5" t="inlineStr">
        <is>
          <t>CGAACCAGTT</t>
        </is>
      </c>
      <c r="I49" s="4">
        <f>LEN(SUBSTITUTE(SUBSTITUTE(G49,"A",""),"T",""))</f>
        <v/>
      </c>
      <c r="J49" s="4">
        <f>LEN(SUBSTITUTE(SUBSTITUTE(H49,"A",""),"T",""))</f>
        <v/>
      </c>
      <c r="K49" s="7" t="inlineStr">
        <is>
          <t>A</t>
        </is>
      </c>
      <c r="L49" s="4" t="inlineStr">
        <is>
          <t>实测</t>
        </is>
      </c>
      <c r="M49" s="4" t="n">
        <v>-6.59</v>
      </c>
      <c r="N49" s="4" t="n">
        <v>-3.83</v>
      </c>
      <c r="O49" s="4" t="n">
        <v>-1.59</v>
      </c>
      <c r="P49" s="4" t="n">
        <v>53299</v>
      </c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范围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48 组</t>
        </is>
      </c>
      <c r="B2" s="9" t="inlineStr">
        <is>
          <t>i5</t>
        </is>
      </c>
      <c r="C2" s="9" t="n">
        <v>1</v>
      </c>
      <c r="D2" s="9">
        <f>COUNTIF('48对'!$Q$2:$Q$49,"A")</f>
        <v/>
      </c>
      <c r="E2" s="9">
        <f>COUNTIF('48对'!$Q$2:$Q$49,"C")</f>
        <v/>
      </c>
      <c r="F2" s="9">
        <f>COUNTIF('48对'!$Q$2:$Q$49,"G")</f>
        <v/>
      </c>
      <c r="G2" s="9">
        <f>COUNTIF('48对'!$Q$2:$Q$49,"T")</f>
        <v/>
      </c>
      <c r="H2" s="10">
        <f>(E2+F2)/48</f>
        <v/>
      </c>
      <c r="I2" s="10">
        <f>(D2+E2)/48</f>
        <v/>
      </c>
      <c r="J2" s="10">
        <f>(D2+G2)/48</f>
        <v/>
      </c>
      <c r="K2" s="9">
        <f>IF(AND(H2&gt;=0.4,H2&lt;=0.6,I2&gt;=0.4,I2&lt;=0.6,J2&gt;=0.4,J2&lt;=0.6,MIN(D2:G2)&gt;=7.2),"是","否")</f>
        <v/>
      </c>
    </row>
    <row r="3">
      <c r="A3" s="9" t="inlineStr">
        <is>
          <t>48 组</t>
        </is>
      </c>
      <c r="B3" s="9" t="inlineStr">
        <is>
          <t>i5</t>
        </is>
      </c>
      <c r="C3" s="9" t="n">
        <v>2</v>
      </c>
      <c r="D3" s="9">
        <f>COUNTIF('48对'!$R$2:$R$49,"A")</f>
        <v/>
      </c>
      <c r="E3" s="9">
        <f>COUNTIF('48对'!$R$2:$R$49,"C")</f>
        <v/>
      </c>
      <c r="F3" s="9">
        <f>COUNTIF('48对'!$R$2:$R$49,"G")</f>
        <v/>
      </c>
      <c r="G3" s="9">
        <f>COUNTIF('48对'!$R$2:$R$49,"T")</f>
        <v/>
      </c>
      <c r="H3" s="10">
        <f>(E3+F3)/48</f>
        <v/>
      </c>
      <c r="I3" s="10">
        <f>(D3+E3)/48</f>
        <v/>
      </c>
      <c r="J3" s="10">
        <f>(D3+G3)/48</f>
        <v/>
      </c>
      <c r="K3" s="9">
        <f>IF(AND(H3&gt;=0.4,H3&lt;=0.6,I3&gt;=0.4,I3&lt;=0.6,J3&gt;=0.4,J3&lt;=0.6,MIN(D3:G3)&gt;=7.2),"是","否")</f>
        <v/>
      </c>
    </row>
    <row r="4">
      <c r="A4" s="9" t="inlineStr">
        <is>
          <t>48 组</t>
        </is>
      </c>
      <c r="B4" s="9" t="inlineStr">
        <is>
          <t>i5</t>
        </is>
      </c>
      <c r="C4" s="9" t="n">
        <v>3</v>
      </c>
      <c r="D4" s="9">
        <f>COUNTIF('48对'!$S$2:$S$49,"A")</f>
        <v/>
      </c>
      <c r="E4" s="9">
        <f>COUNTIF('48对'!$S$2:$S$49,"C")</f>
        <v/>
      </c>
      <c r="F4" s="9">
        <f>COUNTIF('48对'!$S$2:$S$49,"G")</f>
        <v/>
      </c>
      <c r="G4" s="9">
        <f>COUNTIF('48对'!$S$2:$S$49,"T")</f>
        <v/>
      </c>
      <c r="H4" s="10">
        <f>(E4+F4)/48</f>
        <v/>
      </c>
      <c r="I4" s="10">
        <f>(D4+E4)/48</f>
        <v/>
      </c>
      <c r="J4" s="10">
        <f>(D4+G4)/48</f>
        <v/>
      </c>
      <c r="K4" s="9">
        <f>IF(AND(H4&gt;=0.4,H4&lt;=0.6,I4&gt;=0.4,I4&lt;=0.6,J4&gt;=0.4,J4&lt;=0.6,MIN(D4:G4)&gt;=7.2),"是","否")</f>
        <v/>
      </c>
    </row>
    <row r="5">
      <c r="A5" s="9" t="inlineStr">
        <is>
          <t>48 组</t>
        </is>
      </c>
      <c r="B5" s="9" t="inlineStr">
        <is>
          <t>i5</t>
        </is>
      </c>
      <c r="C5" s="9" t="n">
        <v>4</v>
      </c>
      <c r="D5" s="9">
        <f>COUNTIF('48对'!$T$2:$T$49,"A")</f>
        <v/>
      </c>
      <c r="E5" s="9">
        <f>COUNTIF('48对'!$T$2:$T$49,"C")</f>
        <v/>
      </c>
      <c r="F5" s="9">
        <f>COUNTIF('48对'!$T$2:$T$49,"G")</f>
        <v/>
      </c>
      <c r="G5" s="9">
        <f>COUNTIF('48对'!$T$2:$T$49,"T")</f>
        <v/>
      </c>
      <c r="H5" s="10">
        <f>(E5+F5)/48</f>
        <v/>
      </c>
      <c r="I5" s="10">
        <f>(D5+E5)/48</f>
        <v/>
      </c>
      <c r="J5" s="10">
        <f>(D5+G5)/48</f>
        <v/>
      </c>
      <c r="K5" s="9">
        <f>IF(AND(H5&gt;=0.4,H5&lt;=0.6,I5&gt;=0.4,I5&lt;=0.6,J5&gt;=0.4,J5&lt;=0.6,MIN(D5:G5)&gt;=7.2),"是","否")</f>
        <v/>
      </c>
    </row>
    <row r="6">
      <c r="A6" s="9" t="inlineStr">
        <is>
          <t>48 组</t>
        </is>
      </c>
      <c r="B6" s="9" t="inlineStr">
        <is>
          <t>i5</t>
        </is>
      </c>
      <c r="C6" s="9" t="n">
        <v>5</v>
      </c>
      <c r="D6" s="9">
        <f>COUNTIF('48对'!$U$2:$U$49,"A")</f>
        <v/>
      </c>
      <c r="E6" s="9">
        <f>COUNTIF('48对'!$U$2:$U$49,"C")</f>
        <v/>
      </c>
      <c r="F6" s="9">
        <f>COUNTIF('48对'!$U$2:$U$49,"G")</f>
        <v/>
      </c>
      <c r="G6" s="9">
        <f>COUNTIF('48对'!$U$2:$U$49,"T")</f>
        <v/>
      </c>
      <c r="H6" s="10">
        <f>(E6+F6)/48</f>
        <v/>
      </c>
      <c r="I6" s="10">
        <f>(D6+E6)/48</f>
        <v/>
      </c>
      <c r="J6" s="10">
        <f>(D6+G6)/48</f>
        <v/>
      </c>
      <c r="K6" s="9">
        <f>IF(AND(H6&gt;=0.4,H6&lt;=0.6,I6&gt;=0.4,I6&lt;=0.6,J6&gt;=0.4,J6&lt;=0.6,MIN(D6:G6)&gt;=7.2),"是","否")</f>
        <v/>
      </c>
    </row>
    <row r="7">
      <c r="A7" s="9" t="inlineStr">
        <is>
          <t>48 组</t>
        </is>
      </c>
      <c r="B7" s="9" t="inlineStr">
        <is>
          <t>i5</t>
        </is>
      </c>
      <c r="C7" s="9" t="n">
        <v>6</v>
      </c>
      <c r="D7" s="9">
        <f>COUNTIF('48对'!$V$2:$V$49,"A")</f>
        <v/>
      </c>
      <c r="E7" s="9">
        <f>COUNTIF('48对'!$V$2:$V$49,"C")</f>
        <v/>
      </c>
      <c r="F7" s="9">
        <f>COUNTIF('48对'!$V$2:$V$49,"G")</f>
        <v/>
      </c>
      <c r="G7" s="9">
        <f>COUNTIF('48对'!$V$2:$V$49,"T")</f>
        <v/>
      </c>
      <c r="H7" s="10">
        <f>(E7+F7)/48</f>
        <v/>
      </c>
      <c r="I7" s="10">
        <f>(D7+E7)/48</f>
        <v/>
      </c>
      <c r="J7" s="10">
        <f>(D7+G7)/48</f>
        <v/>
      </c>
      <c r="K7" s="9">
        <f>IF(AND(H7&gt;=0.4,H7&lt;=0.6,I7&gt;=0.4,I7&lt;=0.6,J7&gt;=0.4,J7&lt;=0.6,MIN(D7:G7)&gt;=7.2),"是","否")</f>
        <v/>
      </c>
    </row>
    <row r="8">
      <c r="A8" s="9" t="inlineStr">
        <is>
          <t>48 组</t>
        </is>
      </c>
      <c r="B8" s="9" t="inlineStr">
        <is>
          <t>i5</t>
        </is>
      </c>
      <c r="C8" s="9" t="n">
        <v>7</v>
      </c>
      <c r="D8" s="9">
        <f>COUNTIF('48对'!$W$2:$W$49,"A")</f>
        <v/>
      </c>
      <c r="E8" s="9">
        <f>COUNTIF('48对'!$W$2:$W$49,"C")</f>
        <v/>
      </c>
      <c r="F8" s="9">
        <f>COUNTIF('48对'!$W$2:$W$49,"G")</f>
        <v/>
      </c>
      <c r="G8" s="9">
        <f>COUNTIF('48对'!$W$2:$W$49,"T")</f>
        <v/>
      </c>
      <c r="H8" s="10">
        <f>(E8+F8)/48</f>
        <v/>
      </c>
      <c r="I8" s="10">
        <f>(D8+E8)/48</f>
        <v/>
      </c>
      <c r="J8" s="10">
        <f>(D8+G8)/48</f>
        <v/>
      </c>
      <c r="K8" s="9">
        <f>IF(AND(H8&gt;=0.4,H8&lt;=0.6,I8&gt;=0.4,I8&lt;=0.6,J8&gt;=0.4,J8&lt;=0.6,MIN(D8:G8)&gt;=7.2),"是","否")</f>
        <v/>
      </c>
    </row>
    <row r="9">
      <c r="A9" s="9" t="inlineStr">
        <is>
          <t>48 组</t>
        </is>
      </c>
      <c r="B9" s="9" t="inlineStr">
        <is>
          <t>i5</t>
        </is>
      </c>
      <c r="C9" s="9" t="n">
        <v>8</v>
      </c>
      <c r="D9" s="9">
        <f>COUNTIF('48对'!$X$2:$X$49,"A")</f>
        <v/>
      </c>
      <c r="E9" s="9">
        <f>COUNTIF('48对'!$X$2:$X$49,"C")</f>
        <v/>
      </c>
      <c r="F9" s="9">
        <f>COUNTIF('48对'!$X$2:$X$49,"G")</f>
        <v/>
      </c>
      <c r="G9" s="9">
        <f>COUNTIF('48对'!$X$2:$X$49,"T")</f>
        <v/>
      </c>
      <c r="H9" s="10">
        <f>(E9+F9)/48</f>
        <v/>
      </c>
      <c r="I9" s="10">
        <f>(D9+E9)/48</f>
        <v/>
      </c>
      <c r="J9" s="10">
        <f>(D9+G9)/48</f>
        <v/>
      </c>
      <c r="K9" s="9">
        <f>IF(AND(H9&gt;=0.4,H9&lt;=0.6,I9&gt;=0.4,I9&lt;=0.6,J9&gt;=0.4,J9&lt;=0.6,MIN(D9:G9)&gt;=7.2),"是","否")</f>
        <v/>
      </c>
    </row>
    <row r="10">
      <c r="A10" s="9" t="inlineStr">
        <is>
          <t>48 组</t>
        </is>
      </c>
      <c r="B10" s="9" t="inlineStr">
        <is>
          <t>i5</t>
        </is>
      </c>
      <c r="C10" s="9" t="n">
        <v>9</v>
      </c>
      <c r="D10" s="9">
        <f>COUNTIF('48对'!$Y$2:$Y$49,"A")</f>
        <v/>
      </c>
      <c r="E10" s="9">
        <f>COUNTIF('48对'!$Y$2:$Y$49,"C")</f>
        <v/>
      </c>
      <c r="F10" s="9">
        <f>COUNTIF('48对'!$Y$2:$Y$49,"G")</f>
        <v/>
      </c>
      <c r="G10" s="9">
        <f>COUNTIF('48对'!$Y$2:$Y$49,"T")</f>
        <v/>
      </c>
      <c r="H10" s="10">
        <f>(E10+F10)/48</f>
        <v/>
      </c>
      <c r="I10" s="10">
        <f>(D10+E10)/48</f>
        <v/>
      </c>
      <c r="J10" s="10">
        <f>(D10+G10)/48</f>
        <v/>
      </c>
      <c r="K10" s="9">
        <f>IF(AND(H10&gt;=0.4,H10&lt;=0.6,I10&gt;=0.4,I10&lt;=0.6,J10&gt;=0.4,J10&lt;=0.6,MIN(D10:G10)&gt;=7.2),"是","否")</f>
        <v/>
      </c>
    </row>
    <row r="11">
      <c r="A11" s="9" t="inlineStr">
        <is>
          <t>48 组</t>
        </is>
      </c>
      <c r="B11" s="9" t="inlineStr">
        <is>
          <t>i5</t>
        </is>
      </c>
      <c r="C11" s="9" t="n">
        <v>10</v>
      </c>
      <c r="D11" s="9">
        <f>COUNTIF('48对'!$Z$2:$Z$49,"A")</f>
        <v/>
      </c>
      <c r="E11" s="9">
        <f>COUNTIF('48对'!$Z$2:$Z$49,"C")</f>
        <v/>
      </c>
      <c r="F11" s="9">
        <f>COUNTIF('48对'!$Z$2:$Z$49,"G")</f>
        <v/>
      </c>
      <c r="G11" s="9">
        <f>COUNTIF('48对'!$Z$2:$Z$49,"T")</f>
        <v/>
      </c>
      <c r="H11" s="10">
        <f>(E11+F11)/48</f>
        <v/>
      </c>
      <c r="I11" s="10">
        <f>(D11+E11)/48</f>
        <v/>
      </c>
      <c r="J11" s="10">
        <f>(D11+G11)/48</f>
        <v/>
      </c>
      <c r="K11" s="9">
        <f>IF(AND(H11&gt;=0.4,H11&lt;=0.6,I11&gt;=0.4,I11&lt;=0.6,J11&gt;=0.4,J11&lt;=0.6,MIN(D11:G11)&gt;=7.2),"是","否")</f>
        <v/>
      </c>
    </row>
    <row r="12">
      <c r="A12" s="9" t="inlineStr">
        <is>
          <t>48 组</t>
        </is>
      </c>
      <c r="B12" s="9" t="inlineStr">
        <is>
          <t>i7</t>
        </is>
      </c>
      <c r="C12" s="9" t="n">
        <v>1</v>
      </c>
      <c r="D12" s="9">
        <f>COUNTIF('48对'!$AA$2:$AA$49,"A")</f>
        <v/>
      </c>
      <c r="E12" s="9">
        <f>COUNTIF('48对'!$AA$2:$AA$49,"C")</f>
        <v/>
      </c>
      <c r="F12" s="9">
        <f>COUNTIF('48对'!$AA$2:$AA$49,"G")</f>
        <v/>
      </c>
      <c r="G12" s="9">
        <f>COUNTIF('48对'!$AA$2:$AA$49,"T")</f>
        <v/>
      </c>
      <c r="H12" s="10">
        <f>(E12+F12)/48</f>
        <v/>
      </c>
      <c r="I12" s="10">
        <f>(D12+E12)/48</f>
        <v/>
      </c>
      <c r="J12" s="10">
        <f>(D12+G12)/48</f>
        <v/>
      </c>
      <c r="K12" s="9">
        <f>IF(AND(H12&gt;=0.4,H12&lt;=0.6,I12&gt;=0.4,I12&lt;=0.6,J12&gt;=0.4,J12&lt;=0.6,MIN(D12:G12)&gt;=7.2),"是","否")</f>
        <v/>
      </c>
    </row>
    <row r="13">
      <c r="A13" s="9" t="inlineStr">
        <is>
          <t>48 组</t>
        </is>
      </c>
      <c r="B13" s="9" t="inlineStr">
        <is>
          <t>i7</t>
        </is>
      </c>
      <c r="C13" s="9" t="n">
        <v>2</v>
      </c>
      <c r="D13" s="9">
        <f>COUNTIF('48对'!$AB$2:$AB$49,"A")</f>
        <v/>
      </c>
      <c r="E13" s="9">
        <f>COUNTIF('48对'!$AB$2:$AB$49,"C")</f>
        <v/>
      </c>
      <c r="F13" s="9">
        <f>COUNTIF('48对'!$AB$2:$AB$49,"G")</f>
        <v/>
      </c>
      <c r="G13" s="9">
        <f>COUNTIF('48对'!$AB$2:$AB$49,"T")</f>
        <v/>
      </c>
      <c r="H13" s="10">
        <f>(E13+F13)/48</f>
        <v/>
      </c>
      <c r="I13" s="10">
        <f>(D13+E13)/48</f>
        <v/>
      </c>
      <c r="J13" s="10">
        <f>(D13+G13)/48</f>
        <v/>
      </c>
      <c r="K13" s="9">
        <f>IF(AND(H13&gt;=0.4,H13&lt;=0.6,I13&gt;=0.4,I13&lt;=0.6,J13&gt;=0.4,J13&lt;=0.6,MIN(D13:G13)&gt;=7.2),"是","否")</f>
        <v/>
      </c>
    </row>
    <row r="14">
      <c r="A14" s="9" t="inlineStr">
        <is>
          <t>48 组</t>
        </is>
      </c>
      <c r="B14" s="9" t="inlineStr">
        <is>
          <t>i7</t>
        </is>
      </c>
      <c r="C14" s="9" t="n">
        <v>3</v>
      </c>
      <c r="D14" s="9">
        <f>COUNTIF('48对'!$AC$2:$AC$49,"A")</f>
        <v/>
      </c>
      <c r="E14" s="9">
        <f>COUNTIF('48对'!$AC$2:$AC$49,"C")</f>
        <v/>
      </c>
      <c r="F14" s="9">
        <f>COUNTIF('48对'!$AC$2:$AC$49,"G")</f>
        <v/>
      </c>
      <c r="G14" s="9">
        <f>COUNTIF('48对'!$AC$2:$AC$49,"T")</f>
        <v/>
      </c>
      <c r="H14" s="10">
        <f>(E14+F14)/48</f>
        <v/>
      </c>
      <c r="I14" s="10">
        <f>(D14+E14)/48</f>
        <v/>
      </c>
      <c r="J14" s="10">
        <f>(D14+G14)/48</f>
        <v/>
      </c>
      <c r="K14" s="9">
        <f>IF(AND(H14&gt;=0.4,H14&lt;=0.6,I14&gt;=0.4,I14&lt;=0.6,J14&gt;=0.4,J14&lt;=0.6,MIN(D14:G14)&gt;=7.2),"是","否")</f>
        <v/>
      </c>
    </row>
    <row r="15">
      <c r="A15" s="9" t="inlineStr">
        <is>
          <t>48 组</t>
        </is>
      </c>
      <c r="B15" s="9" t="inlineStr">
        <is>
          <t>i7</t>
        </is>
      </c>
      <c r="C15" s="9" t="n">
        <v>4</v>
      </c>
      <c r="D15" s="9">
        <f>COUNTIF('48对'!$AD$2:$AD$49,"A")</f>
        <v/>
      </c>
      <c r="E15" s="9">
        <f>COUNTIF('48对'!$AD$2:$AD$49,"C")</f>
        <v/>
      </c>
      <c r="F15" s="9">
        <f>COUNTIF('48对'!$AD$2:$AD$49,"G")</f>
        <v/>
      </c>
      <c r="G15" s="9">
        <f>COUNTIF('48对'!$AD$2:$AD$49,"T")</f>
        <v/>
      </c>
      <c r="H15" s="10">
        <f>(E15+F15)/48</f>
        <v/>
      </c>
      <c r="I15" s="10">
        <f>(D15+E15)/48</f>
        <v/>
      </c>
      <c r="J15" s="10">
        <f>(D15+G15)/48</f>
        <v/>
      </c>
      <c r="K15" s="9">
        <f>IF(AND(H15&gt;=0.4,H15&lt;=0.6,I15&gt;=0.4,I15&lt;=0.6,J15&gt;=0.4,J15&lt;=0.6,MIN(D15:G15)&gt;=7.2),"是","否")</f>
        <v/>
      </c>
    </row>
    <row r="16">
      <c r="A16" s="9" t="inlineStr">
        <is>
          <t>48 组</t>
        </is>
      </c>
      <c r="B16" s="9" t="inlineStr">
        <is>
          <t>i7</t>
        </is>
      </c>
      <c r="C16" s="9" t="n">
        <v>5</v>
      </c>
      <c r="D16" s="9">
        <f>COUNTIF('48对'!$AE$2:$AE$49,"A")</f>
        <v/>
      </c>
      <c r="E16" s="9">
        <f>COUNTIF('48对'!$AE$2:$AE$49,"C")</f>
        <v/>
      </c>
      <c r="F16" s="9">
        <f>COUNTIF('48对'!$AE$2:$AE$49,"G")</f>
        <v/>
      </c>
      <c r="G16" s="9">
        <f>COUNTIF('48对'!$AE$2:$AE$49,"T")</f>
        <v/>
      </c>
      <c r="H16" s="10">
        <f>(E16+F16)/48</f>
        <v/>
      </c>
      <c r="I16" s="10">
        <f>(D16+E16)/48</f>
        <v/>
      </c>
      <c r="J16" s="10">
        <f>(D16+G16)/48</f>
        <v/>
      </c>
      <c r="K16" s="9">
        <f>IF(AND(H16&gt;=0.4,H16&lt;=0.6,I16&gt;=0.4,I16&lt;=0.6,J16&gt;=0.4,J16&lt;=0.6,MIN(D16:G16)&gt;=7.2),"是","否")</f>
        <v/>
      </c>
    </row>
    <row r="17">
      <c r="A17" s="9" t="inlineStr">
        <is>
          <t>48 组</t>
        </is>
      </c>
      <c r="B17" s="9" t="inlineStr">
        <is>
          <t>i7</t>
        </is>
      </c>
      <c r="C17" s="9" t="n">
        <v>6</v>
      </c>
      <c r="D17" s="9">
        <f>COUNTIF('48对'!$AF$2:$AF$49,"A")</f>
        <v/>
      </c>
      <c r="E17" s="9">
        <f>COUNTIF('48对'!$AF$2:$AF$49,"C")</f>
        <v/>
      </c>
      <c r="F17" s="9">
        <f>COUNTIF('48对'!$AF$2:$AF$49,"G")</f>
        <v/>
      </c>
      <c r="G17" s="9">
        <f>COUNTIF('48对'!$AF$2:$AF$49,"T")</f>
        <v/>
      </c>
      <c r="H17" s="10">
        <f>(E17+F17)/48</f>
        <v/>
      </c>
      <c r="I17" s="10">
        <f>(D17+E17)/48</f>
        <v/>
      </c>
      <c r="J17" s="10">
        <f>(D17+G17)/48</f>
        <v/>
      </c>
      <c r="K17" s="9">
        <f>IF(AND(H17&gt;=0.4,H17&lt;=0.6,I17&gt;=0.4,I17&lt;=0.6,J17&gt;=0.4,J17&lt;=0.6,MIN(D17:G17)&gt;=7.2),"是","否")</f>
        <v/>
      </c>
    </row>
    <row r="18">
      <c r="A18" s="9" t="inlineStr">
        <is>
          <t>48 组</t>
        </is>
      </c>
      <c r="B18" s="9" t="inlineStr">
        <is>
          <t>i7</t>
        </is>
      </c>
      <c r="C18" s="9" t="n">
        <v>7</v>
      </c>
      <c r="D18" s="9">
        <f>COUNTIF('48对'!$AG$2:$AG$49,"A")</f>
        <v/>
      </c>
      <c r="E18" s="9">
        <f>COUNTIF('48对'!$AG$2:$AG$49,"C")</f>
        <v/>
      </c>
      <c r="F18" s="9">
        <f>COUNTIF('48对'!$AG$2:$AG$49,"G")</f>
        <v/>
      </c>
      <c r="G18" s="9">
        <f>COUNTIF('48对'!$AG$2:$AG$49,"T")</f>
        <v/>
      </c>
      <c r="H18" s="10">
        <f>(E18+F18)/48</f>
        <v/>
      </c>
      <c r="I18" s="10">
        <f>(D18+E18)/48</f>
        <v/>
      </c>
      <c r="J18" s="10">
        <f>(D18+G18)/48</f>
        <v/>
      </c>
      <c r="K18" s="9">
        <f>IF(AND(H18&gt;=0.4,H18&lt;=0.6,I18&gt;=0.4,I18&lt;=0.6,J18&gt;=0.4,J18&lt;=0.6,MIN(D18:G18)&gt;=7.2),"是","否")</f>
        <v/>
      </c>
    </row>
    <row r="19">
      <c r="A19" s="9" t="inlineStr">
        <is>
          <t>48 组</t>
        </is>
      </c>
      <c r="B19" s="9" t="inlineStr">
        <is>
          <t>i7</t>
        </is>
      </c>
      <c r="C19" s="9" t="n">
        <v>8</v>
      </c>
      <c r="D19" s="9">
        <f>COUNTIF('48对'!$AH$2:$AH$49,"A")</f>
        <v/>
      </c>
      <c r="E19" s="9">
        <f>COUNTIF('48对'!$AH$2:$AH$49,"C")</f>
        <v/>
      </c>
      <c r="F19" s="9">
        <f>COUNTIF('48对'!$AH$2:$AH$49,"G")</f>
        <v/>
      </c>
      <c r="G19" s="9">
        <f>COUNTIF('48对'!$AH$2:$AH$49,"T")</f>
        <v/>
      </c>
      <c r="H19" s="10">
        <f>(E19+F19)/48</f>
        <v/>
      </c>
      <c r="I19" s="10">
        <f>(D19+E19)/48</f>
        <v/>
      </c>
      <c r="J19" s="10">
        <f>(D19+G19)/48</f>
        <v/>
      </c>
      <c r="K19" s="9">
        <f>IF(AND(H19&gt;=0.4,H19&lt;=0.6,I19&gt;=0.4,I19&lt;=0.6,J19&gt;=0.4,J19&lt;=0.6,MIN(D19:G19)&gt;=7.2),"是","否")</f>
        <v/>
      </c>
    </row>
    <row r="20">
      <c r="A20" s="9" t="inlineStr">
        <is>
          <t>48 组</t>
        </is>
      </c>
      <c r="B20" s="9" t="inlineStr">
        <is>
          <t>i7</t>
        </is>
      </c>
      <c r="C20" s="9" t="n">
        <v>9</v>
      </c>
      <c r="D20" s="9">
        <f>COUNTIF('48对'!$AI$2:$AI$49,"A")</f>
        <v/>
      </c>
      <c r="E20" s="9">
        <f>COUNTIF('48对'!$AI$2:$AI$49,"C")</f>
        <v/>
      </c>
      <c r="F20" s="9">
        <f>COUNTIF('48对'!$AI$2:$AI$49,"G")</f>
        <v/>
      </c>
      <c r="G20" s="9">
        <f>COUNTIF('48对'!$AI$2:$AI$49,"T")</f>
        <v/>
      </c>
      <c r="H20" s="10">
        <f>(E20+F20)/48</f>
        <v/>
      </c>
      <c r="I20" s="10">
        <f>(D20+E20)/48</f>
        <v/>
      </c>
      <c r="J20" s="10">
        <f>(D20+G20)/48</f>
        <v/>
      </c>
      <c r="K20" s="9">
        <f>IF(AND(H20&gt;=0.4,H20&lt;=0.6,I20&gt;=0.4,I20&lt;=0.6,J20&gt;=0.4,J20&lt;=0.6,MIN(D20:G20)&gt;=7.2),"是","否")</f>
        <v/>
      </c>
    </row>
    <row r="21">
      <c r="A21" s="9" t="inlineStr">
        <is>
          <t>48 组</t>
        </is>
      </c>
      <c r="B21" s="9" t="inlineStr">
        <is>
          <t>i7</t>
        </is>
      </c>
      <c r="C21" s="9" t="n">
        <v>10</v>
      </c>
      <c r="D21" s="9">
        <f>COUNTIF('48对'!$AJ$2:$AJ$49,"A")</f>
        <v/>
      </c>
      <c r="E21" s="9">
        <f>COUNTIF('48对'!$AJ$2:$AJ$49,"C")</f>
        <v/>
      </c>
      <c r="F21" s="9">
        <f>COUNTIF('48对'!$AJ$2:$AJ$49,"G")</f>
        <v/>
      </c>
      <c r="G21" s="9">
        <f>COUNTIF('48对'!$AJ$2:$AJ$49,"T")</f>
        <v/>
      </c>
      <c r="H21" s="10">
        <f>(E21+F21)/48</f>
        <v/>
      </c>
      <c r="I21" s="10">
        <f>(D21+E21)/48</f>
        <v/>
      </c>
      <c r="J21" s="10">
        <f>(D21+G21)/48</f>
        <v/>
      </c>
      <c r="K21" s="9">
        <f>IF(AND(H21&gt;=0.4,H21&lt;=0.6,I21&gt;=0.4,I21&lt;=0.6,J21&gt;=0.4,J21&lt;=0.6,MIN(D21:G21)&gt;=7.2),"是","否")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2026-10-10T08:53:49Z</dcterms:created>
  <dcterms:modified xsi:type="dcterms:W3CDTF">2026-10-10T08:53:50Z</dcterms:modified>
</cp:coreProperties>
</file>